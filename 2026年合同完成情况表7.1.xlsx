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九大区" sheetId="1" r:id="rId1"/>
    <sheet name="完成表" sheetId="2" r:id="rId2"/>
    <sheet name="完成表 (2)" sheetId="4" r:id="rId3"/>
    <sheet name="两年对比" sheetId="3" r:id="rId4"/>
    <sheet name="两年对比 (2)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C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不含海外差值</t>
        </r>
      </text>
    </comment>
  </commentList>
</comments>
</file>

<file path=xl/sharedStrings.xml><?xml version="1.0" encoding="utf-8"?>
<sst xmlns="http://schemas.openxmlformats.org/spreadsheetml/2006/main" count="1012" uniqueCount="217">
  <si>
    <t>国际各大区2026年指标完成情况汇总</t>
  </si>
  <si>
    <t>数据截至日期：2026-6-30</t>
  </si>
  <si>
    <t>序号</t>
  </si>
  <si>
    <t>区域</t>
  </si>
  <si>
    <t>新签梯量</t>
  </si>
  <si>
    <t>新签金额</t>
  </si>
  <si>
    <t>回款</t>
  </si>
  <si>
    <t>发货台</t>
  </si>
  <si>
    <t>发货额</t>
  </si>
  <si>
    <t>排产台</t>
  </si>
  <si>
    <t>排产额</t>
  </si>
  <si>
    <t>指标</t>
  </si>
  <si>
    <t>实际
完成</t>
  </si>
  <si>
    <t>完成全年比</t>
  </si>
  <si>
    <t>实际完成</t>
  </si>
  <si>
    <t>完成全年</t>
  </si>
  <si>
    <t>俄罗斯</t>
  </si>
  <si>
    <t>中亚</t>
  </si>
  <si>
    <t>亚洲1</t>
  </si>
  <si>
    <t>亚洲2</t>
  </si>
  <si>
    <t>美洲</t>
  </si>
  <si>
    <t>中东</t>
  </si>
  <si>
    <t>非洲</t>
  </si>
  <si>
    <t>欧洲</t>
  </si>
  <si>
    <t>商贸配件</t>
  </si>
  <si>
    <t>-</t>
  </si>
  <si>
    <t>合计</t>
  </si>
  <si>
    <t>2026年国际市场运营系统合同完成情况表</t>
  </si>
  <si>
    <t>金额单位：万元</t>
  </si>
  <si>
    <t>模块类型</t>
  </si>
  <si>
    <t>模块</t>
  </si>
  <si>
    <t>A</t>
  </si>
  <si>
    <t>俄罗斯（中部）</t>
  </si>
  <si>
    <t>俄罗斯（西部）</t>
  </si>
  <si>
    <t>俄罗斯（东部）</t>
  </si>
  <si>
    <t>罗斯托夫</t>
  </si>
  <si>
    <t>哈巴</t>
  </si>
  <si>
    <t>B</t>
  </si>
  <si>
    <t>俄罗斯（中南）</t>
  </si>
  <si>
    <t>俄罗斯（西南）</t>
  </si>
  <si>
    <t>C</t>
  </si>
  <si>
    <t>莫斯科</t>
  </si>
  <si>
    <t>叶卡</t>
  </si>
  <si>
    <t>新西</t>
  </si>
  <si>
    <t>俄罗斯合计</t>
  </si>
  <si>
    <t>蒙古</t>
  </si>
  <si>
    <t>哈萨克斯坦-1</t>
  </si>
  <si>
    <t>塔吉克/哈萨克斯坦-2</t>
  </si>
  <si>
    <t>哈萨克斯坦-3</t>
  </si>
  <si>
    <t>D</t>
  </si>
  <si>
    <t>乌兹别克斯坦</t>
  </si>
  <si>
    <t>吉尔吉斯斯坦</t>
  </si>
  <si>
    <t>阿塞拜疆</t>
  </si>
  <si>
    <t>格鲁吉亚</t>
  </si>
  <si>
    <t>中亚合计</t>
  </si>
  <si>
    <t>朝鲜-韩国</t>
  </si>
  <si>
    <t>新加坡市政会</t>
  </si>
  <si>
    <t>新加坡HDB</t>
  </si>
  <si>
    <t>泰国</t>
  </si>
  <si>
    <t>泰国2</t>
  </si>
  <si>
    <t>金三角</t>
  </si>
  <si>
    <t>马来西亚</t>
  </si>
  <si>
    <t>马尔代夫</t>
  </si>
  <si>
    <t>香港-台湾</t>
  </si>
  <si>
    <t>亚洲1合计</t>
  </si>
  <si>
    <t>越南-2</t>
  </si>
  <si>
    <t>印度公建</t>
  </si>
  <si>
    <t>巴基斯坦</t>
  </si>
  <si>
    <t>孟加拉-1</t>
  </si>
  <si>
    <t>澳大利亚</t>
  </si>
  <si>
    <t>菲律宾</t>
  </si>
  <si>
    <t>印尼-1</t>
  </si>
  <si>
    <t>越南-1（工厂）</t>
  </si>
  <si>
    <t>印度私营</t>
  </si>
  <si>
    <t>菲律宾-2</t>
  </si>
  <si>
    <t>印尼-2</t>
  </si>
  <si>
    <t>亚洲2合计</t>
  </si>
  <si>
    <t>墨西哥-1</t>
  </si>
  <si>
    <t>墨西哥-2</t>
  </si>
  <si>
    <t>秘鲁</t>
  </si>
  <si>
    <t>智利</t>
  </si>
  <si>
    <t>加勒比海</t>
  </si>
  <si>
    <t>多米尼加</t>
  </si>
  <si>
    <t>哥伦比亚</t>
  </si>
  <si>
    <t>秘鲁2</t>
  </si>
  <si>
    <t>巴西</t>
  </si>
  <si>
    <t>美洲合计</t>
  </si>
  <si>
    <t>阿联酋-2</t>
  </si>
  <si>
    <t>沙特工厂</t>
  </si>
  <si>
    <t>沙特-1</t>
  </si>
  <si>
    <t>科威特</t>
  </si>
  <si>
    <t>阿联酋-1</t>
  </si>
  <si>
    <t>卡塔尔</t>
  </si>
  <si>
    <t>伊拉克</t>
  </si>
  <si>
    <t>巴勒斯坦</t>
  </si>
  <si>
    <t>伊朗+阿曼</t>
  </si>
  <si>
    <t>中东合计</t>
  </si>
  <si>
    <t>埃及-1</t>
  </si>
  <si>
    <t>埃及-2</t>
  </si>
  <si>
    <t>肯尼亚/坦桑尼亚</t>
  </si>
  <si>
    <t>尼日利亚/埃塞俄比亚</t>
  </si>
  <si>
    <t>非洲法语区</t>
  </si>
  <si>
    <t>南非/安格拉</t>
  </si>
  <si>
    <t>非洲合计</t>
  </si>
  <si>
    <t>德国西班牙</t>
  </si>
  <si>
    <t>东欧</t>
  </si>
  <si>
    <t>英国意大利</t>
  </si>
  <si>
    <t>欧洲合计</t>
  </si>
  <si>
    <t>商贸1</t>
  </si>
  <si>
    <t>商贸2</t>
  </si>
  <si>
    <t>商贸3</t>
  </si>
  <si>
    <t>配件-1</t>
  </si>
  <si>
    <t>配件-2</t>
  </si>
  <si>
    <t>改造</t>
  </si>
  <si>
    <t>商贸配件合计</t>
  </si>
  <si>
    <t>总计</t>
  </si>
  <si>
    <t>含海外差额</t>
  </si>
  <si>
    <t>自2021年已排产未发货台数</t>
  </si>
  <si>
    <t>模主</t>
  </si>
  <si>
    <t>签订台数</t>
  </si>
  <si>
    <t>签订额</t>
  </si>
  <si>
    <t>排产台数</t>
  </si>
  <si>
    <t>发货台数</t>
  </si>
  <si>
    <t>丛峻</t>
  </si>
  <si>
    <t>单一</t>
  </si>
  <si>
    <t>宋艾亭</t>
  </si>
  <si>
    <t>张执玮</t>
  </si>
  <si>
    <t>张小帆</t>
  </si>
  <si>
    <t>张沁媛</t>
  </si>
  <si>
    <t>刘景伟</t>
  </si>
  <si>
    <t>张东辉</t>
  </si>
  <si>
    <t>孙继伟</t>
  </si>
  <si>
    <t>（空）</t>
  </si>
  <si>
    <t>陈亚博</t>
  </si>
  <si>
    <t>逄顺福</t>
  </si>
  <si>
    <t>彭凤琴</t>
  </si>
  <si>
    <t>于洋</t>
  </si>
  <si>
    <t>秦力超</t>
  </si>
  <si>
    <t>孙博伦</t>
  </si>
  <si>
    <t>马月</t>
  </si>
  <si>
    <t>韩宇</t>
  </si>
  <si>
    <t>齐文童</t>
  </si>
  <si>
    <t>安鹏霖</t>
  </si>
  <si>
    <t>祁阳</t>
  </si>
  <si>
    <t>王珊珊</t>
  </si>
  <si>
    <t>张琬怡</t>
  </si>
  <si>
    <t>刘瑞</t>
  </si>
  <si>
    <t>鲁鸿飞</t>
  </si>
  <si>
    <t>叶哲铭</t>
  </si>
  <si>
    <t>王海娇</t>
  </si>
  <si>
    <t>刘瑞升</t>
  </si>
  <si>
    <t>韩月华</t>
  </si>
  <si>
    <t>张鹏</t>
  </si>
  <si>
    <t>耿建伟</t>
  </si>
  <si>
    <t>刘晓虎</t>
  </si>
  <si>
    <t>董永生</t>
  </si>
  <si>
    <t>吴旭东</t>
  </si>
  <si>
    <t>张欢</t>
  </si>
  <si>
    <t>于春光</t>
  </si>
  <si>
    <t>任嘉庆</t>
  </si>
  <si>
    <t>吴永顺</t>
  </si>
  <si>
    <t>岳亮</t>
  </si>
  <si>
    <t>高新尧</t>
  </si>
  <si>
    <t>尤健宇</t>
  </si>
  <si>
    <t>肖宇晗</t>
  </si>
  <si>
    <t>李知源</t>
  </si>
  <si>
    <t>翟文龙</t>
  </si>
  <si>
    <t>范皓铭</t>
  </si>
  <si>
    <t>梁国裕</t>
  </si>
  <si>
    <t>田媛媛</t>
  </si>
  <si>
    <t>魏珍荣</t>
  </si>
  <si>
    <t>杨春</t>
  </si>
  <si>
    <t>吴迪</t>
  </si>
  <si>
    <t>李军辉</t>
  </si>
  <si>
    <t>武永佳</t>
  </si>
  <si>
    <t>陈科锦</t>
  </si>
  <si>
    <t>赵俊峰</t>
  </si>
  <si>
    <t>吕超</t>
  </si>
  <si>
    <t>张朕铭</t>
  </si>
  <si>
    <t>陈远一</t>
  </si>
  <si>
    <t>石云龙</t>
  </si>
  <si>
    <t>丁绎澎</t>
  </si>
  <si>
    <t>史宇哲</t>
  </si>
  <si>
    <t>袁帅</t>
  </si>
  <si>
    <t>孙小婷</t>
  </si>
  <si>
    <t>刘纪龙</t>
  </si>
  <si>
    <t>潘闯</t>
  </si>
  <si>
    <t>吴雪明</t>
  </si>
  <si>
    <t>王俊豪</t>
  </si>
  <si>
    <t>张涛</t>
  </si>
  <si>
    <t>李成富</t>
  </si>
  <si>
    <t>李美珊</t>
  </si>
  <si>
    <t>赵莹</t>
  </si>
  <si>
    <t>吴航</t>
  </si>
  <si>
    <t>苏利</t>
  </si>
  <si>
    <t>周聖航</t>
  </si>
  <si>
    <t>国贸签订、排产、发货两年对比</t>
  </si>
  <si>
    <t>市场类别</t>
  </si>
  <si>
    <t>签订额    
 （万元）</t>
  </si>
  <si>
    <t>海外差额</t>
  </si>
  <si>
    <t>签订额合计</t>
  </si>
  <si>
    <t>海外回款及其他</t>
  </si>
  <si>
    <t>回款额</t>
  </si>
  <si>
    <t>增长比例</t>
  </si>
  <si>
    <t>备件商贸合计</t>
  </si>
  <si>
    <t>国际总计</t>
  </si>
  <si>
    <t>高速梯排产（2026/07/31）</t>
  </si>
  <si>
    <t>国家</t>
  </si>
  <si>
    <t>排产金额（单位：万元）</t>
  </si>
  <si>
    <t>西俄罗斯</t>
  </si>
  <si>
    <t>俄罗斯1</t>
  </si>
  <si>
    <t>乌兹别克斯坦3</t>
  </si>
  <si>
    <t>新加坡1</t>
  </si>
  <si>
    <t>马来西亚1</t>
  </si>
  <si>
    <t>墨西哥</t>
  </si>
  <si>
    <t>玻利维亚</t>
  </si>
  <si>
    <t>国贸总计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</si>
</sst>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_ "/>
    <numFmt numFmtId="178" formatCode="0.0_ "/>
    <numFmt numFmtId="179" formatCode="0_);[Red]\(0\)"/>
  </numFmts>
  <fonts count="4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0"/>
      <color theme="1"/>
      <name val="Times New Roman"/>
      <charset val="134"/>
    </font>
    <font>
      <b/>
      <sz val="11"/>
      <name val="宋体"/>
      <charset val="134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2"/>
      <color rgb="FF000000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6"/>
      <color rgb="FF5A5A5A"/>
      <name val="Microsoft YaHei"/>
      <charset val="134"/>
    </font>
    <font>
      <sz val="10"/>
      <color rgb="FF595959"/>
      <name val="Microsoft YaHei"/>
      <charset val="134"/>
    </font>
    <font>
      <b/>
      <sz val="11"/>
      <color rgb="FF5A5A5A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b/>
      <sz val="10"/>
      <color theme="1"/>
      <name val="Microsoft YaHei"/>
      <charset val="134"/>
    </font>
    <font>
      <b/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rgb="FF5A5A5A"/>
      </bottom>
      <diagonal/>
    </border>
    <border>
      <left/>
      <right/>
      <top/>
      <bottom style="medium">
        <color rgb="FF5A5A5A"/>
      </bottom>
      <diagonal/>
    </border>
    <border>
      <left style="thin">
        <color auto="1"/>
      </left>
      <right/>
      <top/>
      <bottom style="medium">
        <color rgb="FF5A5A5A"/>
      </bottom>
      <diagonal/>
    </border>
    <border>
      <left/>
      <right style="thin">
        <color auto="1"/>
      </right>
      <top/>
      <bottom style="medium">
        <color rgb="FF5A5A5A"/>
      </bottom>
      <diagonal/>
    </border>
    <border>
      <left/>
      <right style="medium">
        <color auto="1"/>
      </right>
      <top/>
      <bottom style="medium">
        <color rgb="FF5A5A5A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3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1" fillId="0" borderId="3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33" applyNumberFormat="0" applyAlignment="0" applyProtection="0">
      <alignment vertical="center"/>
    </xf>
    <xf numFmtId="0" fontId="33" fillId="12" borderId="34" applyNumberFormat="0" applyAlignment="0" applyProtection="0">
      <alignment vertical="center"/>
    </xf>
    <xf numFmtId="0" fontId="34" fillId="12" borderId="33" applyNumberFormat="0" applyAlignment="0" applyProtection="0">
      <alignment vertical="center"/>
    </xf>
    <xf numFmtId="0" fontId="35" fillId="13" borderId="35" applyNumberFormat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19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49" applyFont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1" fillId="0" borderId="3" xfId="49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0" xfId="49" applyFont="1" applyFill="1" applyBorder="1" applyAlignment="1">
      <alignment horizontal="center" vertical="center"/>
    </xf>
    <xf numFmtId="14" fontId="1" fillId="0" borderId="0" xfId="49" applyNumberFormat="1" applyFont="1" applyBorder="1" applyAlignment="1">
      <alignment horizontal="center" vertical="center"/>
    </xf>
    <xf numFmtId="0" fontId="1" fillId="0" borderId="0" xfId="49" applyFont="1" applyFill="1" applyAlignment="1">
      <alignment horizontal="center" vertical="center"/>
    </xf>
    <xf numFmtId="0" fontId="1" fillId="0" borderId="0" xfId="49" applyFont="1">
      <alignment vertical="center"/>
    </xf>
    <xf numFmtId="0" fontId="1" fillId="0" borderId="0" xfId="49" applyFont="1" applyFill="1">
      <alignment vertical="center"/>
    </xf>
    <xf numFmtId="0" fontId="1" fillId="0" borderId="7" xfId="49" applyFont="1" applyFill="1" applyBorder="1" applyAlignment="1">
      <alignment horizontal="center" vertical="center" wrapText="1"/>
    </xf>
    <xf numFmtId="0" fontId="5" fillId="0" borderId="8" xfId="49" applyFont="1" applyFill="1" applyBorder="1" applyAlignment="1">
      <alignment horizontal="center" vertical="center" wrapText="1"/>
    </xf>
    <xf numFmtId="0" fontId="5" fillId="0" borderId="9" xfId="49" applyFont="1" applyFill="1" applyBorder="1" applyAlignment="1">
      <alignment horizontal="center" vertical="center" wrapText="1"/>
    </xf>
    <xf numFmtId="0" fontId="5" fillId="0" borderId="10" xfId="49" applyFont="1" applyFill="1" applyBorder="1" applyAlignment="1">
      <alignment horizontal="center" vertical="center" wrapText="1"/>
    </xf>
    <xf numFmtId="0" fontId="5" fillId="0" borderId="7" xfId="49" applyFont="1" applyFill="1" applyBorder="1" applyAlignment="1">
      <alignment horizontal="center" vertical="center" wrapText="1"/>
    </xf>
    <xf numFmtId="0" fontId="5" fillId="0" borderId="8" xfId="49" applyFont="1" applyBorder="1" applyAlignment="1">
      <alignment horizontal="center" vertical="center" wrapText="1"/>
    </xf>
    <xf numFmtId="0" fontId="5" fillId="0" borderId="9" xfId="49" applyFont="1" applyBorder="1" applyAlignment="1">
      <alignment horizontal="center" vertical="center" wrapText="1"/>
    </xf>
    <xf numFmtId="0" fontId="5" fillId="0" borderId="10" xfId="49" applyFont="1" applyBorder="1" applyAlignment="1">
      <alignment horizontal="center" vertical="center" wrapText="1"/>
    </xf>
    <xf numFmtId="0" fontId="5" fillId="0" borderId="7" xfId="49" applyFont="1" applyBorder="1" applyAlignment="1">
      <alignment horizontal="center" vertical="center" wrapText="1"/>
    </xf>
    <xf numFmtId="0" fontId="1" fillId="5" borderId="7" xfId="49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176" fontId="1" fillId="0" borderId="7" xfId="50" applyNumberFormat="1" applyFont="1" applyFill="1" applyBorder="1" applyAlignment="1">
      <alignment horizontal="center" vertical="center" wrapText="1"/>
    </xf>
    <xf numFmtId="9" fontId="1" fillId="0" borderId="7" xfId="3" applyFont="1" applyFill="1" applyBorder="1" applyAlignment="1">
      <alignment horizontal="center" vertical="center" wrapText="1"/>
    </xf>
    <xf numFmtId="43" fontId="1" fillId="0" borderId="7" xfId="50" applyFont="1" applyFill="1" applyBorder="1" applyAlignment="1">
      <alignment horizontal="center" vertical="center" wrapText="1"/>
    </xf>
    <xf numFmtId="177" fontId="1" fillId="0" borderId="7" xfId="49" applyNumberFormat="1" applyFont="1" applyFill="1" applyBorder="1" applyAlignment="1">
      <alignment horizontal="center" vertical="center" wrapText="1"/>
    </xf>
    <xf numFmtId="176" fontId="6" fillId="0" borderId="7" xfId="50" applyNumberFormat="1" applyFont="1" applyBorder="1" applyAlignment="1">
      <alignment vertical="center" wrapText="1"/>
    </xf>
    <xf numFmtId="176" fontId="1" fillId="0" borderId="7" xfId="50" applyNumberFormat="1" applyFont="1" applyBorder="1" applyAlignment="1">
      <alignment vertical="center" wrapText="1"/>
    </xf>
    <xf numFmtId="176" fontId="1" fillId="0" borderId="7" xfId="1" applyNumberFormat="1" applyFont="1" applyBorder="1">
      <alignment vertical="center"/>
    </xf>
    <xf numFmtId="176" fontId="1" fillId="0" borderId="7" xfId="0" applyNumberFormat="1" applyFont="1" applyFill="1" applyBorder="1" applyAlignment="1">
      <alignment vertical="center"/>
    </xf>
    <xf numFmtId="0" fontId="1" fillId="0" borderId="7" xfId="0" applyFont="1" applyFill="1" applyBorder="1" applyAlignment="1">
      <alignment horizontal="center" vertical="center" wrapText="1"/>
    </xf>
    <xf numFmtId="43" fontId="1" fillId="0" borderId="7" xfId="1" applyFont="1" applyBorder="1">
      <alignment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176" fontId="1" fillId="6" borderId="7" xfId="50" applyNumberFormat="1" applyFont="1" applyFill="1" applyBorder="1" applyAlignment="1">
      <alignment horizontal="center" vertical="center" wrapText="1"/>
    </xf>
    <xf numFmtId="9" fontId="1" fillId="6" borderId="7" xfId="3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/>
    </xf>
    <xf numFmtId="0" fontId="6" fillId="0" borderId="7" xfId="49" applyFont="1" applyFill="1" applyBorder="1" applyAlignment="1">
      <alignment horizontal="center" vertical="center" wrapText="1"/>
    </xf>
    <xf numFmtId="176" fontId="1" fillId="0" borderId="7" xfId="1" applyNumberFormat="1" applyFont="1" applyFill="1" applyBorder="1">
      <alignment vertical="center"/>
    </xf>
    <xf numFmtId="43" fontId="0" fillId="0" borderId="7" xfId="50" applyFont="1" applyFill="1" applyBorder="1" applyAlignment="1">
      <alignment horizontal="center" vertical="center" wrapText="1"/>
    </xf>
    <xf numFmtId="176" fontId="6" fillId="0" borderId="7" xfId="50" applyNumberFormat="1" applyFont="1" applyFill="1" applyBorder="1" applyAlignment="1">
      <alignment vertical="center" wrapText="1"/>
    </xf>
    <xf numFmtId="176" fontId="1" fillId="0" borderId="7" xfId="50" applyNumberFormat="1" applyFont="1" applyFill="1" applyBorder="1" applyAlignment="1">
      <alignment vertical="center" wrapText="1"/>
    </xf>
    <xf numFmtId="43" fontId="1" fillId="0" borderId="7" xfId="1" applyFont="1" applyFill="1" applyBorder="1">
      <alignment vertical="center"/>
    </xf>
    <xf numFmtId="0" fontId="1" fillId="0" borderId="7" xfId="0" applyFont="1" applyFill="1" applyBorder="1" applyAlignment="1">
      <alignment vertical="center"/>
    </xf>
    <xf numFmtId="0" fontId="1" fillId="6" borderId="8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178" fontId="1" fillId="0" borderId="7" xfId="0" applyNumberFormat="1" applyFont="1" applyFill="1" applyBorder="1" applyAlignment="1">
      <alignment vertical="center"/>
    </xf>
    <xf numFmtId="178" fontId="1" fillId="0" borderId="7" xfId="1" applyNumberFormat="1" applyFont="1" applyBorder="1">
      <alignment vertical="center"/>
    </xf>
    <xf numFmtId="43" fontId="1" fillId="0" borderId="7" xfId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43" fontId="8" fillId="0" borderId="7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176" fontId="6" fillId="0" borderId="7" xfId="50" applyNumberFormat="1" applyFont="1" applyFill="1" applyBorder="1" applyAlignment="1">
      <alignment horizontal="center" vertical="center" wrapText="1"/>
    </xf>
    <xf numFmtId="43" fontId="6" fillId="0" borderId="7" xfId="50" applyFont="1" applyFill="1" applyBorder="1" applyAlignment="1">
      <alignment horizontal="center" vertical="center" wrapText="1"/>
    </xf>
    <xf numFmtId="176" fontId="6" fillId="0" borderId="7" xfId="1" applyNumberFormat="1" applyFont="1" applyBorder="1">
      <alignment vertical="center"/>
    </xf>
    <xf numFmtId="176" fontId="6" fillId="0" borderId="7" xfId="0" applyNumberFormat="1" applyFont="1" applyFill="1" applyBorder="1" applyAlignment="1">
      <alignment vertical="center"/>
    </xf>
    <xf numFmtId="176" fontId="6" fillId="0" borderId="7" xfId="50" applyNumberFormat="1" applyFont="1" applyBorder="1" applyAlignment="1">
      <alignment horizontal="right" vertical="center" wrapText="1"/>
    </xf>
    <xf numFmtId="0" fontId="6" fillId="6" borderId="8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176" fontId="6" fillId="6" borderId="7" xfId="50" applyNumberFormat="1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176" fontId="9" fillId="7" borderId="7" xfId="0" applyNumberFormat="1" applyFont="1" applyFill="1" applyBorder="1" applyAlignment="1">
      <alignment vertical="center"/>
    </xf>
    <xf numFmtId="9" fontId="5" fillId="7" borderId="7" xfId="3" applyFont="1" applyFill="1" applyBorder="1" applyAlignment="1">
      <alignment horizontal="center" vertical="center" wrapText="1"/>
    </xf>
    <xf numFmtId="176" fontId="5" fillId="7" borderId="7" xfId="50" applyNumberFormat="1" applyFont="1" applyFill="1" applyBorder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179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/>
    </xf>
    <xf numFmtId="179" fontId="11" fillId="0" borderId="11" xfId="0" applyNumberFormat="1" applyFont="1" applyFill="1" applyBorder="1" applyAlignment="1">
      <alignment horizontal="center" vertical="center"/>
    </xf>
    <xf numFmtId="179" fontId="11" fillId="0" borderId="0" xfId="0" applyNumberFormat="1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9" fontId="12" fillId="0" borderId="7" xfId="3" applyFont="1" applyFill="1" applyBorder="1" applyAlignment="1">
      <alignment horizontal="center" vertical="center" wrapText="1"/>
    </xf>
    <xf numFmtId="179" fontId="12" fillId="0" borderId="7" xfId="0" applyNumberFormat="1" applyFont="1" applyFill="1" applyBorder="1" applyAlignment="1">
      <alignment horizontal="center" vertical="center"/>
    </xf>
    <xf numFmtId="10" fontId="12" fillId="0" borderId="7" xfId="0" applyNumberFormat="1" applyFont="1" applyFill="1" applyBorder="1" applyAlignment="1">
      <alignment horizontal="center" vertical="center"/>
    </xf>
    <xf numFmtId="176" fontId="12" fillId="0" borderId="7" xfId="0" applyNumberFormat="1" applyFont="1" applyFill="1" applyBorder="1" applyAlignment="1">
      <alignment horizontal="center" vertical="center"/>
    </xf>
    <xf numFmtId="176" fontId="11" fillId="0" borderId="7" xfId="0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179" fontId="12" fillId="0" borderId="7" xfId="3" applyNumberFormat="1" applyFont="1" applyFill="1" applyBorder="1" applyAlignment="1">
      <alignment horizontal="center" vertical="center" wrapText="1"/>
    </xf>
    <xf numFmtId="176" fontId="12" fillId="0" borderId="7" xfId="3" applyNumberFormat="1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179" fontId="14" fillId="0" borderId="7" xfId="0" applyNumberFormat="1" applyFont="1" applyFill="1" applyBorder="1" applyAlignment="1">
      <alignment horizontal="center" vertical="center"/>
    </xf>
    <xf numFmtId="179" fontId="5" fillId="0" borderId="7" xfId="1" applyNumberFormat="1" applyFont="1" applyFill="1" applyBorder="1" applyAlignment="1">
      <alignment horizontal="center" vertical="center"/>
    </xf>
    <xf numFmtId="10" fontId="5" fillId="0" borderId="7" xfId="3" applyNumberFormat="1" applyFont="1" applyFill="1" applyBorder="1" applyAlignment="1">
      <alignment horizontal="center" vertical="center"/>
    </xf>
    <xf numFmtId="176" fontId="5" fillId="0" borderId="7" xfId="3" applyNumberFormat="1" applyFont="1" applyFill="1" applyBorder="1" applyAlignment="1">
      <alignment horizontal="center" vertical="center"/>
    </xf>
    <xf numFmtId="176" fontId="5" fillId="0" borderId="7" xfId="1" applyNumberFormat="1" applyFont="1" applyFill="1" applyBorder="1" applyAlignment="1">
      <alignment horizontal="center" vertical="center"/>
    </xf>
    <xf numFmtId="9" fontId="5" fillId="0" borderId="7" xfId="3" applyFont="1" applyFill="1" applyBorder="1" applyAlignment="1">
      <alignment horizontal="center" vertical="center"/>
    </xf>
    <xf numFmtId="179" fontId="13" fillId="0" borderId="7" xfId="0" applyNumberFormat="1" applyFont="1" applyFill="1" applyBorder="1" applyAlignment="1">
      <alignment horizontal="center" vertical="center"/>
    </xf>
    <xf numFmtId="179" fontId="5" fillId="0" borderId="7" xfId="1" applyNumberFormat="1" applyFont="1" applyFill="1" applyBorder="1" applyAlignment="1">
      <alignment horizontal="center" vertical="center" wrapText="1"/>
    </xf>
    <xf numFmtId="9" fontId="5" fillId="0" borderId="7" xfId="3" applyFont="1" applyFill="1" applyBorder="1" applyAlignment="1">
      <alignment horizontal="center" vertical="center" wrapText="1"/>
    </xf>
    <xf numFmtId="176" fontId="5" fillId="0" borderId="7" xfId="3" applyNumberFormat="1" applyFont="1" applyFill="1" applyBorder="1" applyAlignment="1">
      <alignment horizontal="center" vertical="center" wrapText="1"/>
    </xf>
    <xf numFmtId="176" fontId="5" fillId="0" borderId="7" xfId="1" applyNumberFormat="1" applyFont="1" applyFill="1" applyBorder="1" applyAlignment="1">
      <alignment horizontal="center" vertical="center" wrapText="1"/>
    </xf>
    <xf numFmtId="0" fontId="5" fillId="0" borderId="7" xfId="3" applyNumberFormat="1" applyFont="1" applyFill="1" applyBorder="1" applyAlignment="1">
      <alignment horizontal="center" vertical="center" wrapText="1"/>
    </xf>
    <xf numFmtId="177" fontId="5" fillId="0" borderId="7" xfId="3" applyNumberFormat="1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/>
    </xf>
    <xf numFmtId="179" fontId="14" fillId="8" borderId="7" xfId="0" applyNumberFormat="1" applyFont="1" applyFill="1" applyBorder="1" applyAlignment="1">
      <alignment horizontal="center" vertical="center"/>
    </xf>
    <xf numFmtId="9" fontId="14" fillId="8" borderId="7" xfId="3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79" fontId="9" fillId="0" borderId="7" xfId="1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9" fontId="14" fillId="8" borderId="1" xfId="0" applyNumberFormat="1" applyFont="1" applyFill="1" applyBorder="1" applyAlignment="1">
      <alignment horizontal="center" vertical="center"/>
    </xf>
    <xf numFmtId="10" fontId="5" fillId="8" borderId="1" xfId="3" applyNumberFormat="1" applyFont="1" applyFill="1" applyBorder="1" applyAlignment="1">
      <alignment horizontal="center" vertical="center"/>
    </xf>
    <xf numFmtId="176" fontId="14" fillId="8" borderId="1" xfId="0" applyNumberFormat="1" applyFont="1" applyFill="1" applyBorder="1" applyAlignment="1">
      <alignment horizontal="center" vertical="center"/>
    </xf>
    <xf numFmtId="9" fontId="14" fillId="8" borderId="1" xfId="3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179" fontId="16" fillId="7" borderId="7" xfId="0" applyNumberFormat="1" applyFont="1" applyFill="1" applyBorder="1" applyAlignment="1">
      <alignment vertical="center" wrapText="1"/>
    </xf>
    <xf numFmtId="176" fontId="16" fillId="7" borderId="7" xfId="0" applyNumberFormat="1" applyFont="1" applyFill="1" applyBorder="1" applyAlignment="1">
      <alignment vertical="center" wrapText="1"/>
    </xf>
    <xf numFmtId="10" fontId="16" fillId="7" borderId="7" xfId="3" applyNumberFormat="1" applyFont="1" applyFill="1" applyBorder="1" applyAlignment="1">
      <alignment vertical="center"/>
    </xf>
    <xf numFmtId="9" fontId="16" fillId="7" borderId="7" xfId="3" applyFont="1" applyFill="1" applyBorder="1" applyAlignment="1">
      <alignment vertical="center" wrapText="1"/>
    </xf>
    <xf numFmtId="10" fontId="16" fillId="7" borderId="7" xfId="3" applyNumberFormat="1" applyFont="1" applyFill="1" applyBorder="1" applyAlignment="1">
      <alignment vertical="center" wrapText="1"/>
    </xf>
    <xf numFmtId="0" fontId="15" fillId="0" borderId="0" xfId="0" applyFont="1" applyFill="1" applyAlignment="1">
      <alignment horizontal="center" vertical="center"/>
    </xf>
    <xf numFmtId="179" fontId="16" fillId="0" borderId="0" xfId="0" applyNumberFormat="1" applyFont="1" applyFill="1" applyBorder="1" applyAlignment="1">
      <alignment vertical="center" wrapText="1"/>
    </xf>
    <xf numFmtId="176" fontId="16" fillId="0" borderId="0" xfId="0" applyNumberFormat="1" applyFont="1" applyFill="1" applyBorder="1" applyAlignment="1">
      <alignment vertical="center" wrapText="1"/>
    </xf>
    <xf numFmtId="10" fontId="16" fillId="0" borderId="0" xfId="3" applyNumberFormat="1" applyFont="1" applyFill="1" applyBorder="1" applyAlignment="1">
      <alignment vertical="center"/>
    </xf>
    <xf numFmtId="9" fontId="16" fillId="0" borderId="0" xfId="3" applyFont="1" applyFill="1" applyBorder="1" applyAlignment="1">
      <alignment vertical="center" wrapText="1"/>
    </xf>
    <xf numFmtId="10" fontId="16" fillId="0" borderId="0" xfId="3" applyNumberFormat="1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179" fontId="12" fillId="0" borderId="0" xfId="0" applyNumberFormat="1" applyFont="1" applyFill="1" applyBorder="1" applyAlignment="1">
      <alignment horizontal="center" vertical="center" wrapText="1"/>
    </xf>
    <xf numFmtId="179" fontId="0" fillId="0" borderId="0" xfId="0" applyNumberForma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9" fontId="19" fillId="9" borderId="12" xfId="3" applyFont="1" applyFill="1" applyBorder="1" applyAlignment="1">
      <alignment horizontal="center" vertical="center" wrapText="1"/>
    </xf>
    <xf numFmtId="9" fontId="19" fillId="9" borderId="13" xfId="3" applyFont="1" applyFill="1" applyBorder="1" applyAlignment="1">
      <alignment horizontal="center" vertical="center" wrapText="1"/>
    </xf>
    <xf numFmtId="179" fontId="19" fillId="9" borderId="14" xfId="0" applyNumberFormat="1" applyFont="1" applyFill="1" applyBorder="1" applyAlignment="1">
      <alignment horizontal="center" vertical="center" wrapText="1"/>
    </xf>
    <xf numFmtId="179" fontId="19" fillId="9" borderId="13" xfId="0" applyNumberFormat="1" applyFont="1" applyFill="1" applyBorder="1" applyAlignment="1">
      <alignment horizontal="center" vertical="center" wrapText="1"/>
    </xf>
    <xf numFmtId="10" fontId="19" fillId="9" borderId="15" xfId="0" applyNumberFormat="1" applyFont="1" applyFill="1" applyBorder="1" applyAlignment="1">
      <alignment horizontal="center" vertical="center" wrapText="1"/>
    </xf>
    <xf numFmtId="176" fontId="19" fillId="9" borderId="14" xfId="0" applyNumberFormat="1" applyFont="1" applyFill="1" applyBorder="1" applyAlignment="1">
      <alignment horizontal="center" vertical="center" wrapText="1"/>
    </xf>
    <xf numFmtId="176" fontId="19" fillId="9" borderId="13" xfId="0" applyNumberFormat="1" applyFont="1" applyFill="1" applyBorder="1" applyAlignment="1">
      <alignment horizontal="center" vertical="center" wrapText="1"/>
    </xf>
    <xf numFmtId="0" fontId="19" fillId="9" borderId="15" xfId="0" applyFont="1" applyFill="1" applyBorder="1" applyAlignment="1">
      <alignment horizontal="center" vertical="center" wrapText="1"/>
    </xf>
    <xf numFmtId="0" fontId="19" fillId="9" borderId="16" xfId="0" applyFont="1" applyFill="1" applyBorder="1" applyAlignment="1">
      <alignment horizontal="center" vertical="center" wrapText="1"/>
    </xf>
    <xf numFmtId="9" fontId="19" fillId="9" borderId="17" xfId="3" applyFont="1" applyFill="1" applyBorder="1" applyAlignment="1">
      <alignment horizontal="center" vertical="center" wrapText="1"/>
    </xf>
    <xf numFmtId="9" fontId="19" fillId="9" borderId="18" xfId="3" applyFont="1" applyFill="1" applyBorder="1" applyAlignment="1">
      <alignment horizontal="center" vertical="center" wrapText="1"/>
    </xf>
    <xf numFmtId="179" fontId="19" fillId="9" borderId="19" xfId="3" applyNumberFormat="1" applyFont="1" applyFill="1" applyBorder="1" applyAlignment="1">
      <alignment horizontal="center" vertical="center" wrapText="1"/>
    </xf>
    <xf numFmtId="179" fontId="19" fillId="9" borderId="18" xfId="3" applyNumberFormat="1" applyFont="1" applyFill="1" applyBorder="1" applyAlignment="1">
      <alignment horizontal="center" vertical="center" wrapText="1"/>
    </xf>
    <xf numFmtId="9" fontId="19" fillId="9" borderId="20" xfId="3" applyFont="1" applyFill="1" applyBorder="1" applyAlignment="1">
      <alignment horizontal="center" vertical="center" wrapText="1"/>
    </xf>
    <xf numFmtId="176" fontId="19" fillId="9" borderId="19" xfId="3" applyNumberFormat="1" applyFont="1" applyFill="1" applyBorder="1" applyAlignment="1">
      <alignment horizontal="center" vertical="center" wrapText="1"/>
    </xf>
    <xf numFmtId="176" fontId="19" fillId="9" borderId="18" xfId="3" applyNumberFormat="1" applyFont="1" applyFill="1" applyBorder="1" applyAlignment="1">
      <alignment horizontal="center" vertical="center" wrapText="1"/>
    </xf>
    <xf numFmtId="9" fontId="19" fillId="9" borderId="21" xfId="3" applyFont="1" applyFill="1" applyBorder="1" applyAlignment="1">
      <alignment horizontal="center" vertical="center" wrapText="1"/>
    </xf>
    <xf numFmtId="0" fontId="20" fillId="9" borderId="22" xfId="0" applyFont="1" applyFill="1" applyBorder="1" applyAlignment="1">
      <alignment horizontal="center" vertical="center" wrapText="1"/>
    </xf>
    <xf numFmtId="0" fontId="20" fillId="9" borderId="0" xfId="0" applyFont="1" applyFill="1" applyBorder="1" applyAlignment="1">
      <alignment horizontal="center" vertical="center" wrapText="1"/>
    </xf>
    <xf numFmtId="179" fontId="20" fillId="9" borderId="23" xfId="0" applyNumberFormat="1" applyFont="1" applyFill="1" applyBorder="1" applyAlignment="1">
      <alignment horizontal="center" vertical="center" wrapText="1"/>
    </xf>
    <xf numFmtId="179" fontId="20" fillId="9" borderId="0" xfId="0" applyNumberFormat="1" applyFont="1" applyFill="1" applyBorder="1" applyAlignment="1">
      <alignment horizontal="center" vertical="center" wrapText="1"/>
    </xf>
    <xf numFmtId="10" fontId="20" fillId="9" borderId="6" xfId="3" applyNumberFormat="1" applyFont="1" applyFill="1" applyBorder="1" applyAlignment="1">
      <alignment horizontal="center" vertical="center" wrapText="1"/>
    </xf>
    <xf numFmtId="176" fontId="20" fillId="9" borderId="23" xfId="0" applyNumberFormat="1" applyFont="1" applyFill="1" applyBorder="1" applyAlignment="1">
      <alignment horizontal="center" vertical="center" wrapText="1"/>
    </xf>
    <xf numFmtId="176" fontId="20" fillId="9" borderId="0" xfId="0" applyNumberFormat="1" applyFont="1" applyFill="1" applyBorder="1" applyAlignment="1">
      <alignment horizontal="center" vertical="center" wrapText="1"/>
    </xf>
    <xf numFmtId="9" fontId="20" fillId="9" borderId="6" xfId="3" applyFont="1" applyFill="1" applyBorder="1" applyAlignment="1">
      <alignment horizontal="center" vertical="center" wrapText="1"/>
    </xf>
    <xf numFmtId="9" fontId="20" fillId="9" borderId="24" xfId="3" applyFont="1" applyFill="1" applyBorder="1" applyAlignment="1">
      <alignment horizontal="center" vertical="center" wrapText="1"/>
    </xf>
    <xf numFmtId="0" fontId="20" fillId="0" borderId="22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179" fontId="20" fillId="0" borderId="23" xfId="0" applyNumberFormat="1" applyFont="1" applyFill="1" applyBorder="1" applyAlignment="1">
      <alignment horizontal="center" vertical="center" wrapText="1"/>
    </xf>
    <xf numFmtId="179" fontId="20" fillId="0" borderId="0" xfId="0" applyNumberFormat="1" applyFont="1" applyFill="1" applyBorder="1" applyAlignment="1">
      <alignment horizontal="center" vertical="center" wrapText="1"/>
    </xf>
    <xf numFmtId="10" fontId="20" fillId="0" borderId="6" xfId="3" applyNumberFormat="1" applyFont="1" applyFill="1" applyBorder="1" applyAlignment="1">
      <alignment horizontal="center" vertical="center" wrapText="1"/>
    </xf>
    <xf numFmtId="176" fontId="20" fillId="0" borderId="23" xfId="0" applyNumberFormat="1" applyFont="1" applyFill="1" applyBorder="1" applyAlignment="1">
      <alignment horizontal="center" vertical="center" wrapText="1"/>
    </xf>
    <xf numFmtId="176" fontId="20" fillId="0" borderId="0" xfId="0" applyNumberFormat="1" applyFont="1" applyFill="1" applyBorder="1" applyAlignment="1">
      <alignment horizontal="center" vertical="center" wrapText="1"/>
    </xf>
    <xf numFmtId="9" fontId="20" fillId="0" borderId="6" xfId="3" applyFont="1" applyFill="1" applyBorder="1" applyAlignment="1">
      <alignment horizontal="center" vertical="center" wrapText="1"/>
    </xf>
    <xf numFmtId="9" fontId="20" fillId="0" borderId="24" xfId="3" applyFont="1" applyFill="1" applyBorder="1" applyAlignment="1">
      <alignment horizontal="center" vertical="center" wrapText="1"/>
    </xf>
    <xf numFmtId="176" fontId="21" fillId="9" borderId="0" xfId="0" applyNumberFormat="1" applyFont="1" applyFill="1" applyBorder="1" applyAlignment="1">
      <alignment horizontal="center" vertical="center" wrapText="1"/>
    </xf>
    <xf numFmtId="0" fontId="22" fillId="0" borderId="25" xfId="0" applyFont="1" applyFill="1" applyBorder="1" applyAlignment="1">
      <alignment horizontal="center" vertical="center" wrapText="1"/>
    </xf>
    <xf numFmtId="0" fontId="22" fillId="0" borderId="26" xfId="0" applyFont="1" applyFill="1" applyBorder="1" applyAlignment="1">
      <alignment horizontal="center" vertical="center" wrapText="1"/>
    </xf>
    <xf numFmtId="0" fontId="22" fillId="0" borderId="27" xfId="0" applyFont="1" applyFill="1" applyBorder="1" applyAlignment="1">
      <alignment horizontal="center" vertical="center" wrapText="1"/>
    </xf>
    <xf numFmtId="10" fontId="22" fillId="0" borderId="28" xfId="3" applyNumberFormat="1" applyFont="1" applyFill="1" applyBorder="1" applyAlignment="1">
      <alignment horizontal="center" vertical="center" wrapText="1"/>
    </xf>
    <xf numFmtId="177" fontId="22" fillId="0" borderId="27" xfId="0" applyNumberFormat="1" applyFont="1" applyFill="1" applyBorder="1" applyAlignment="1">
      <alignment horizontal="center" vertical="center" wrapText="1"/>
    </xf>
    <xf numFmtId="177" fontId="23" fillId="0" borderId="26" xfId="0" applyNumberFormat="1" applyFont="1" applyFill="1" applyBorder="1" applyAlignment="1">
      <alignment horizontal="center" vertical="center" wrapText="1"/>
    </xf>
    <xf numFmtId="9" fontId="22" fillId="0" borderId="28" xfId="3" applyFont="1" applyFill="1" applyBorder="1" applyAlignment="1">
      <alignment horizontal="center" vertical="center" wrapText="1"/>
    </xf>
    <xf numFmtId="177" fontId="22" fillId="0" borderId="26" xfId="0" applyNumberFormat="1" applyFont="1" applyFill="1" applyBorder="1" applyAlignment="1">
      <alignment horizontal="center" vertical="center" wrapText="1"/>
    </xf>
    <xf numFmtId="9" fontId="22" fillId="0" borderId="29" xfId="3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千位分隔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"/>
  <sheetViews>
    <sheetView workbookViewId="0">
      <selection activeCell="L20" sqref="L20"/>
    </sheetView>
  </sheetViews>
  <sheetFormatPr defaultColWidth="9" defaultRowHeight="13.5"/>
  <cols>
    <col min="1" max="1" width="5.675" style="1" customWidth="1"/>
    <col min="2" max="2" width="9.78333333333333" style="1" customWidth="1"/>
    <col min="3" max="3" width="8.11666666666667" style="1" customWidth="1"/>
    <col min="4" max="4" width="6.675" style="1" customWidth="1"/>
    <col min="5" max="5" width="12.175" style="1" customWidth="1"/>
    <col min="6" max="6" width="13.3416666666667" style="79" customWidth="1"/>
    <col min="7" max="7" width="12.3416666666667" style="79" customWidth="1"/>
    <col min="8" max="8" width="13.3416666666667" style="79" customWidth="1"/>
    <col min="9" max="12" width="13.3416666666667" style="1" customWidth="1"/>
    <col min="13" max="14" width="10.3416666666667" style="1" customWidth="1"/>
    <col min="15" max="15" width="13.3416666666667" style="1" customWidth="1"/>
    <col min="16" max="16" width="11.3416666666667" style="1" customWidth="1"/>
    <col min="17" max="18" width="13.3416666666667" style="1" customWidth="1"/>
    <col min="19" max="19" width="10.3416666666667" style="1" customWidth="1"/>
    <col min="20" max="23" width="13.3416666666667" style="1" customWidth="1"/>
    <col min="24" max="16384" width="9" style="1"/>
  </cols>
  <sheetData>
    <row r="1" s="1" customFormat="1" ht="24.5" customHeight="1" spans="1:23">
      <c r="A1" s="148" t="s">
        <v>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</row>
    <row r="2" s="1" customFormat="1" ht="18.5" customHeight="1" spans="1:23">
      <c r="A2" s="149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 s="1" customFormat="1" ht="18.5" customHeight="1" spans="1:23">
      <c r="A3" s="150" t="s">
        <v>2</v>
      </c>
      <c r="B3" s="151" t="s">
        <v>3</v>
      </c>
      <c r="C3" s="152" t="s">
        <v>4</v>
      </c>
      <c r="D3" s="153"/>
      <c r="E3" s="154"/>
      <c r="F3" s="155" t="s">
        <v>5</v>
      </c>
      <c r="G3" s="156"/>
      <c r="H3" s="154"/>
      <c r="I3" s="155" t="s">
        <v>6</v>
      </c>
      <c r="J3" s="156"/>
      <c r="K3" s="157"/>
      <c r="L3" s="152" t="s">
        <v>7</v>
      </c>
      <c r="M3" s="153"/>
      <c r="N3" s="157"/>
      <c r="O3" s="155" t="s">
        <v>8</v>
      </c>
      <c r="P3" s="156"/>
      <c r="Q3" s="157"/>
      <c r="R3" s="152" t="s">
        <v>9</v>
      </c>
      <c r="S3" s="153"/>
      <c r="T3" s="157"/>
      <c r="U3" s="156" t="s">
        <v>10</v>
      </c>
      <c r="V3" s="156"/>
      <c r="W3" s="158"/>
    </row>
    <row r="4" s="1" customFormat="1" ht="35" customHeight="1" spans="1:23">
      <c r="A4" s="159"/>
      <c r="B4" s="160"/>
      <c r="C4" s="161" t="s">
        <v>11</v>
      </c>
      <c r="D4" s="162" t="s">
        <v>12</v>
      </c>
      <c r="E4" s="163" t="s">
        <v>13</v>
      </c>
      <c r="F4" s="164" t="s">
        <v>11</v>
      </c>
      <c r="G4" s="165" t="s">
        <v>12</v>
      </c>
      <c r="H4" s="163" t="s">
        <v>13</v>
      </c>
      <c r="I4" s="164" t="s">
        <v>11</v>
      </c>
      <c r="J4" s="165" t="s">
        <v>12</v>
      </c>
      <c r="K4" s="163" t="s">
        <v>13</v>
      </c>
      <c r="L4" s="161" t="s">
        <v>11</v>
      </c>
      <c r="M4" s="162" t="s">
        <v>14</v>
      </c>
      <c r="N4" s="163" t="s">
        <v>15</v>
      </c>
      <c r="O4" s="164" t="s">
        <v>11</v>
      </c>
      <c r="P4" s="165" t="s">
        <v>14</v>
      </c>
      <c r="Q4" s="163" t="s">
        <v>15</v>
      </c>
      <c r="R4" s="161" t="s">
        <v>11</v>
      </c>
      <c r="S4" s="162" t="s">
        <v>14</v>
      </c>
      <c r="T4" s="163" t="s">
        <v>15</v>
      </c>
      <c r="U4" s="165" t="s">
        <v>11</v>
      </c>
      <c r="V4" s="165" t="s">
        <v>14</v>
      </c>
      <c r="W4" s="166" t="s">
        <v>15</v>
      </c>
    </row>
    <row r="5" s="1" customFormat="1" ht="18.5" customHeight="1" spans="1:23">
      <c r="A5" s="167">
        <v>1</v>
      </c>
      <c r="B5" s="168" t="s">
        <v>16</v>
      </c>
      <c r="C5" s="169">
        <v>5256</v>
      </c>
      <c r="D5" s="170">
        <v>2222</v>
      </c>
      <c r="E5" s="171">
        <v>0.422754946727549</v>
      </c>
      <c r="F5" s="172">
        <v>101740.12</v>
      </c>
      <c r="G5" s="173">
        <v>47507.329851</v>
      </c>
      <c r="H5" s="174">
        <v>0.466947845658134</v>
      </c>
      <c r="I5" s="172">
        <v>39289.15</v>
      </c>
      <c r="J5" s="173">
        <v>15645.1882451294</v>
      </c>
      <c r="K5" s="174">
        <v>0.398206330376946</v>
      </c>
      <c r="L5" s="169">
        <v>2300</v>
      </c>
      <c r="M5" s="170">
        <v>847</v>
      </c>
      <c r="N5" s="174">
        <v>0.368260869565217</v>
      </c>
      <c r="O5" s="172">
        <v>41357</v>
      </c>
      <c r="P5" s="173">
        <v>14916.492284</v>
      </c>
      <c r="Q5" s="174">
        <v>0.360676361534928</v>
      </c>
      <c r="R5" s="169">
        <v>2300</v>
      </c>
      <c r="S5" s="170">
        <v>1105</v>
      </c>
      <c r="T5" s="174">
        <v>0.480434782608696</v>
      </c>
      <c r="U5" s="173">
        <v>41357</v>
      </c>
      <c r="V5" s="173">
        <v>18485.738548</v>
      </c>
      <c r="W5" s="175">
        <v>0.446979678119786</v>
      </c>
    </row>
    <row r="6" s="1" customFormat="1" ht="18.5" customHeight="1" spans="1:23">
      <c r="A6" s="176">
        <v>2</v>
      </c>
      <c r="B6" s="177" t="s">
        <v>17</v>
      </c>
      <c r="C6" s="178">
        <v>1339</v>
      </c>
      <c r="D6" s="179">
        <v>1008</v>
      </c>
      <c r="E6" s="180">
        <v>0.752800597460792</v>
      </c>
      <c r="F6" s="181">
        <v>13439.84666655</v>
      </c>
      <c r="G6" s="182">
        <v>7867.595325</v>
      </c>
      <c r="H6" s="183">
        <v>0.585393235518185</v>
      </c>
      <c r="I6" s="181">
        <v>5228.8</v>
      </c>
      <c r="J6" s="182">
        <v>1933.19062824526</v>
      </c>
      <c r="K6" s="183">
        <v>0.369719749893906</v>
      </c>
      <c r="L6" s="178">
        <v>553</v>
      </c>
      <c r="M6" s="179">
        <v>202</v>
      </c>
      <c r="N6" s="183">
        <v>0.365280289330922</v>
      </c>
      <c r="O6" s="181">
        <v>5504</v>
      </c>
      <c r="P6" s="182">
        <v>1656.715363</v>
      </c>
      <c r="Q6" s="183">
        <v>0.301002064498546</v>
      </c>
      <c r="R6" s="178">
        <v>553</v>
      </c>
      <c r="S6" s="179">
        <v>351</v>
      </c>
      <c r="T6" s="183">
        <v>0.634719710669078</v>
      </c>
      <c r="U6" s="182">
        <v>5504</v>
      </c>
      <c r="V6" s="182">
        <v>2673.468726</v>
      </c>
      <c r="W6" s="184">
        <v>0.485731963299419</v>
      </c>
    </row>
    <row r="7" s="1" customFormat="1" ht="18.5" customHeight="1" spans="1:23">
      <c r="A7" s="167">
        <v>3</v>
      </c>
      <c r="B7" s="168" t="s">
        <v>18</v>
      </c>
      <c r="C7" s="169">
        <v>1328</v>
      </c>
      <c r="D7" s="170">
        <v>812</v>
      </c>
      <c r="E7" s="171">
        <v>0.61144578313253</v>
      </c>
      <c r="F7" s="172">
        <v>31010</v>
      </c>
      <c r="G7" s="173">
        <v>18773.651441</v>
      </c>
      <c r="H7" s="174">
        <v>0.605406367010643</v>
      </c>
      <c r="I7" s="172">
        <v>11972.210563254</v>
      </c>
      <c r="J7" s="173">
        <v>9078.83039819756</v>
      </c>
      <c r="K7" s="174">
        <v>0.758325319307612</v>
      </c>
      <c r="L7" s="169">
        <v>583</v>
      </c>
      <c r="M7" s="170">
        <v>265</v>
      </c>
      <c r="N7" s="174">
        <v>0.454545454545455</v>
      </c>
      <c r="O7" s="172">
        <v>12602.3269086884</v>
      </c>
      <c r="P7" s="173">
        <v>9555.395589</v>
      </c>
      <c r="Q7" s="174">
        <v>0.758224703916562</v>
      </c>
      <c r="R7" s="169">
        <v>583</v>
      </c>
      <c r="S7" s="170">
        <v>277</v>
      </c>
      <c r="T7" s="174">
        <v>0.475128644939966</v>
      </c>
      <c r="U7" s="173">
        <v>12602.3269086884</v>
      </c>
      <c r="V7" s="173">
        <v>10501.21106641</v>
      </c>
      <c r="W7" s="175">
        <v>0.833275564306315</v>
      </c>
    </row>
    <row r="8" s="1" customFormat="1" ht="18.5" customHeight="1" spans="1:23">
      <c r="A8" s="176">
        <v>4</v>
      </c>
      <c r="B8" s="177" t="s">
        <v>19</v>
      </c>
      <c r="C8" s="178">
        <v>1823</v>
      </c>
      <c r="D8" s="179">
        <v>786</v>
      </c>
      <c r="E8" s="180">
        <v>0.431157432803072</v>
      </c>
      <c r="F8" s="181">
        <v>15128.25</v>
      </c>
      <c r="G8" s="182">
        <v>8225.95488407</v>
      </c>
      <c r="H8" s="183">
        <v>0.543747947321732</v>
      </c>
      <c r="I8" s="181">
        <v>5933.9329224405</v>
      </c>
      <c r="J8" s="182">
        <v>1535.67858161548</v>
      </c>
      <c r="K8" s="183">
        <v>0.258796080388434</v>
      </c>
      <c r="L8" s="178">
        <v>503</v>
      </c>
      <c r="M8" s="179">
        <v>84</v>
      </c>
      <c r="N8" s="183">
        <v>0.166998011928429</v>
      </c>
      <c r="O8" s="181">
        <v>6246.24518151631</v>
      </c>
      <c r="P8" s="182">
        <v>754.190871</v>
      </c>
      <c r="Q8" s="183">
        <v>0.120743078294745</v>
      </c>
      <c r="R8" s="178">
        <v>503</v>
      </c>
      <c r="S8" s="179">
        <v>146</v>
      </c>
      <c r="T8" s="183">
        <v>0.290258449304175</v>
      </c>
      <c r="U8" s="182">
        <v>6246.24518151631</v>
      </c>
      <c r="V8" s="182">
        <v>1445.055253</v>
      </c>
      <c r="W8" s="184">
        <v>0.231347827535839</v>
      </c>
    </row>
    <row r="9" s="1" customFormat="1" ht="18.5" customHeight="1" spans="1:23">
      <c r="A9" s="167">
        <v>5</v>
      </c>
      <c r="B9" s="168" t="s">
        <v>20</v>
      </c>
      <c r="C9" s="169">
        <v>2622</v>
      </c>
      <c r="D9" s="170">
        <v>1238</v>
      </c>
      <c r="E9" s="171">
        <v>0.472158657513349</v>
      </c>
      <c r="F9" s="172">
        <v>36539.8</v>
      </c>
      <c r="G9" s="173">
        <v>20213.57789</v>
      </c>
      <c r="H9" s="174">
        <v>0.553193446324282</v>
      </c>
      <c r="I9" s="172">
        <v>14130.3</v>
      </c>
      <c r="J9" s="173">
        <v>4942.49445849302</v>
      </c>
      <c r="K9" s="174">
        <v>0.349779867270548</v>
      </c>
      <c r="L9" s="169">
        <v>1145</v>
      </c>
      <c r="M9" s="170">
        <v>389</v>
      </c>
      <c r="N9" s="174">
        <v>0.339737991266376</v>
      </c>
      <c r="O9" s="172">
        <v>14874</v>
      </c>
      <c r="P9" s="173">
        <v>4947.913034</v>
      </c>
      <c r="Q9" s="174">
        <v>0.332655172381337</v>
      </c>
      <c r="R9" s="169">
        <v>1145</v>
      </c>
      <c r="S9" s="170">
        <v>523</v>
      </c>
      <c r="T9" s="174">
        <v>0.456768558951965</v>
      </c>
      <c r="U9" s="173">
        <v>14874</v>
      </c>
      <c r="V9" s="173">
        <v>6418.56592</v>
      </c>
      <c r="W9" s="175">
        <v>0.431529240285061</v>
      </c>
    </row>
    <row r="10" s="1" customFormat="1" ht="18.5" customHeight="1" spans="1:23">
      <c r="A10" s="176">
        <v>6</v>
      </c>
      <c r="B10" s="177" t="s">
        <v>21</v>
      </c>
      <c r="C10" s="178">
        <v>2063</v>
      </c>
      <c r="D10" s="179">
        <v>1062</v>
      </c>
      <c r="E10" s="180">
        <v>0.514784294716432</v>
      </c>
      <c r="F10" s="181">
        <v>23240</v>
      </c>
      <c r="G10" s="182">
        <v>11918.856047</v>
      </c>
      <c r="H10" s="183">
        <v>0.512859554518072</v>
      </c>
      <c r="I10" s="181">
        <v>8827.4</v>
      </c>
      <c r="J10" s="182">
        <v>1638.56517835846</v>
      </c>
      <c r="K10" s="183">
        <v>0.18562262708821</v>
      </c>
      <c r="L10" s="178">
        <v>815</v>
      </c>
      <c r="M10" s="179">
        <v>131</v>
      </c>
      <c r="N10" s="183">
        <v>0.160736196319018</v>
      </c>
      <c r="O10" s="181">
        <v>9292</v>
      </c>
      <c r="P10" s="182">
        <v>1110.525767</v>
      </c>
      <c r="Q10" s="183">
        <v>0.119514180693069</v>
      </c>
      <c r="R10" s="178">
        <v>815</v>
      </c>
      <c r="S10" s="179">
        <v>197</v>
      </c>
      <c r="T10" s="183">
        <v>0.241717791411043</v>
      </c>
      <c r="U10" s="182">
        <v>9292</v>
      </c>
      <c r="V10" s="182">
        <v>1605.326774</v>
      </c>
      <c r="W10" s="184">
        <v>0.172764396685321</v>
      </c>
    </row>
    <row r="11" s="1" customFormat="1" ht="18.5" customHeight="1" spans="1:23">
      <c r="A11" s="167">
        <v>7</v>
      </c>
      <c r="B11" s="168" t="s">
        <v>22</v>
      </c>
      <c r="C11" s="169">
        <v>1381</v>
      </c>
      <c r="D11" s="170">
        <v>662</v>
      </c>
      <c r="E11" s="171">
        <v>0.479362780593773</v>
      </c>
      <c r="F11" s="172">
        <v>10360</v>
      </c>
      <c r="G11" s="173">
        <v>5165.07814800002</v>
      </c>
      <c r="H11" s="174">
        <v>0.498559666795369</v>
      </c>
      <c r="I11" s="172">
        <v>4088.64952532043</v>
      </c>
      <c r="J11" s="173">
        <v>465.936018922424</v>
      </c>
      <c r="K11" s="174">
        <v>0.113958414884169</v>
      </c>
      <c r="L11" s="169">
        <v>555.619722906159</v>
      </c>
      <c r="M11" s="170">
        <v>43</v>
      </c>
      <c r="N11" s="174">
        <v>0.077391061237152</v>
      </c>
      <c r="O11" s="172">
        <v>4303.84160560045</v>
      </c>
      <c r="P11" s="173">
        <v>468.220354</v>
      </c>
      <c r="Q11" s="174">
        <v>0.108791260670634</v>
      </c>
      <c r="R11" s="169">
        <v>555.619722906159</v>
      </c>
      <c r="S11" s="170">
        <v>33</v>
      </c>
      <c r="T11" s="174">
        <v>0.0593931400192097</v>
      </c>
      <c r="U11" s="173">
        <v>4303.84160560045</v>
      </c>
      <c r="V11" s="173">
        <v>341.274541</v>
      </c>
      <c r="W11" s="175">
        <v>0.0792953301431703</v>
      </c>
    </row>
    <row r="12" s="1" customFormat="1" ht="18.5" customHeight="1" spans="1:23">
      <c r="A12" s="176">
        <v>8</v>
      </c>
      <c r="B12" s="177" t="s">
        <v>23</v>
      </c>
      <c r="C12" s="178">
        <v>118</v>
      </c>
      <c r="D12" s="179">
        <v>2</v>
      </c>
      <c r="E12" s="180">
        <v>0.0169491525423729</v>
      </c>
      <c r="F12" s="181">
        <v>1540</v>
      </c>
      <c r="G12" s="182">
        <v>13.644988</v>
      </c>
      <c r="H12" s="183">
        <v>0.00886038181818182</v>
      </c>
      <c r="I12" s="181">
        <v>589.95</v>
      </c>
      <c r="J12" s="182">
        <v>0</v>
      </c>
      <c r="K12" s="183">
        <v>0</v>
      </c>
      <c r="L12" s="178">
        <v>45</v>
      </c>
      <c r="M12" s="179">
        <v>0</v>
      </c>
      <c r="N12" s="183">
        <v>0</v>
      </c>
      <c r="O12" s="181">
        <v>621</v>
      </c>
      <c r="P12" s="182">
        <v>0</v>
      </c>
      <c r="Q12" s="183">
        <v>0</v>
      </c>
      <c r="R12" s="178">
        <v>45</v>
      </c>
      <c r="S12" s="179">
        <v>0</v>
      </c>
      <c r="T12" s="183">
        <v>0</v>
      </c>
      <c r="U12" s="182">
        <v>621</v>
      </c>
      <c r="V12" s="182">
        <v>0</v>
      </c>
      <c r="W12" s="184">
        <v>0</v>
      </c>
    </row>
    <row r="13" s="1" customFormat="1" ht="18.5" customHeight="1" spans="1:23">
      <c r="A13" s="167">
        <v>9</v>
      </c>
      <c r="B13" s="168" t="s">
        <v>24</v>
      </c>
      <c r="C13" s="169" t="s">
        <v>25</v>
      </c>
      <c r="D13" s="170" t="s">
        <v>25</v>
      </c>
      <c r="E13" s="171" t="s">
        <v>25</v>
      </c>
      <c r="F13" s="172">
        <v>12002</v>
      </c>
      <c r="G13" s="185">
        <v>7413.79902043776</v>
      </c>
      <c r="H13" s="174">
        <v>0.617713632764353</v>
      </c>
      <c r="I13" s="172">
        <v>4940</v>
      </c>
      <c r="J13" s="173">
        <v>901.872013931214</v>
      </c>
      <c r="K13" s="174">
        <v>0.182565185006319</v>
      </c>
      <c r="L13" s="169" t="s">
        <v>25</v>
      </c>
      <c r="M13" s="170" t="s">
        <v>25</v>
      </c>
      <c r="N13" s="174" t="s">
        <v>25</v>
      </c>
      <c r="O13" s="172">
        <v>5200</v>
      </c>
      <c r="P13" s="173">
        <v>928.0114151168</v>
      </c>
      <c r="Q13" s="174">
        <v>0.178463733676308</v>
      </c>
      <c r="R13" s="169" t="s">
        <v>25</v>
      </c>
      <c r="S13" s="170" t="s">
        <v>25</v>
      </c>
      <c r="T13" s="174" t="s">
        <v>25</v>
      </c>
      <c r="U13" s="173">
        <v>5200</v>
      </c>
      <c r="V13" s="185">
        <v>1536.0651823968</v>
      </c>
      <c r="W13" s="175">
        <v>0.295397150460923</v>
      </c>
    </row>
    <row r="14" s="1" customFormat="1" ht="17.25" spans="1:23">
      <c r="A14" s="186" t="s">
        <v>26</v>
      </c>
      <c r="B14" s="187"/>
      <c r="C14" s="188">
        <v>15930</v>
      </c>
      <c r="D14" s="187">
        <v>7792</v>
      </c>
      <c r="E14" s="189">
        <v>0.489139987445072</v>
      </c>
      <c r="F14" s="190">
        <v>245000.01666655</v>
      </c>
      <c r="G14" s="191">
        <v>127099.487594508</v>
      </c>
      <c r="H14" s="192">
        <v>0.518773383462634</v>
      </c>
      <c r="I14" s="190">
        <v>95000.3930110149</v>
      </c>
      <c r="J14" s="191">
        <v>36141.7555228928</v>
      </c>
      <c r="K14" s="192">
        <v>0.380437957964051</v>
      </c>
      <c r="L14" s="190">
        <v>6499.61972290616</v>
      </c>
      <c r="M14" s="187">
        <v>1961</v>
      </c>
      <c r="N14" s="192">
        <v>0.301709958982521</v>
      </c>
      <c r="O14" s="190">
        <v>100000.413695805</v>
      </c>
      <c r="P14" s="191">
        <v>34337.4646771168</v>
      </c>
      <c r="Q14" s="192">
        <v>0.343373226250535</v>
      </c>
      <c r="R14" s="190">
        <v>6499.61972290616</v>
      </c>
      <c r="S14" s="187">
        <v>2632</v>
      </c>
      <c r="T14" s="192">
        <v>0.404946767996938</v>
      </c>
      <c r="U14" s="193">
        <v>100000.413695805</v>
      </c>
      <c r="V14" s="191">
        <v>43006.7060108068</v>
      </c>
      <c r="W14" s="194">
        <v>0.430065280946041</v>
      </c>
    </row>
  </sheetData>
  <mergeCells count="12">
    <mergeCell ref="A1:W1"/>
    <mergeCell ref="A2:C2"/>
    <mergeCell ref="C3:E3"/>
    <mergeCell ref="F3:H3"/>
    <mergeCell ref="I3:K3"/>
    <mergeCell ref="L3:N3"/>
    <mergeCell ref="O3:Q3"/>
    <mergeCell ref="R3:T3"/>
    <mergeCell ref="U3:W3"/>
    <mergeCell ref="A14:B14"/>
    <mergeCell ref="A3:A4"/>
    <mergeCell ref="B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8"/>
  <sheetViews>
    <sheetView zoomScale="85" zoomScaleNormal="85" topLeftCell="A4" workbookViewId="0">
      <selection activeCell="J28" sqref="J28"/>
    </sheetView>
  </sheetViews>
  <sheetFormatPr defaultColWidth="13.1333333333333" defaultRowHeight="13.5"/>
  <cols>
    <col min="1" max="1" width="5.625" style="79" customWidth="1"/>
    <col min="2" max="2" width="9.99166666666667" style="79" customWidth="1"/>
    <col min="3" max="3" width="8.875" style="79" customWidth="1"/>
    <col min="4" max="4" width="20.25" style="79" customWidth="1"/>
    <col min="5" max="5" width="9.9" style="82" customWidth="1"/>
    <col min="6" max="6" width="9.99166666666667" style="82" customWidth="1"/>
    <col min="7" max="7" width="12.3583333333333" style="79" customWidth="1"/>
    <col min="8" max="8" width="10.9666666666667" style="83" customWidth="1"/>
    <col min="9" max="9" width="11.2416666666667" style="83" customWidth="1"/>
    <col min="10" max="10" width="11.2416666666667" style="79" customWidth="1"/>
    <col min="11" max="11" width="11.2416666666667" style="83" customWidth="1"/>
    <col min="12" max="12" width="10.5" style="83" customWidth="1"/>
    <col min="13" max="13" width="14.125" style="79" customWidth="1"/>
    <col min="14" max="14" width="9.85833333333333" style="82" customWidth="1"/>
    <col min="15" max="15" width="9.875" style="82" customWidth="1"/>
    <col min="16" max="16" width="13.1333333333333" style="79" customWidth="1"/>
    <col min="17" max="17" width="13.1333333333333" style="83" customWidth="1"/>
    <col min="18" max="18" width="12.1416666666667" style="83" customWidth="1"/>
    <col min="19" max="19" width="12.1416666666667" style="79" customWidth="1"/>
    <col min="20" max="20" width="15.6916666666667" style="82" customWidth="1"/>
    <col min="21" max="21" width="11.7583333333333" style="82" customWidth="1"/>
    <col min="22" max="22" width="13.1333333333333" style="79" customWidth="1"/>
    <col min="23" max="23" width="13.1333333333333" style="83" customWidth="1"/>
    <col min="24" max="24" width="9.875" style="83" customWidth="1"/>
    <col min="25" max="25" width="9.875" style="79" customWidth="1"/>
    <col min="26" max="16384" width="13.1333333333333" style="79"/>
  </cols>
  <sheetData>
    <row r="1" s="79" customFormat="1" ht="22.15" customHeight="1" spans="1:25">
      <c r="A1" s="84" t="s">
        <v>27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</row>
    <row r="2" s="79" customFormat="1" ht="22.9" customHeight="1" spans="1:25">
      <c r="D2" s="85">
        <v>46204</v>
      </c>
      <c r="E2" s="86"/>
      <c r="F2" s="87"/>
      <c r="G2" s="88"/>
      <c r="H2" s="89"/>
      <c r="I2" s="89"/>
      <c r="J2" s="90"/>
      <c r="K2" s="91"/>
      <c r="L2" s="83"/>
      <c r="M2" s="79"/>
      <c r="N2" s="82"/>
      <c r="O2" s="82"/>
      <c r="P2" s="85" t="s">
        <v>28</v>
      </c>
      <c r="Q2" s="89"/>
      <c r="R2" s="89"/>
      <c r="S2" s="85"/>
      <c r="T2" s="87"/>
      <c r="U2" s="82"/>
      <c r="V2" s="79"/>
      <c r="W2" s="83"/>
      <c r="X2" s="83"/>
    </row>
    <row r="3" s="1" customFormat="1" ht="22.9" customHeight="1" spans="1:25">
      <c r="A3" s="92" t="s">
        <v>2</v>
      </c>
      <c r="B3" s="92" t="s">
        <v>29</v>
      </c>
      <c r="C3" s="92" t="s">
        <v>3</v>
      </c>
      <c r="D3" s="92" t="s">
        <v>30</v>
      </c>
      <c r="E3" s="93" t="s">
        <v>4</v>
      </c>
      <c r="F3" s="93"/>
      <c r="G3" s="94"/>
      <c r="H3" s="95" t="s">
        <v>5</v>
      </c>
      <c r="I3" s="95"/>
      <c r="J3" s="94"/>
      <c r="K3" s="96" t="s">
        <v>6</v>
      </c>
      <c r="L3" s="96"/>
      <c r="M3" s="97"/>
      <c r="N3" s="93" t="s">
        <v>7</v>
      </c>
      <c r="O3" s="93"/>
      <c r="P3" s="98"/>
      <c r="Q3" s="95" t="s">
        <v>8</v>
      </c>
      <c r="R3" s="95"/>
      <c r="S3" s="98"/>
      <c r="T3" s="93" t="s">
        <v>9</v>
      </c>
      <c r="U3" s="93"/>
      <c r="V3" s="98"/>
      <c r="W3" s="95" t="s">
        <v>10</v>
      </c>
      <c r="X3" s="95"/>
      <c r="Y3" s="98"/>
    </row>
    <row r="4" s="80" customFormat="1" ht="52.5" customHeight="1" spans="1:25">
      <c r="A4" s="92"/>
      <c r="B4" s="92"/>
      <c r="C4" s="92"/>
      <c r="D4" s="92"/>
      <c r="E4" s="102" t="s">
        <v>11</v>
      </c>
      <c r="F4" s="102" t="s">
        <v>12</v>
      </c>
      <c r="G4" s="92" t="s">
        <v>13</v>
      </c>
      <c r="H4" s="103" t="s">
        <v>11</v>
      </c>
      <c r="I4" s="103" t="s">
        <v>12</v>
      </c>
      <c r="J4" s="92" t="s">
        <v>13</v>
      </c>
      <c r="K4" s="103" t="s">
        <v>11</v>
      </c>
      <c r="L4" s="103" t="s">
        <v>12</v>
      </c>
      <c r="M4" s="92" t="s">
        <v>13</v>
      </c>
      <c r="N4" s="102" t="s">
        <v>11</v>
      </c>
      <c r="O4" s="102" t="s">
        <v>14</v>
      </c>
      <c r="P4" s="92" t="s">
        <v>15</v>
      </c>
      <c r="Q4" s="103" t="s">
        <v>11</v>
      </c>
      <c r="R4" s="103" t="s">
        <v>14</v>
      </c>
      <c r="S4" s="92" t="s">
        <v>15</v>
      </c>
      <c r="T4" s="102" t="s">
        <v>11</v>
      </c>
      <c r="U4" s="102" t="s">
        <v>14</v>
      </c>
      <c r="V4" s="92" t="s">
        <v>15</v>
      </c>
      <c r="W4" s="103" t="s">
        <v>11</v>
      </c>
      <c r="X4" s="103" t="s">
        <v>14</v>
      </c>
      <c r="Y4" s="92" t="s">
        <v>15</v>
      </c>
    </row>
    <row r="5" s="79" customFormat="1" ht="24.95" customHeight="1" spans="1:25">
      <c r="A5" s="104">
        <v>1</v>
      </c>
      <c r="B5" s="104" t="s">
        <v>31</v>
      </c>
      <c r="C5" s="105" t="s">
        <v>16</v>
      </c>
      <c r="D5" s="35" t="s">
        <v>32</v>
      </c>
      <c r="E5" s="106">
        <v>1683</v>
      </c>
      <c r="F5" s="107">
        <v>611</v>
      </c>
      <c r="G5" s="108">
        <v>0.363042186571598</v>
      </c>
      <c r="H5" s="109">
        <v>35680</v>
      </c>
      <c r="I5" s="110">
        <v>13962.58</v>
      </c>
      <c r="J5" s="111">
        <v>0.391327914798206</v>
      </c>
      <c r="K5" s="110">
        <v>13775</v>
      </c>
      <c r="L5" s="110">
        <v>6400.09946077882</v>
      </c>
      <c r="M5" s="111">
        <v>0.464617020746194</v>
      </c>
      <c r="N5" s="107">
        <v>750</v>
      </c>
      <c r="O5" s="107">
        <v>358</v>
      </c>
      <c r="P5" s="108">
        <v>0.477333333333333</v>
      </c>
      <c r="Q5" s="109">
        <v>14500</v>
      </c>
      <c r="R5" s="110">
        <v>7334.898</v>
      </c>
      <c r="S5" s="111">
        <v>0.505855034482759</v>
      </c>
      <c r="T5" s="112">
        <v>750</v>
      </c>
      <c r="U5" s="113">
        <v>399</v>
      </c>
      <c r="V5" s="114">
        <v>0.532</v>
      </c>
      <c r="W5" s="115">
        <v>14500</v>
      </c>
      <c r="X5" s="116">
        <v>7973.99</v>
      </c>
      <c r="Y5" s="114">
        <v>0.549930344827586</v>
      </c>
    </row>
    <row r="6" s="79" customFormat="1" ht="24.95" customHeight="1" spans="1:25">
      <c r="A6" s="104">
        <v>2</v>
      </c>
      <c r="B6" s="104" t="s">
        <v>31</v>
      </c>
      <c r="C6" s="105" t="s">
        <v>16</v>
      </c>
      <c r="D6" s="44" t="s">
        <v>33</v>
      </c>
      <c r="E6" s="106">
        <v>1683</v>
      </c>
      <c r="F6" s="107">
        <v>668</v>
      </c>
      <c r="G6" s="108">
        <v>0.39691027926322</v>
      </c>
      <c r="H6" s="109">
        <v>35680</v>
      </c>
      <c r="I6" s="110">
        <v>16229.59</v>
      </c>
      <c r="J6" s="111">
        <v>0.45486519058296</v>
      </c>
      <c r="K6" s="110">
        <v>13775</v>
      </c>
      <c r="L6" s="110">
        <v>6460.63484039001</v>
      </c>
      <c r="M6" s="111">
        <v>0.469011603658077</v>
      </c>
      <c r="N6" s="107">
        <v>750</v>
      </c>
      <c r="O6" s="107">
        <v>292</v>
      </c>
      <c r="P6" s="108">
        <v>0.389333333333333</v>
      </c>
      <c r="Q6" s="109">
        <v>14500</v>
      </c>
      <c r="R6" s="110">
        <v>5227.151</v>
      </c>
      <c r="S6" s="111">
        <v>0.360493172413793</v>
      </c>
      <c r="T6" s="112">
        <v>750</v>
      </c>
      <c r="U6" s="113">
        <v>385</v>
      </c>
      <c r="V6" s="114">
        <v>0.513333333333333</v>
      </c>
      <c r="W6" s="115">
        <v>14500</v>
      </c>
      <c r="X6" s="116">
        <v>6703.44</v>
      </c>
      <c r="Y6" s="114">
        <v>0.462306206896552</v>
      </c>
    </row>
    <row r="7" s="79" customFormat="1" ht="24.95" customHeight="1" spans="1:25">
      <c r="A7" s="104">
        <v>3</v>
      </c>
      <c r="B7" s="104" t="s">
        <v>31</v>
      </c>
      <c r="C7" s="105" t="s">
        <v>16</v>
      </c>
      <c r="D7" s="35" t="s">
        <v>34</v>
      </c>
      <c r="E7" s="106">
        <v>400</v>
      </c>
      <c r="F7" s="107">
        <v>241</v>
      </c>
      <c r="G7" s="108">
        <v>0.6025</v>
      </c>
      <c r="H7" s="109">
        <v>6544</v>
      </c>
      <c r="I7" s="110">
        <v>4610.69</v>
      </c>
      <c r="J7" s="111">
        <v>0.704567542787286</v>
      </c>
      <c r="K7" s="110">
        <v>2524.15</v>
      </c>
      <c r="L7" s="110">
        <v>1241.089525</v>
      </c>
      <c r="M7" s="111">
        <v>0.491686122060892</v>
      </c>
      <c r="N7" s="107">
        <v>160</v>
      </c>
      <c r="O7" s="107">
        <v>86</v>
      </c>
      <c r="P7" s="108">
        <v>0.5375</v>
      </c>
      <c r="Q7" s="109">
        <v>2657</v>
      </c>
      <c r="R7" s="110">
        <v>1137.01</v>
      </c>
      <c r="S7" s="111">
        <v>0.427929996236357</v>
      </c>
      <c r="T7" s="112">
        <v>160</v>
      </c>
      <c r="U7" s="113">
        <v>100</v>
      </c>
      <c r="V7" s="114">
        <v>0.625</v>
      </c>
      <c r="W7" s="115">
        <v>2657</v>
      </c>
      <c r="X7" s="116">
        <v>1299.25</v>
      </c>
      <c r="Y7" s="114">
        <v>0.488991343620625</v>
      </c>
    </row>
    <row r="8" s="79" customFormat="1" ht="24.95" customHeight="1" spans="1:25">
      <c r="A8" s="104">
        <v>4</v>
      </c>
      <c r="B8" s="104" t="s">
        <v>31</v>
      </c>
      <c r="C8" s="105" t="s">
        <v>16</v>
      </c>
      <c r="D8" s="44" t="s">
        <v>35</v>
      </c>
      <c r="E8" s="106">
        <v>270</v>
      </c>
      <c r="F8" s="107">
        <v>154</v>
      </c>
      <c r="G8" s="108">
        <v>0.57037037037037</v>
      </c>
      <c r="H8" s="109">
        <v>4428</v>
      </c>
      <c r="I8" s="110">
        <v>2938.51</v>
      </c>
      <c r="J8" s="111">
        <v>0.663620144534779</v>
      </c>
      <c r="K8" s="110">
        <v>1710</v>
      </c>
      <c r="L8" s="110">
        <v>116.493036914063</v>
      </c>
      <c r="M8" s="111">
        <v>0.0681245829906798</v>
      </c>
      <c r="N8" s="107">
        <v>120</v>
      </c>
      <c r="O8" s="107">
        <v>13</v>
      </c>
      <c r="P8" s="108">
        <v>0.108333333333333</v>
      </c>
      <c r="Q8" s="109">
        <v>1800</v>
      </c>
      <c r="R8" s="110">
        <v>131.17</v>
      </c>
      <c r="S8" s="111">
        <v>0.0728722222222222</v>
      </c>
      <c r="T8" s="112">
        <v>120</v>
      </c>
      <c r="U8" s="113">
        <v>74</v>
      </c>
      <c r="V8" s="114">
        <v>0.616666666666667</v>
      </c>
      <c r="W8" s="115">
        <v>1800</v>
      </c>
      <c r="X8" s="116">
        <v>778.22</v>
      </c>
      <c r="Y8" s="114">
        <v>0.432344444444444</v>
      </c>
    </row>
    <row r="9" s="79" customFormat="1" ht="24.95" customHeight="1" spans="1:25">
      <c r="A9" s="104">
        <v>5</v>
      </c>
      <c r="B9" s="104" t="s">
        <v>31</v>
      </c>
      <c r="C9" s="105" t="s">
        <v>16</v>
      </c>
      <c r="D9" s="35" t="s">
        <v>36</v>
      </c>
      <c r="E9" s="106">
        <v>270</v>
      </c>
      <c r="F9" s="107">
        <v>209</v>
      </c>
      <c r="G9" s="108">
        <v>0.774074074074074</v>
      </c>
      <c r="H9" s="109">
        <v>4428</v>
      </c>
      <c r="I9" s="110">
        <v>2628.511774</v>
      </c>
      <c r="J9" s="111">
        <v>0.593611511743451</v>
      </c>
      <c r="K9" s="110">
        <v>1710</v>
      </c>
      <c r="L9" s="110">
        <v>649.660600390625</v>
      </c>
      <c r="M9" s="111">
        <v>0.379918479760599</v>
      </c>
      <c r="N9" s="107">
        <v>120</v>
      </c>
      <c r="O9" s="107">
        <v>47</v>
      </c>
      <c r="P9" s="108">
        <v>0.391666666666667</v>
      </c>
      <c r="Q9" s="109">
        <v>1800</v>
      </c>
      <c r="R9" s="110">
        <v>501.591774</v>
      </c>
      <c r="S9" s="111">
        <v>0.278662096666667</v>
      </c>
      <c r="T9" s="112">
        <v>120</v>
      </c>
      <c r="U9" s="113">
        <v>75</v>
      </c>
      <c r="V9" s="114">
        <v>0.625</v>
      </c>
      <c r="W9" s="115">
        <v>1800</v>
      </c>
      <c r="X9" s="116">
        <v>781.541774</v>
      </c>
      <c r="Y9" s="114">
        <v>0.434189874444444</v>
      </c>
    </row>
    <row r="10" s="79" customFormat="1" ht="24.95" customHeight="1" spans="1:25">
      <c r="A10" s="104">
        <v>6</v>
      </c>
      <c r="B10" s="104" t="s">
        <v>37</v>
      </c>
      <c r="C10" s="105" t="s">
        <v>16</v>
      </c>
      <c r="D10" s="35" t="s">
        <v>38</v>
      </c>
      <c r="E10" s="106">
        <v>245</v>
      </c>
      <c r="F10" s="107">
        <v>97</v>
      </c>
      <c r="G10" s="108">
        <v>0.395918367346939</v>
      </c>
      <c r="H10" s="109">
        <v>4200</v>
      </c>
      <c r="I10" s="110">
        <v>2073.6762</v>
      </c>
      <c r="J10" s="111">
        <v>0.493732428571429</v>
      </c>
      <c r="K10" s="110">
        <v>1689.1</v>
      </c>
      <c r="L10" s="110">
        <v>210.54</v>
      </c>
      <c r="M10" s="111">
        <v>0.124646261322598</v>
      </c>
      <c r="N10" s="107">
        <v>100</v>
      </c>
      <c r="O10" s="107">
        <v>21</v>
      </c>
      <c r="P10" s="108">
        <v>0.21</v>
      </c>
      <c r="Q10" s="109">
        <v>1778</v>
      </c>
      <c r="R10" s="110">
        <v>233.7584</v>
      </c>
      <c r="S10" s="111">
        <v>0.13147266591676</v>
      </c>
      <c r="T10" s="112">
        <v>100</v>
      </c>
      <c r="U10" s="113">
        <v>17</v>
      </c>
      <c r="V10" s="114">
        <v>0.17</v>
      </c>
      <c r="W10" s="115">
        <v>1778</v>
      </c>
      <c r="X10" s="116">
        <v>174.6562</v>
      </c>
      <c r="Y10" s="114">
        <v>0.0982318335208099</v>
      </c>
    </row>
    <row r="11" s="79" customFormat="1" ht="24.95" customHeight="1" spans="1:25">
      <c r="A11" s="104">
        <v>7</v>
      </c>
      <c r="B11" s="104" t="s">
        <v>37</v>
      </c>
      <c r="C11" s="105" t="s">
        <v>16</v>
      </c>
      <c r="D11" s="35" t="s">
        <v>39</v>
      </c>
      <c r="E11" s="106">
        <v>489</v>
      </c>
      <c r="F11" s="107">
        <v>168</v>
      </c>
      <c r="G11" s="108">
        <v>0.343558282208589</v>
      </c>
      <c r="H11" s="109">
        <v>7525.12</v>
      </c>
      <c r="I11" s="110">
        <v>4513.387464</v>
      </c>
      <c r="J11" s="111">
        <v>0.59977614496513</v>
      </c>
      <c r="K11" s="110">
        <v>2823.4</v>
      </c>
      <c r="L11" s="110">
        <v>543.830781655884</v>
      </c>
      <c r="M11" s="111">
        <v>0.192615563383114</v>
      </c>
      <c r="N11" s="107">
        <v>210</v>
      </c>
      <c r="O11" s="107">
        <v>28</v>
      </c>
      <c r="P11" s="108">
        <v>0.133333333333333</v>
      </c>
      <c r="Q11" s="109">
        <v>2972</v>
      </c>
      <c r="R11" s="110">
        <v>328.07311</v>
      </c>
      <c r="S11" s="111">
        <v>0.110387991251682</v>
      </c>
      <c r="T11" s="112">
        <v>210</v>
      </c>
      <c r="U11" s="113">
        <v>53</v>
      </c>
      <c r="V11" s="114">
        <v>0.252380952380952</v>
      </c>
      <c r="W11" s="115">
        <v>2972</v>
      </c>
      <c r="X11" s="116">
        <v>751.800574</v>
      </c>
      <c r="Y11" s="114">
        <v>0.25296116218035</v>
      </c>
    </row>
    <row r="12" s="79" customFormat="1" ht="24.95" customHeight="1" spans="1:25">
      <c r="A12" s="104">
        <v>8</v>
      </c>
      <c r="B12" s="104" t="s">
        <v>40</v>
      </c>
      <c r="C12" s="105" t="s">
        <v>16</v>
      </c>
      <c r="D12" s="35" t="s">
        <v>41</v>
      </c>
      <c r="E12" s="106">
        <v>72</v>
      </c>
      <c r="F12" s="107">
        <v>74</v>
      </c>
      <c r="G12" s="108">
        <v>1.02777777777778</v>
      </c>
      <c r="H12" s="109">
        <v>1085</v>
      </c>
      <c r="I12" s="110">
        <v>550.384413</v>
      </c>
      <c r="J12" s="111">
        <v>0.507266740092166</v>
      </c>
      <c r="K12" s="110">
        <v>427.5</v>
      </c>
      <c r="L12" s="110">
        <v>22.84</v>
      </c>
      <c r="M12" s="111">
        <v>0.0534269005847953</v>
      </c>
      <c r="N12" s="107">
        <v>30</v>
      </c>
      <c r="O12" s="107">
        <v>2</v>
      </c>
      <c r="P12" s="108">
        <v>0.0666666666666667</v>
      </c>
      <c r="Q12" s="109">
        <v>450</v>
      </c>
      <c r="R12" s="110">
        <v>22.84</v>
      </c>
      <c r="S12" s="111">
        <v>0.0507555555555556</v>
      </c>
      <c r="T12" s="112">
        <v>30</v>
      </c>
      <c r="U12" s="113">
        <v>2</v>
      </c>
      <c r="V12" s="114">
        <v>0.0666666666666667</v>
      </c>
      <c r="W12" s="115">
        <v>450</v>
      </c>
      <c r="X12" s="116">
        <v>22.84</v>
      </c>
      <c r="Y12" s="114">
        <v>0.0507555555555556</v>
      </c>
    </row>
    <row r="13" s="79" customFormat="1" ht="24.95" customHeight="1" spans="1:25">
      <c r="A13" s="104">
        <v>9</v>
      </c>
      <c r="B13" s="104" t="s">
        <v>40</v>
      </c>
      <c r="C13" s="105" t="s">
        <v>16</v>
      </c>
      <c r="D13" s="35" t="s">
        <v>42</v>
      </c>
      <c r="E13" s="106">
        <v>72</v>
      </c>
      <c r="F13" s="107">
        <v>0</v>
      </c>
      <c r="G13" s="108">
        <v>0</v>
      </c>
      <c r="H13" s="109">
        <v>1085</v>
      </c>
      <c r="I13" s="110">
        <v>0</v>
      </c>
      <c r="J13" s="111">
        <v>0</v>
      </c>
      <c r="K13" s="110">
        <v>427.5</v>
      </c>
      <c r="L13" s="110">
        <v>0</v>
      </c>
      <c r="M13" s="111">
        <v>0</v>
      </c>
      <c r="N13" s="107">
        <v>30</v>
      </c>
      <c r="O13" s="107">
        <v>0</v>
      </c>
      <c r="P13" s="108">
        <v>0</v>
      </c>
      <c r="Q13" s="109">
        <v>450</v>
      </c>
      <c r="R13" s="110">
        <v>0</v>
      </c>
      <c r="S13" s="111">
        <v>0</v>
      </c>
      <c r="T13" s="112">
        <v>30</v>
      </c>
      <c r="U13" s="113">
        <v>0</v>
      </c>
      <c r="V13" s="114">
        <v>0</v>
      </c>
      <c r="W13" s="115">
        <v>450</v>
      </c>
      <c r="X13" s="116">
        <v>0</v>
      </c>
      <c r="Y13" s="114">
        <v>0</v>
      </c>
    </row>
    <row r="14" s="79" customFormat="1" ht="24.95" customHeight="1" spans="1:25">
      <c r="A14" s="104">
        <v>10</v>
      </c>
      <c r="B14" s="104" t="s">
        <v>40</v>
      </c>
      <c r="C14" s="105" t="s">
        <v>16</v>
      </c>
      <c r="D14" s="35" t="s">
        <v>43</v>
      </c>
      <c r="E14" s="106">
        <v>72</v>
      </c>
      <c r="F14" s="107">
        <v>0</v>
      </c>
      <c r="G14" s="108">
        <v>0</v>
      </c>
      <c r="H14" s="109">
        <v>1085</v>
      </c>
      <c r="I14" s="110">
        <v>0</v>
      </c>
      <c r="J14" s="111">
        <v>0</v>
      </c>
      <c r="K14" s="110">
        <v>427.5</v>
      </c>
      <c r="L14" s="110">
        <v>0</v>
      </c>
      <c r="M14" s="111">
        <v>0</v>
      </c>
      <c r="N14" s="107">
        <v>30</v>
      </c>
      <c r="O14" s="107">
        <v>0</v>
      </c>
      <c r="P14" s="108">
        <v>0</v>
      </c>
      <c r="Q14" s="109">
        <v>450</v>
      </c>
      <c r="R14" s="110">
        <v>0</v>
      </c>
      <c r="S14" s="111">
        <v>0</v>
      </c>
      <c r="T14" s="112">
        <v>30</v>
      </c>
      <c r="U14" s="113">
        <v>0</v>
      </c>
      <c r="V14" s="114">
        <v>0</v>
      </c>
      <c r="W14" s="115">
        <v>450</v>
      </c>
      <c r="X14" s="116">
        <v>0</v>
      </c>
      <c r="Y14" s="114">
        <v>0</v>
      </c>
    </row>
    <row r="15" s="79" customFormat="1" ht="24.95" customHeight="1" spans="1:25">
      <c r="A15" s="119" t="s">
        <v>44</v>
      </c>
      <c r="B15" s="119"/>
      <c r="C15" s="119"/>
      <c r="D15" s="104"/>
      <c r="E15" s="120">
        <v>5256</v>
      </c>
      <c r="F15" s="120">
        <v>2222</v>
      </c>
      <c r="G15" s="121">
        <v>0.422754946727549</v>
      </c>
      <c r="H15" s="120">
        <v>101740.12</v>
      </c>
      <c r="I15" s="120">
        <v>47507.329851</v>
      </c>
      <c r="J15" s="121">
        <v>0.466947845658134</v>
      </c>
      <c r="K15" s="120">
        <v>39289.15</v>
      </c>
      <c r="L15" s="120">
        <v>15645.1882451294</v>
      </c>
      <c r="M15" s="121">
        <v>0.398206330376946</v>
      </c>
      <c r="N15" s="120">
        <v>2300</v>
      </c>
      <c r="O15" s="120">
        <v>847</v>
      </c>
      <c r="P15" s="121">
        <v>0.368260869565217</v>
      </c>
      <c r="Q15" s="120">
        <v>41357</v>
      </c>
      <c r="R15" s="120">
        <v>14916.492284</v>
      </c>
      <c r="S15" s="121">
        <v>0.360676361534928</v>
      </c>
      <c r="T15" s="120">
        <v>2300</v>
      </c>
      <c r="U15" s="120">
        <v>1105</v>
      </c>
      <c r="V15" s="121">
        <v>0.480434782608696</v>
      </c>
      <c r="W15" s="120">
        <v>41357</v>
      </c>
      <c r="X15" s="120">
        <v>18485.738548</v>
      </c>
      <c r="Y15" s="121">
        <v>0.446979678119786</v>
      </c>
    </row>
    <row r="16" s="79" customFormat="1" ht="24.95" customHeight="1" spans="1:25">
      <c r="A16" s="104">
        <v>11</v>
      </c>
      <c r="B16" s="104" t="s">
        <v>40</v>
      </c>
      <c r="C16" s="105" t="s">
        <v>17</v>
      </c>
      <c r="D16" s="35" t="s">
        <v>45</v>
      </c>
      <c r="E16" s="106">
        <v>81</v>
      </c>
      <c r="F16" s="107">
        <v>120</v>
      </c>
      <c r="G16" s="108">
        <v>1.48148148148148</v>
      </c>
      <c r="H16" s="109">
        <v>1260</v>
      </c>
      <c r="I16" s="110">
        <v>1146.345654</v>
      </c>
      <c r="J16" s="111">
        <v>0.909798138095237</v>
      </c>
      <c r="K16" s="110">
        <v>475</v>
      </c>
      <c r="L16" s="110">
        <v>141.254189453125</v>
      </c>
      <c r="M16" s="111">
        <v>0.297377240953947</v>
      </c>
      <c r="N16" s="107">
        <v>32</v>
      </c>
      <c r="O16" s="107">
        <v>7</v>
      </c>
      <c r="P16" s="108">
        <v>0.21875</v>
      </c>
      <c r="Q16" s="109">
        <v>500</v>
      </c>
      <c r="R16" s="110">
        <v>103.028143</v>
      </c>
      <c r="S16" s="111">
        <v>0.206056286</v>
      </c>
      <c r="T16" s="112">
        <v>32</v>
      </c>
      <c r="U16" s="113">
        <v>11</v>
      </c>
      <c r="V16" s="114">
        <v>0.34375</v>
      </c>
      <c r="W16" s="115">
        <v>500</v>
      </c>
      <c r="X16" s="116">
        <v>141.800303</v>
      </c>
      <c r="Y16" s="114">
        <v>0.283600606</v>
      </c>
    </row>
    <row r="17" s="79" customFormat="1" ht="24.95" customHeight="1" spans="1:25">
      <c r="A17" s="104">
        <v>12</v>
      </c>
      <c r="B17" s="104" t="s">
        <v>31</v>
      </c>
      <c r="C17" s="105" t="s">
        <v>17</v>
      </c>
      <c r="D17" s="44" t="s">
        <v>46</v>
      </c>
      <c r="E17" s="106">
        <v>581</v>
      </c>
      <c r="F17" s="107">
        <v>333</v>
      </c>
      <c r="G17" s="108">
        <v>0.573149741824441</v>
      </c>
      <c r="H17" s="109">
        <v>5575.68</v>
      </c>
      <c r="I17" s="110">
        <v>2673.478933</v>
      </c>
      <c r="J17" s="111">
        <v>0.479489305878387</v>
      </c>
      <c r="K17" s="110">
        <v>2188.8</v>
      </c>
      <c r="L17" s="110">
        <v>878.687745001221</v>
      </c>
      <c r="M17" s="111">
        <v>0.401447251919417</v>
      </c>
      <c r="N17" s="107">
        <v>239</v>
      </c>
      <c r="O17" s="107">
        <v>76</v>
      </c>
      <c r="P17" s="108">
        <v>0.317991631799163</v>
      </c>
      <c r="Q17" s="109">
        <v>2304</v>
      </c>
      <c r="R17" s="110">
        <v>710.990814</v>
      </c>
      <c r="S17" s="111">
        <v>0.308589763020833</v>
      </c>
      <c r="T17" s="112">
        <v>239</v>
      </c>
      <c r="U17" s="113">
        <v>127</v>
      </c>
      <c r="V17" s="114">
        <v>0.531380753138075</v>
      </c>
      <c r="W17" s="115">
        <v>2304</v>
      </c>
      <c r="X17" s="116">
        <v>1179.804987</v>
      </c>
      <c r="Y17" s="114">
        <v>0.51206813671875</v>
      </c>
    </row>
    <row r="18" s="79" customFormat="1" ht="24.95" customHeight="1" spans="1:25">
      <c r="A18" s="104">
        <v>13</v>
      </c>
      <c r="B18" s="104" t="s">
        <v>37</v>
      </c>
      <c r="C18" s="105" t="s">
        <v>17</v>
      </c>
      <c r="D18" s="50" t="s">
        <v>47</v>
      </c>
      <c r="E18" s="106">
        <v>207</v>
      </c>
      <c r="F18" s="107">
        <v>190</v>
      </c>
      <c r="G18" s="108">
        <v>0.917874396135266</v>
      </c>
      <c r="H18" s="109">
        <v>2082.5</v>
      </c>
      <c r="I18" s="110">
        <v>1489.262733</v>
      </c>
      <c r="J18" s="111">
        <v>0.71513216470588</v>
      </c>
      <c r="K18" s="110">
        <v>807.5</v>
      </c>
      <c r="L18" s="110">
        <v>216.725000650787</v>
      </c>
      <c r="M18" s="111">
        <v>0.268390093685185</v>
      </c>
      <c r="N18" s="107">
        <v>85</v>
      </c>
      <c r="O18" s="107">
        <v>28</v>
      </c>
      <c r="P18" s="108">
        <v>0.329411764705882</v>
      </c>
      <c r="Q18" s="109">
        <v>850</v>
      </c>
      <c r="R18" s="110">
        <v>205.507095</v>
      </c>
      <c r="S18" s="111">
        <v>0.241773052941176</v>
      </c>
      <c r="T18" s="112">
        <v>85</v>
      </c>
      <c r="U18" s="113">
        <v>55</v>
      </c>
      <c r="V18" s="114">
        <v>0.647058823529412</v>
      </c>
      <c r="W18" s="115">
        <v>850</v>
      </c>
      <c r="X18" s="116">
        <v>377.966388</v>
      </c>
      <c r="Y18" s="114">
        <v>0.444666338823529</v>
      </c>
    </row>
    <row r="19" s="79" customFormat="1" ht="24" customHeight="1" spans="1:25">
      <c r="A19" s="104">
        <v>14</v>
      </c>
      <c r="B19" s="104" t="s">
        <v>40</v>
      </c>
      <c r="C19" s="105" t="s">
        <v>17</v>
      </c>
      <c r="D19" s="44" t="s">
        <v>48</v>
      </c>
      <c r="E19" s="106">
        <v>145</v>
      </c>
      <c r="F19" s="107">
        <v>94</v>
      </c>
      <c r="G19" s="108">
        <v>0.648275862068965</v>
      </c>
      <c r="H19" s="109">
        <v>1500</v>
      </c>
      <c r="I19" s="110">
        <v>640.206475999999</v>
      </c>
      <c r="J19" s="111">
        <v>0.426804317333333</v>
      </c>
      <c r="K19" s="110">
        <v>570</v>
      </c>
      <c r="L19" s="110">
        <v>145.367398813629</v>
      </c>
      <c r="M19" s="111">
        <v>0.255030524234437</v>
      </c>
      <c r="N19" s="107">
        <v>60</v>
      </c>
      <c r="O19" s="107">
        <v>14</v>
      </c>
      <c r="P19" s="108">
        <v>0.233333333333333</v>
      </c>
      <c r="Q19" s="109">
        <v>600</v>
      </c>
      <c r="R19" s="110">
        <v>92.894521</v>
      </c>
      <c r="S19" s="111">
        <v>0.154824201666667</v>
      </c>
      <c r="T19" s="112">
        <v>60</v>
      </c>
      <c r="U19" s="113">
        <v>23</v>
      </c>
      <c r="V19" s="114">
        <v>0.383333333333333</v>
      </c>
      <c r="W19" s="115">
        <v>600</v>
      </c>
      <c r="X19" s="116">
        <v>151.082596</v>
      </c>
      <c r="Y19" s="114">
        <v>0.251804326666667</v>
      </c>
    </row>
    <row r="20" s="79" customFormat="1" ht="24.95" customHeight="1" spans="1:25">
      <c r="A20" s="104">
        <v>15</v>
      </c>
      <c r="B20" s="104" t="s">
        <v>49</v>
      </c>
      <c r="C20" s="105" t="s">
        <v>17</v>
      </c>
      <c r="D20" s="44" t="s">
        <v>50</v>
      </c>
      <c r="E20" s="106">
        <v>81</v>
      </c>
      <c r="F20" s="107">
        <v>63</v>
      </c>
      <c r="G20" s="108">
        <v>0.777777777777778</v>
      </c>
      <c r="H20" s="109">
        <v>735</v>
      </c>
      <c r="I20" s="110">
        <v>440.842395</v>
      </c>
      <c r="J20" s="111">
        <v>0.599785571428571</v>
      </c>
      <c r="K20" s="110">
        <v>285</v>
      </c>
      <c r="L20" s="110">
        <v>106.225368108082</v>
      </c>
      <c r="M20" s="111">
        <v>0.372720589852919</v>
      </c>
      <c r="N20" s="107">
        <v>33</v>
      </c>
      <c r="O20" s="107">
        <v>15</v>
      </c>
      <c r="P20" s="108">
        <v>0.454545454545455</v>
      </c>
      <c r="Q20" s="109">
        <v>300</v>
      </c>
      <c r="R20" s="110">
        <v>130.544984</v>
      </c>
      <c r="S20" s="111">
        <v>0.435149946666667</v>
      </c>
      <c r="T20" s="112">
        <v>33</v>
      </c>
      <c r="U20" s="113">
        <v>23</v>
      </c>
      <c r="V20" s="114">
        <v>0.696969696969697</v>
      </c>
      <c r="W20" s="115">
        <v>300</v>
      </c>
      <c r="X20" s="116">
        <v>138.677718</v>
      </c>
      <c r="Y20" s="114">
        <v>0.46225906</v>
      </c>
    </row>
    <row r="21" s="79" customFormat="1" ht="24.95" customHeight="1" spans="1:25">
      <c r="A21" s="104">
        <v>16</v>
      </c>
      <c r="B21" s="104" t="s">
        <v>49</v>
      </c>
      <c r="C21" s="105" t="s">
        <v>17</v>
      </c>
      <c r="D21" s="44" t="s">
        <v>51</v>
      </c>
      <c r="E21" s="106">
        <v>127</v>
      </c>
      <c r="F21" s="107">
        <v>102</v>
      </c>
      <c r="G21" s="108">
        <v>0.803149606299213</v>
      </c>
      <c r="H21" s="109">
        <v>980</v>
      </c>
      <c r="I21" s="110">
        <v>827.415095</v>
      </c>
      <c r="J21" s="111">
        <v>0.844301117346939</v>
      </c>
      <c r="K21" s="110">
        <v>380</v>
      </c>
      <c r="L21" s="110">
        <v>263.336003320313</v>
      </c>
      <c r="M21" s="111">
        <v>0.692989482421876</v>
      </c>
      <c r="N21" s="107">
        <v>52</v>
      </c>
      <c r="O21" s="107">
        <v>34</v>
      </c>
      <c r="P21" s="108">
        <v>0.653846153846154</v>
      </c>
      <c r="Q21" s="109">
        <v>400</v>
      </c>
      <c r="R21" s="110">
        <v>230.805293</v>
      </c>
      <c r="S21" s="111">
        <v>0.5770132325</v>
      </c>
      <c r="T21" s="112">
        <v>52</v>
      </c>
      <c r="U21" s="113">
        <v>44</v>
      </c>
      <c r="V21" s="114">
        <v>0.846153846153846</v>
      </c>
      <c r="W21" s="115">
        <v>400</v>
      </c>
      <c r="X21" s="116">
        <v>316.305293</v>
      </c>
      <c r="Y21" s="114">
        <v>0.7907632325</v>
      </c>
    </row>
    <row r="22" s="79" customFormat="1" ht="24.95" customHeight="1" spans="1:25">
      <c r="A22" s="104">
        <v>17</v>
      </c>
      <c r="B22" s="104" t="s">
        <v>40</v>
      </c>
      <c r="C22" s="105" t="s">
        <v>17</v>
      </c>
      <c r="D22" s="44" t="s">
        <v>52</v>
      </c>
      <c r="E22" s="106">
        <v>73</v>
      </c>
      <c r="F22" s="107">
        <v>106</v>
      </c>
      <c r="G22" s="108">
        <v>1.45205479452055</v>
      </c>
      <c r="H22" s="109">
        <v>816.66666655</v>
      </c>
      <c r="I22" s="110">
        <v>650.044039</v>
      </c>
      <c r="J22" s="111">
        <v>0.795972292766772</v>
      </c>
      <c r="K22" s="110">
        <v>332.5</v>
      </c>
      <c r="L22" s="110">
        <v>181.594922898102</v>
      </c>
      <c r="M22" s="111">
        <v>0.546150144054442</v>
      </c>
      <c r="N22" s="107">
        <v>32</v>
      </c>
      <c r="O22" s="107">
        <v>28</v>
      </c>
      <c r="P22" s="108">
        <v>0.875</v>
      </c>
      <c r="Q22" s="109">
        <v>350</v>
      </c>
      <c r="R22" s="110">
        <v>182.944513</v>
      </c>
      <c r="S22" s="111">
        <v>0.522698608571429</v>
      </c>
      <c r="T22" s="112">
        <v>32</v>
      </c>
      <c r="U22" s="113">
        <v>68</v>
      </c>
      <c r="V22" s="114">
        <v>2.125</v>
      </c>
      <c r="W22" s="115">
        <v>350</v>
      </c>
      <c r="X22" s="116">
        <v>367.831441</v>
      </c>
      <c r="Y22" s="114">
        <v>1.05094697428571</v>
      </c>
    </row>
    <row r="23" s="79" customFormat="1" ht="24.95" customHeight="1" spans="1:25">
      <c r="A23" s="104">
        <v>18</v>
      </c>
      <c r="B23" s="104" t="s">
        <v>49</v>
      </c>
      <c r="C23" s="105" t="s">
        <v>17</v>
      </c>
      <c r="D23" s="44" t="s">
        <v>53</v>
      </c>
      <c r="E23" s="106">
        <v>44</v>
      </c>
      <c r="F23" s="107">
        <v>0</v>
      </c>
      <c r="G23" s="108">
        <v>0</v>
      </c>
      <c r="H23" s="109">
        <v>490</v>
      </c>
      <c r="I23" s="110">
        <v>0</v>
      </c>
      <c r="J23" s="111">
        <v>0</v>
      </c>
      <c r="K23" s="110">
        <v>190</v>
      </c>
      <c r="L23" s="110">
        <v>0</v>
      </c>
      <c r="M23" s="111">
        <v>0</v>
      </c>
      <c r="N23" s="107">
        <v>20</v>
      </c>
      <c r="O23" s="107">
        <v>0</v>
      </c>
      <c r="P23" s="108">
        <v>0</v>
      </c>
      <c r="Q23" s="109">
        <v>200</v>
      </c>
      <c r="R23" s="110">
        <v>0</v>
      </c>
      <c r="S23" s="111">
        <v>0</v>
      </c>
      <c r="T23" s="112">
        <v>20</v>
      </c>
      <c r="U23" s="113">
        <v>0</v>
      </c>
      <c r="V23" s="114">
        <v>0</v>
      </c>
      <c r="W23" s="115">
        <v>200</v>
      </c>
      <c r="X23" s="116">
        <v>0</v>
      </c>
      <c r="Y23" s="114">
        <v>0</v>
      </c>
    </row>
    <row r="24" s="79" customFormat="1" ht="24.95" customHeight="1" spans="1:25">
      <c r="A24" s="119" t="s">
        <v>54</v>
      </c>
      <c r="B24" s="119"/>
      <c r="C24" s="119"/>
      <c r="D24" s="104"/>
      <c r="E24" s="120">
        <v>1339</v>
      </c>
      <c r="F24" s="120">
        <v>1008</v>
      </c>
      <c r="G24" s="121">
        <v>0.752800597460792</v>
      </c>
      <c r="H24" s="120">
        <v>13439.84666655</v>
      </c>
      <c r="I24" s="120">
        <v>7867.595325</v>
      </c>
      <c r="J24" s="121">
        <v>0.585393235518185</v>
      </c>
      <c r="K24" s="120">
        <v>5228.8</v>
      </c>
      <c r="L24" s="120">
        <v>1933.19062824526</v>
      </c>
      <c r="M24" s="121">
        <v>0.369719749893906</v>
      </c>
      <c r="N24" s="120">
        <v>553</v>
      </c>
      <c r="O24" s="120">
        <v>202</v>
      </c>
      <c r="P24" s="121">
        <v>0.365280289330922</v>
      </c>
      <c r="Q24" s="120">
        <v>5504</v>
      </c>
      <c r="R24" s="120">
        <v>1656.715363</v>
      </c>
      <c r="S24" s="121">
        <v>0.301002064498546</v>
      </c>
      <c r="T24" s="120">
        <v>553</v>
      </c>
      <c r="U24" s="120">
        <v>351</v>
      </c>
      <c r="V24" s="121">
        <v>0.634719710669078</v>
      </c>
      <c r="W24" s="120">
        <v>5504</v>
      </c>
      <c r="X24" s="120">
        <v>2673.468726</v>
      </c>
      <c r="Y24" s="121">
        <v>0.485731963299419</v>
      </c>
    </row>
    <row r="25" s="79" customFormat="1" ht="24.95" customHeight="1" spans="1:25">
      <c r="A25" s="104">
        <v>19</v>
      </c>
      <c r="B25" s="104" t="s">
        <v>49</v>
      </c>
      <c r="C25" s="105" t="s">
        <v>18</v>
      </c>
      <c r="D25" s="35" t="s">
        <v>55</v>
      </c>
      <c r="E25" s="106">
        <v>54</v>
      </c>
      <c r="F25" s="107">
        <v>34</v>
      </c>
      <c r="G25" s="108">
        <v>0.62962962962963</v>
      </c>
      <c r="H25" s="109">
        <v>540</v>
      </c>
      <c r="I25" s="110">
        <v>293.5572</v>
      </c>
      <c r="J25" s="111">
        <v>0.543624444444444</v>
      </c>
      <c r="K25" s="110">
        <v>250.955281626998</v>
      </c>
      <c r="L25" s="110">
        <v>40.617</v>
      </c>
      <c r="M25" s="111">
        <v>0.161849552385075</v>
      </c>
      <c r="N25" s="107">
        <v>32</v>
      </c>
      <c r="O25" s="107">
        <v>6</v>
      </c>
      <c r="P25" s="108">
        <v>0.1875</v>
      </c>
      <c r="Q25" s="109">
        <v>264.163454344208</v>
      </c>
      <c r="R25" s="110">
        <v>55.4871</v>
      </c>
      <c r="S25" s="111">
        <v>0.210048358648807</v>
      </c>
      <c r="T25" s="112">
        <v>32</v>
      </c>
      <c r="U25" s="113">
        <v>4</v>
      </c>
      <c r="V25" s="114">
        <v>0.125</v>
      </c>
      <c r="W25" s="115">
        <v>264.163454344208</v>
      </c>
      <c r="X25" s="116">
        <v>36.2572</v>
      </c>
      <c r="Y25" s="114">
        <v>0.137252899308155</v>
      </c>
    </row>
    <row r="26" s="79" customFormat="1" ht="24.95" customHeight="1" spans="1:25">
      <c r="A26" s="104">
        <v>20</v>
      </c>
      <c r="B26" s="104" t="s">
        <v>31</v>
      </c>
      <c r="C26" s="105" t="s">
        <v>18</v>
      </c>
      <c r="D26" s="44" t="s">
        <v>56</v>
      </c>
      <c r="E26" s="106">
        <v>277</v>
      </c>
      <c r="F26" s="107">
        <v>139</v>
      </c>
      <c r="G26" s="108">
        <v>0.501805054151625</v>
      </c>
      <c r="H26" s="109">
        <v>6100</v>
      </c>
      <c r="I26" s="110">
        <v>4029.514513</v>
      </c>
      <c r="J26" s="111">
        <v>0.660576149672131</v>
      </c>
      <c r="K26" s="110">
        <v>2045.35</v>
      </c>
      <c r="L26" s="110">
        <v>7043.0836796875</v>
      </c>
      <c r="M26" s="111">
        <v>3.44346135364974</v>
      </c>
      <c r="N26" s="107">
        <v>101</v>
      </c>
      <c r="O26" s="107">
        <v>41</v>
      </c>
      <c r="P26" s="108">
        <v>0.405940594059406</v>
      </c>
      <c r="Q26" s="109">
        <v>2153</v>
      </c>
      <c r="R26" s="110">
        <v>859.121188</v>
      </c>
      <c r="S26" s="111">
        <v>0.399034457965629</v>
      </c>
      <c r="T26" s="112">
        <v>101</v>
      </c>
      <c r="U26" s="113">
        <v>4</v>
      </c>
      <c r="V26" s="114">
        <v>0.0396039603960396</v>
      </c>
      <c r="W26" s="115">
        <v>2153</v>
      </c>
      <c r="X26" s="116">
        <v>82.68604288</v>
      </c>
      <c r="Y26" s="114">
        <v>0.0384050361727822</v>
      </c>
    </row>
    <row r="27" s="79" customFormat="1" ht="24.95" customHeight="1" spans="1:25">
      <c r="A27" s="104">
        <v>21</v>
      </c>
      <c r="B27" s="104" t="s">
        <v>31</v>
      </c>
      <c r="C27" s="105" t="s">
        <v>18</v>
      </c>
      <c r="D27" s="35" t="s">
        <v>57</v>
      </c>
      <c r="E27" s="106">
        <v>566</v>
      </c>
      <c r="F27" s="107">
        <v>407</v>
      </c>
      <c r="G27" s="108">
        <v>0.719081272084806</v>
      </c>
      <c r="H27" s="109">
        <v>20400</v>
      </c>
      <c r="I27" s="110">
        <v>11786.294293</v>
      </c>
      <c r="J27" s="111">
        <v>0.577759524166668</v>
      </c>
      <c r="K27" s="110">
        <v>8075</v>
      </c>
      <c r="L27" s="110">
        <v>34.7496656982422</v>
      </c>
      <c r="M27" s="111">
        <v>0.00430336417315693</v>
      </c>
      <c r="N27" s="107">
        <v>260</v>
      </c>
      <c r="O27" s="107">
        <v>172</v>
      </c>
      <c r="P27" s="108">
        <v>0.661538461538462</v>
      </c>
      <c r="Q27" s="109">
        <v>8500</v>
      </c>
      <c r="R27" s="110">
        <v>7959.482402</v>
      </c>
      <c r="S27" s="111">
        <v>0.936409694352941</v>
      </c>
      <c r="T27" s="112">
        <v>260</v>
      </c>
      <c r="U27" s="113">
        <v>202</v>
      </c>
      <c r="V27" s="114">
        <v>0.776923076923077</v>
      </c>
      <c r="W27" s="115">
        <v>8500</v>
      </c>
      <c r="X27" s="116">
        <v>9410.61429753001</v>
      </c>
      <c r="Y27" s="114">
        <v>1.10713109382706</v>
      </c>
    </row>
    <row r="28" s="79" customFormat="1" ht="24.95" customHeight="1" spans="1:25">
      <c r="A28" s="104">
        <v>22</v>
      </c>
      <c r="B28" s="104" t="s">
        <v>49</v>
      </c>
      <c r="C28" s="105" t="s">
        <v>18</v>
      </c>
      <c r="D28" s="35" t="s">
        <v>58</v>
      </c>
      <c r="E28" s="106">
        <v>90</v>
      </c>
      <c r="F28" s="107">
        <v>31</v>
      </c>
      <c r="G28" s="108">
        <v>0.344444444444444</v>
      </c>
      <c r="H28" s="109">
        <v>840</v>
      </c>
      <c r="I28" s="110">
        <v>403.515069</v>
      </c>
      <c r="J28" s="111">
        <v>0.480375082142857</v>
      </c>
      <c r="K28" s="110">
        <v>190</v>
      </c>
      <c r="L28" s="110">
        <v>82.4431489593506</v>
      </c>
      <c r="M28" s="111">
        <v>0.433911310312371</v>
      </c>
      <c r="N28" s="107">
        <v>25</v>
      </c>
      <c r="O28" s="107">
        <v>6</v>
      </c>
      <c r="P28" s="108">
        <v>0.24</v>
      </c>
      <c r="Q28" s="109">
        <v>200</v>
      </c>
      <c r="R28" s="110">
        <v>71.395715</v>
      </c>
      <c r="S28" s="111">
        <v>0.356978575</v>
      </c>
      <c r="T28" s="112">
        <v>25</v>
      </c>
      <c r="U28" s="113">
        <v>7</v>
      </c>
      <c r="V28" s="114">
        <v>0.28</v>
      </c>
      <c r="W28" s="115">
        <v>200</v>
      </c>
      <c r="X28" s="116">
        <v>85.253351</v>
      </c>
      <c r="Y28" s="114">
        <v>0.426266755</v>
      </c>
    </row>
    <row r="29" s="79" customFormat="1" ht="24.95" customHeight="1" spans="1:25">
      <c r="A29" s="104">
        <v>23</v>
      </c>
      <c r="B29" s="104" t="s">
        <v>49</v>
      </c>
      <c r="C29" s="105" t="s">
        <v>18</v>
      </c>
      <c r="D29" s="44" t="s">
        <v>59</v>
      </c>
      <c r="E29" s="106">
        <v>136</v>
      </c>
      <c r="F29" s="107">
        <v>84</v>
      </c>
      <c r="G29" s="108">
        <v>0.617647058823529</v>
      </c>
      <c r="H29" s="109">
        <v>1200</v>
      </c>
      <c r="I29" s="110">
        <v>788.4147</v>
      </c>
      <c r="J29" s="111">
        <v>0.65701225</v>
      </c>
      <c r="K29" s="110">
        <v>285</v>
      </c>
      <c r="L29" s="110">
        <v>141.106999921799</v>
      </c>
      <c r="M29" s="111">
        <v>0.495112280427364</v>
      </c>
      <c r="N29" s="107">
        <v>36</v>
      </c>
      <c r="O29" s="107">
        <v>14</v>
      </c>
      <c r="P29" s="108">
        <v>0.388888888888889</v>
      </c>
      <c r="Q29" s="109">
        <v>300</v>
      </c>
      <c r="R29" s="110">
        <v>112.02</v>
      </c>
      <c r="S29" s="111">
        <v>0.3734</v>
      </c>
      <c r="T29" s="112">
        <v>36</v>
      </c>
      <c r="U29" s="113">
        <v>25</v>
      </c>
      <c r="V29" s="114">
        <v>0.694444444444444</v>
      </c>
      <c r="W29" s="115">
        <v>300</v>
      </c>
      <c r="X29" s="116">
        <v>200.5847</v>
      </c>
      <c r="Y29" s="114">
        <v>0.668615666666667</v>
      </c>
    </row>
    <row r="30" s="79" customFormat="1" ht="24.95" customHeight="1" spans="1:25">
      <c r="A30" s="104">
        <v>24</v>
      </c>
      <c r="B30" s="104" t="s">
        <v>49</v>
      </c>
      <c r="C30" s="105" t="s">
        <v>18</v>
      </c>
      <c r="D30" s="44" t="s">
        <v>60</v>
      </c>
      <c r="E30" s="106">
        <v>40</v>
      </c>
      <c r="F30" s="107">
        <v>14</v>
      </c>
      <c r="G30" s="108">
        <v>0.35</v>
      </c>
      <c r="H30" s="109">
        <v>200</v>
      </c>
      <c r="I30" s="110">
        <v>112.9114</v>
      </c>
      <c r="J30" s="111">
        <v>0.564557</v>
      </c>
      <c r="K30" s="110">
        <v>190</v>
      </c>
      <c r="L30" s="110">
        <v>0</v>
      </c>
      <c r="M30" s="111">
        <v>0</v>
      </c>
      <c r="N30" s="107">
        <v>36</v>
      </c>
      <c r="O30" s="107">
        <v>0</v>
      </c>
      <c r="P30" s="108">
        <v>0</v>
      </c>
      <c r="Q30" s="109">
        <v>200</v>
      </c>
      <c r="R30" s="110">
        <v>0</v>
      </c>
      <c r="S30" s="111">
        <v>0</v>
      </c>
      <c r="T30" s="112">
        <v>36</v>
      </c>
      <c r="U30" s="113">
        <v>0</v>
      </c>
      <c r="V30" s="114">
        <v>0</v>
      </c>
      <c r="W30" s="115">
        <v>200</v>
      </c>
      <c r="X30" s="116">
        <v>0</v>
      </c>
      <c r="Y30" s="114">
        <v>0</v>
      </c>
    </row>
    <row r="31" s="79" customFormat="1" ht="24.95" customHeight="1" spans="1:25">
      <c r="A31" s="104">
        <v>25</v>
      </c>
      <c r="B31" s="104" t="s">
        <v>37</v>
      </c>
      <c r="C31" s="105" t="s">
        <v>18</v>
      </c>
      <c r="D31" s="44" t="s">
        <v>61</v>
      </c>
      <c r="E31" s="106">
        <v>109</v>
      </c>
      <c r="F31" s="107">
        <v>53</v>
      </c>
      <c r="G31" s="108">
        <v>0.486238532110092</v>
      </c>
      <c r="H31" s="109">
        <v>900</v>
      </c>
      <c r="I31" s="110">
        <v>865.4601</v>
      </c>
      <c r="J31" s="111">
        <v>0.961622333333333</v>
      </c>
      <c r="K31" s="110">
        <v>494.95</v>
      </c>
      <c r="L31" s="110">
        <v>230.094579882813</v>
      </c>
      <c r="M31" s="111">
        <v>0.464884493146404</v>
      </c>
      <c r="N31" s="107">
        <v>61</v>
      </c>
      <c r="O31" s="107">
        <v>22</v>
      </c>
      <c r="P31" s="108">
        <v>0.360655737704918</v>
      </c>
      <c r="Q31" s="109">
        <v>521</v>
      </c>
      <c r="R31" s="110">
        <v>455.1201</v>
      </c>
      <c r="S31" s="111">
        <v>0.873551055662188</v>
      </c>
      <c r="T31" s="112">
        <v>61</v>
      </c>
      <c r="U31" s="113">
        <v>29</v>
      </c>
      <c r="V31" s="114">
        <v>0.475409836065574</v>
      </c>
      <c r="W31" s="115">
        <v>521</v>
      </c>
      <c r="X31" s="116">
        <v>624.5801</v>
      </c>
      <c r="Y31" s="114">
        <v>1.19881017274472</v>
      </c>
    </row>
    <row r="32" s="79" customFormat="1" ht="24.95" customHeight="1" spans="1:25">
      <c r="A32" s="104">
        <v>26</v>
      </c>
      <c r="B32" s="104" t="s">
        <v>49</v>
      </c>
      <c r="C32" s="105" t="s">
        <v>18</v>
      </c>
      <c r="D32" s="44" t="s">
        <v>62</v>
      </c>
      <c r="E32" s="106">
        <v>36</v>
      </c>
      <c r="F32" s="107">
        <v>32</v>
      </c>
      <c r="G32" s="108">
        <v>0.888888888888889</v>
      </c>
      <c r="H32" s="109">
        <v>630</v>
      </c>
      <c r="I32" s="110">
        <v>385.904166</v>
      </c>
      <c r="J32" s="111">
        <v>0.612546295238095</v>
      </c>
      <c r="K32" s="110">
        <v>250.955281626998</v>
      </c>
      <c r="L32" s="110">
        <v>1506.73532404785</v>
      </c>
      <c r="M32" s="111">
        <v>6.00399925548232</v>
      </c>
      <c r="N32" s="107">
        <v>17</v>
      </c>
      <c r="O32" s="107">
        <v>4</v>
      </c>
      <c r="P32" s="108">
        <v>0.235294117647059</v>
      </c>
      <c r="Q32" s="109">
        <v>264.163454344208</v>
      </c>
      <c r="R32" s="110">
        <v>42.769084</v>
      </c>
      <c r="S32" s="111">
        <v>0.16190386405332</v>
      </c>
      <c r="T32" s="112">
        <v>17</v>
      </c>
      <c r="U32" s="113">
        <v>6</v>
      </c>
      <c r="V32" s="114">
        <v>0.352941176470588</v>
      </c>
      <c r="W32" s="115">
        <v>264.163454344208</v>
      </c>
      <c r="X32" s="116">
        <v>61.235375</v>
      </c>
      <c r="Y32" s="114">
        <v>0.231808654804346</v>
      </c>
    </row>
    <row r="33" s="79" customFormat="1" ht="24.95" customHeight="1" spans="1:25">
      <c r="A33" s="104">
        <v>27</v>
      </c>
      <c r="B33" s="104" t="s">
        <v>49</v>
      </c>
      <c r="C33" s="105" t="s">
        <v>18</v>
      </c>
      <c r="D33" s="44" t="s">
        <v>63</v>
      </c>
      <c r="E33" s="106">
        <v>20</v>
      </c>
      <c r="F33" s="107">
        <v>18</v>
      </c>
      <c r="G33" s="108">
        <v>0.9</v>
      </c>
      <c r="H33" s="109">
        <v>200</v>
      </c>
      <c r="I33" s="110">
        <v>108.08</v>
      </c>
      <c r="J33" s="111">
        <v>0.5404</v>
      </c>
      <c r="K33" s="110">
        <v>190</v>
      </c>
      <c r="L33" s="110">
        <v>0</v>
      </c>
      <c r="M33" s="111">
        <v>0</v>
      </c>
      <c r="N33" s="107">
        <v>15</v>
      </c>
      <c r="O33" s="107">
        <v>0</v>
      </c>
      <c r="P33" s="108">
        <v>0</v>
      </c>
      <c r="Q33" s="109">
        <v>200</v>
      </c>
      <c r="R33" s="110">
        <v>0</v>
      </c>
      <c r="S33" s="111">
        <v>0</v>
      </c>
      <c r="T33" s="112">
        <v>15</v>
      </c>
      <c r="U33" s="113">
        <v>0</v>
      </c>
      <c r="V33" s="114">
        <v>0</v>
      </c>
      <c r="W33" s="115">
        <v>200</v>
      </c>
      <c r="X33" s="116">
        <v>0</v>
      </c>
      <c r="Y33" s="114">
        <v>0</v>
      </c>
    </row>
    <row r="34" s="79" customFormat="1" ht="24.95" customHeight="1" spans="1:25">
      <c r="A34" s="119" t="s">
        <v>64</v>
      </c>
      <c r="B34" s="119"/>
      <c r="C34" s="119"/>
      <c r="D34" s="104"/>
      <c r="E34" s="120">
        <v>1328</v>
      </c>
      <c r="F34" s="120">
        <v>812</v>
      </c>
      <c r="G34" s="121">
        <v>0.61144578313253</v>
      </c>
      <c r="H34" s="120">
        <v>31010</v>
      </c>
      <c r="I34" s="120">
        <v>18773.651441</v>
      </c>
      <c r="J34" s="121">
        <v>0.605406367010643</v>
      </c>
      <c r="K34" s="120">
        <v>11972.210563254</v>
      </c>
      <c r="L34" s="120">
        <v>9078.83039819756</v>
      </c>
      <c r="M34" s="121">
        <v>0.758325319307612</v>
      </c>
      <c r="N34" s="120">
        <v>583</v>
      </c>
      <c r="O34" s="120">
        <v>265</v>
      </c>
      <c r="P34" s="121">
        <v>0.454545454545455</v>
      </c>
      <c r="Q34" s="120">
        <v>12602.3269086884</v>
      </c>
      <c r="R34" s="120">
        <v>9555.395589</v>
      </c>
      <c r="S34" s="121">
        <v>0.758224703916562</v>
      </c>
      <c r="T34" s="120">
        <v>583</v>
      </c>
      <c r="U34" s="120">
        <v>277</v>
      </c>
      <c r="V34" s="121">
        <v>0.475128644939966</v>
      </c>
      <c r="W34" s="120">
        <v>12602.3269086884</v>
      </c>
      <c r="X34" s="120">
        <v>10501.21106641</v>
      </c>
      <c r="Y34" s="121">
        <v>0.833275564306315</v>
      </c>
    </row>
    <row r="35" s="79" customFormat="1" ht="24.95" customHeight="1" spans="1:25">
      <c r="A35" s="104">
        <v>28</v>
      </c>
      <c r="B35" s="104" t="s">
        <v>40</v>
      </c>
      <c r="C35" s="105" t="s">
        <v>19</v>
      </c>
      <c r="D35" s="35" t="s">
        <v>65</v>
      </c>
      <c r="E35" s="106">
        <v>235</v>
      </c>
      <c r="F35" s="107">
        <v>113</v>
      </c>
      <c r="G35" s="108">
        <v>0.480851063829787</v>
      </c>
      <c r="H35" s="109">
        <v>1673.35</v>
      </c>
      <c r="I35" s="110">
        <v>900.555620999999</v>
      </c>
      <c r="J35" s="111">
        <v>0.538175289688349</v>
      </c>
      <c r="K35" s="110">
        <v>648.85</v>
      </c>
      <c r="L35" s="110">
        <v>80.8128183105469</v>
      </c>
      <c r="M35" s="111">
        <v>0.124547766526234</v>
      </c>
      <c r="N35" s="107">
        <v>63</v>
      </c>
      <c r="O35" s="107">
        <v>16</v>
      </c>
      <c r="P35" s="108">
        <v>0.253968253968254</v>
      </c>
      <c r="Q35" s="109">
        <v>683</v>
      </c>
      <c r="R35" s="110">
        <v>103.030161</v>
      </c>
      <c r="S35" s="111">
        <v>0.15084943045388</v>
      </c>
      <c r="T35" s="112">
        <v>63</v>
      </c>
      <c r="U35" s="113">
        <v>13</v>
      </c>
      <c r="V35" s="114">
        <v>0.206349206349206</v>
      </c>
      <c r="W35" s="115">
        <v>683</v>
      </c>
      <c r="X35" s="116">
        <v>70.881715</v>
      </c>
      <c r="Y35" s="114">
        <v>0.103779963396779</v>
      </c>
    </row>
    <row r="36" s="79" customFormat="1" ht="24.95" customHeight="1" spans="1:25">
      <c r="A36" s="104">
        <v>29</v>
      </c>
      <c r="B36" s="104" t="s">
        <v>37</v>
      </c>
      <c r="C36" s="105" t="s">
        <v>19</v>
      </c>
      <c r="D36" s="44" t="s">
        <v>66</v>
      </c>
      <c r="E36" s="106">
        <v>66</v>
      </c>
      <c r="F36" s="107">
        <v>22</v>
      </c>
      <c r="G36" s="108">
        <v>0.333333333333333</v>
      </c>
      <c r="H36" s="109">
        <v>930</v>
      </c>
      <c r="I36" s="110">
        <v>555.86387107</v>
      </c>
      <c r="J36" s="111">
        <v>0.597703087172043</v>
      </c>
      <c r="K36" s="110">
        <v>414.432922440495</v>
      </c>
      <c r="L36" s="110">
        <v>637.319442257773</v>
      </c>
      <c r="M36" s="111">
        <v>1.53781084404384</v>
      </c>
      <c r="N36" s="107">
        <v>28</v>
      </c>
      <c r="O36" s="107">
        <v>5</v>
      </c>
      <c r="P36" s="108">
        <v>0.178571428571429</v>
      </c>
      <c r="Q36" s="109">
        <v>436.245181516311</v>
      </c>
      <c r="R36" s="110">
        <v>78.485348</v>
      </c>
      <c r="S36" s="111">
        <v>0.179911094323607</v>
      </c>
      <c r="T36" s="112">
        <v>28</v>
      </c>
      <c r="U36" s="113">
        <v>15</v>
      </c>
      <c r="V36" s="114">
        <v>0.535714285714286</v>
      </c>
      <c r="W36" s="115">
        <v>436.245181516311</v>
      </c>
      <c r="X36" s="116">
        <v>162.733611</v>
      </c>
      <c r="Y36" s="114">
        <v>0.373032454901546</v>
      </c>
    </row>
    <row r="37" s="79" customFormat="1" ht="24.95" customHeight="1" spans="1:25">
      <c r="A37" s="104">
        <v>30</v>
      </c>
      <c r="B37" s="104" t="s">
        <v>49</v>
      </c>
      <c r="C37" s="105" t="s">
        <v>19</v>
      </c>
      <c r="D37" s="44" t="s">
        <v>67</v>
      </c>
      <c r="E37" s="106">
        <v>87</v>
      </c>
      <c r="F37" s="107">
        <v>32</v>
      </c>
      <c r="G37" s="108">
        <v>0.367816091954023</v>
      </c>
      <c r="H37" s="109">
        <v>688</v>
      </c>
      <c r="I37" s="110">
        <v>255.135846</v>
      </c>
      <c r="J37" s="111">
        <v>0.370836985465116</v>
      </c>
      <c r="K37" s="110">
        <v>251.75</v>
      </c>
      <c r="L37" s="110">
        <v>21.3623609375</v>
      </c>
      <c r="M37" s="111">
        <v>0.0848554555610725</v>
      </c>
      <c r="N37" s="107">
        <v>32</v>
      </c>
      <c r="O37" s="107">
        <v>6</v>
      </c>
      <c r="P37" s="108">
        <v>0.1875</v>
      </c>
      <c r="Q37" s="109">
        <v>265</v>
      </c>
      <c r="R37" s="110">
        <v>45.71685</v>
      </c>
      <c r="S37" s="111">
        <v>0.17251641509434</v>
      </c>
      <c r="T37" s="112">
        <v>32</v>
      </c>
      <c r="U37" s="113">
        <v>4</v>
      </c>
      <c r="V37" s="114">
        <v>0.125</v>
      </c>
      <c r="W37" s="115">
        <v>265</v>
      </c>
      <c r="X37" s="116">
        <v>23.250354</v>
      </c>
      <c r="Y37" s="114">
        <v>0.0877371849056604</v>
      </c>
    </row>
    <row r="38" s="79" customFormat="1" ht="24.95" customHeight="1" spans="1:25">
      <c r="A38" s="104">
        <v>31</v>
      </c>
      <c r="B38" s="104" t="s">
        <v>37</v>
      </c>
      <c r="C38" s="105" t="s">
        <v>19</v>
      </c>
      <c r="D38" s="44" t="s">
        <v>68</v>
      </c>
      <c r="E38" s="106">
        <v>238</v>
      </c>
      <c r="F38" s="107">
        <v>85</v>
      </c>
      <c r="G38" s="108">
        <v>0.357142857142857</v>
      </c>
      <c r="H38" s="109">
        <v>1768.9</v>
      </c>
      <c r="I38" s="110">
        <v>935.889094</v>
      </c>
      <c r="J38" s="111">
        <v>0.529079707162643</v>
      </c>
      <c r="K38" s="110">
        <v>685.9</v>
      </c>
      <c r="L38" s="110">
        <v>232.650673165083</v>
      </c>
      <c r="M38" s="111">
        <v>0.339190367641176</v>
      </c>
      <c r="N38" s="107">
        <v>73</v>
      </c>
      <c r="O38" s="107">
        <v>20</v>
      </c>
      <c r="P38" s="108">
        <v>0.273972602739726</v>
      </c>
      <c r="Q38" s="109">
        <v>722</v>
      </c>
      <c r="R38" s="110">
        <v>159.104546</v>
      </c>
      <c r="S38" s="111">
        <v>0.220366407202216</v>
      </c>
      <c r="T38" s="112">
        <v>73</v>
      </c>
      <c r="U38" s="113">
        <v>22</v>
      </c>
      <c r="V38" s="114">
        <v>0.301369863013699</v>
      </c>
      <c r="W38" s="115">
        <v>722</v>
      </c>
      <c r="X38" s="116">
        <v>176.671835</v>
      </c>
      <c r="Y38" s="114">
        <v>0.244697832409972</v>
      </c>
    </row>
    <row r="39" s="79" customFormat="1" ht="24.95" customHeight="1" spans="1:25">
      <c r="A39" s="104">
        <v>32</v>
      </c>
      <c r="B39" s="104" t="s">
        <v>40</v>
      </c>
      <c r="C39" s="105" t="s">
        <v>19</v>
      </c>
      <c r="D39" s="44" t="s">
        <v>69</v>
      </c>
      <c r="E39" s="106">
        <v>136</v>
      </c>
      <c r="F39" s="107">
        <v>37</v>
      </c>
      <c r="G39" s="108">
        <v>0.272058823529412</v>
      </c>
      <c r="H39" s="109">
        <v>964</v>
      </c>
      <c r="I39" s="110">
        <v>504.769577</v>
      </c>
      <c r="J39" s="111">
        <v>0.523619893153527</v>
      </c>
      <c r="K39" s="110">
        <v>361</v>
      </c>
      <c r="L39" s="110">
        <v>120.109423742676</v>
      </c>
      <c r="M39" s="111">
        <v>0.332713085159767</v>
      </c>
      <c r="N39" s="107">
        <v>32</v>
      </c>
      <c r="O39" s="107">
        <v>8</v>
      </c>
      <c r="P39" s="108">
        <v>0.25</v>
      </c>
      <c r="Q39" s="109">
        <v>380</v>
      </c>
      <c r="R39" s="110">
        <v>88.302307</v>
      </c>
      <c r="S39" s="111">
        <v>0.232374492105263</v>
      </c>
      <c r="T39" s="112">
        <v>32</v>
      </c>
      <c r="U39" s="113">
        <v>16</v>
      </c>
      <c r="V39" s="114">
        <v>0.5</v>
      </c>
      <c r="W39" s="115">
        <v>380</v>
      </c>
      <c r="X39" s="116">
        <v>157.776715</v>
      </c>
      <c r="Y39" s="114">
        <v>0.415201881578947</v>
      </c>
    </row>
    <row r="40" s="79" customFormat="1" ht="24.95" customHeight="1" spans="1:25">
      <c r="A40" s="104">
        <v>33</v>
      </c>
      <c r="B40" s="104" t="s">
        <v>40</v>
      </c>
      <c r="C40" s="105" t="s">
        <v>19</v>
      </c>
      <c r="D40" s="44" t="s">
        <v>70</v>
      </c>
      <c r="E40" s="106">
        <v>69</v>
      </c>
      <c r="F40" s="107">
        <v>46</v>
      </c>
      <c r="G40" s="108">
        <v>0.666666666666667</v>
      </c>
      <c r="H40" s="109">
        <v>710</v>
      </c>
      <c r="I40" s="110">
        <v>420.22447</v>
      </c>
      <c r="J40" s="111">
        <v>0.591865450704225</v>
      </c>
      <c r="K40" s="110">
        <v>332.5</v>
      </c>
      <c r="L40" s="110">
        <v>0</v>
      </c>
      <c r="M40" s="111">
        <v>0</v>
      </c>
      <c r="N40" s="107">
        <v>27</v>
      </c>
      <c r="O40" s="107">
        <v>0</v>
      </c>
      <c r="P40" s="108">
        <v>0</v>
      </c>
      <c r="Q40" s="109">
        <v>350</v>
      </c>
      <c r="R40" s="110">
        <v>0</v>
      </c>
      <c r="S40" s="111">
        <v>0</v>
      </c>
      <c r="T40" s="112">
        <v>27</v>
      </c>
      <c r="U40" s="113">
        <v>0</v>
      </c>
      <c r="V40" s="114">
        <v>0</v>
      </c>
      <c r="W40" s="115">
        <v>350</v>
      </c>
      <c r="X40" s="116">
        <v>0</v>
      </c>
      <c r="Y40" s="114">
        <v>0</v>
      </c>
    </row>
    <row r="41" s="79" customFormat="1" ht="24.95" customHeight="1" spans="1:25">
      <c r="A41" s="104">
        <v>34</v>
      </c>
      <c r="B41" s="104" t="s">
        <v>40</v>
      </c>
      <c r="C41" s="105" t="s">
        <v>19</v>
      </c>
      <c r="D41" s="44" t="s">
        <v>71</v>
      </c>
      <c r="E41" s="106">
        <v>263</v>
      </c>
      <c r="F41" s="107">
        <v>79</v>
      </c>
      <c r="G41" s="108">
        <v>0.300380228136882</v>
      </c>
      <c r="H41" s="109">
        <v>1640</v>
      </c>
      <c r="I41" s="110">
        <v>816.907674</v>
      </c>
      <c r="J41" s="111">
        <v>0.498114435365853</v>
      </c>
      <c r="K41" s="110">
        <v>380</v>
      </c>
      <c r="L41" s="110">
        <v>77.7710213134766</v>
      </c>
      <c r="M41" s="111">
        <v>0.204660582403886</v>
      </c>
      <c r="N41" s="107">
        <v>42</v>
      </c>
      <c r="O41" s="107">
        <v>8</v>
      </c>
      <c r="P41" s="108">
        <v>0.19047619047619</v>
      </c>
      <c r="Q41" s="109">
        <v>400</v>
      </c>
      <c r="R41" s="110">
        <v>77.59975</v>
      </c>
      <c r="S41" s="111">
        <v>0.193999375</v>
      </c>
      <c r="T41" s="112">
        <v>42</v>
      </c>
      <c r="U41" s="113">
        <v>9</v>
      </c>
      <c r="V41" s="114">
        <v>0.214285714285714</v>
      </c>
      <c r="W41" s="115">
        <v>400</v>
      </c>
      <c r="X41" s="116">
        <v>84.250264</v>
      </c>
      <c r="Y41" s="114">
        <v>0.21062566</v>
      </c>
    </row>
    <row r="42" s="79" customFormat="1" ht="24.95" customHeight="1" spans="1:25">
      <c r="A42" s="104">
        <v>35</v>
      </c>
      <c r="B42" s="104" t="s">
        <v>37</v>
      </c>
      <c r="C42" s="105" t="s">
        <v>19</v>
      </c>
      <c r="D42" s="35" t="s">
        <v>72</v>
      </c>
      <c r="E42" s="106">
        <v>148</v>
      </c>
      <c r="F42" s="107">
        <v>67</v>
      </c>
      <c r="G42" s="108">
        <v>0.452702702702703</v>
      </c>
      <c r="H42" s="109">
        <v>1470</v>
      </c>
      <c r="I42" s="110">
        <v>762.662076999999</v>
      </c>
      <c r="J42" s="111">
        <v>0.518817739455782</v>
      </c>
      <c r="K42" s="110">
        <v>570</v>
      </c>
      <c r="L42" s="110">
        <v>77.5395807006836</v>
      </c>
      <c r="M42" s="111">
        <v>0.136034352106462</v>
      </c>
      <c r="N42" s="107">
        <v>55</v>
      </c>
      <c r="O42" s="107">
        <v>10</v>
      </c>
      <c r="P42" s="108">
        <v>0.181818181818182</v>
      </c>
      <c r="Q42" s="109">
        <v>600</v>
      </c>
      <c r="R42" s="110">
        <v>74.216801</v>
      </c>
      <c r="S42" s="111">
        <v>0.123694668333333</v>
      </c>
      <c r="T42" s="112">
        <v>55</v>
      </c>
      <c r="U42" s="113">
        <v>14</v>
      </c>
      <c r="V42" s="114">
        <v>0.254545454545455</v>
      </c>
      <c r="W42" s="115">
        <v>600</v>
      </c>
      <c r="X42" s="116">
        <v>109.905272</v>
      </c>
      <c r="Y42" s="114">
        <v>0.183175453333333</v>
      </c>
    </row>
    <row r="43" s="79" customFormat="1" ht="24.95" customHeight="1" spans="1:25">
      <c r="A43" s="104">
        <v>36</v>
      </c>
      <c r="B43" s="104" t="s">
        <v>31</v>
      </c>
      <c r="C43" s="105" t="s">
        <v>19</v>
      </c>
      <c r="D43" s="44" t="s">
        <v>73</v>
      </c>
      <c r="E43" s="106">
        <v>246</v>
      </c>
      <c r="F43" s="107">
        <v>165</v>
      </c>
      <c r="G43" s="108">
        <v>0.670731707317073</v>
      </c>
      <c r="H43" s="109">
        <v>2934</v>
      </c>
      <c r="I43" s="110">
        <v>1764.861957</v>
      </c>
      <c r="J43" s="111">
        <v>0.60152077607362</v>
      </c>
      <c r="K43" s="110">
        <v>1577</v>
      </c>
      <c r="L43" s="110">
        <v>271.229190881348</v>
      </c>
      <c r="M43" s="111">
        <v>0.171990609309669</v>
      </c>
      <c r="N43" s="107">
        <v>82</v>
      </c>
      <c r="O43" s="107">
        <v>10</v>
      </c>
      <c r="P43" s="108">
        <v>0.121951219512195</v>
      </c>
      <c r="Q43" s="109">
        <v>1660</v>
      </c>
      <c r="R43" s="110">
        <v>110.754958</v>
      </c>
      <c r="S43" s="111">
        <v>0.0667198542168675</v>
      </c>
      <c r="T43" s="112">
        <v>82</v>
      </c>
      <c r="U43" s="113">
        <v>52</v>
      </c>
      <c r="V43" s="114">
        <v>0.634146341463415</v>
      </c>
      <c r="W43" s="115">
        <v>1660</v>
      </c>
      <c r="X43" s="116">
        <v>642.605337</v>
      </c>
      <c r="Y43" s="114">
        <v>0.387111648795181</v>
      </c>
    </row>
    <row r="44" s="79" customFormat="1" ht="24.95" customHeight="1" spans="1:25">
      <c r="A44" s="104">
        <v>37</v>
      </c>
      <c r="B44" s="104" t="s">
        <v>40</v>
      </c>
      <c r="C44" s="105" t="s">
        <v>19</v>
      </c>
      <c r="D44" s="50" t="s">
        <v>74</v>
      </c>
      <c r="E44" s="106">
        <v>85</v>
      </c>
      <c r="F44" s="107">
        <v>67</v>
      </c>
      <c r="G44" s="108">
        <v>0.788235294117647</v>
      </c>
      <c r="H44" s="109">
        <v>650</v>
      </c>
      <c r="I44" s="110">
        <v>572.997678</v>
      </c>
      <c r="J44" s="111">
        <v>0.881534889230769</v>
      </c>
      <c r="K44" s="110">
        <v>332.5</v>
      </c>
      <c r="L44" s="110">
        <v>16.8840703063965</v>
      </c>
      <c r="M44" s="111">
        <v>0.05077915881623</v>
      </c>
      <c r="N44" s="107">
        <v>27</v>
      </c>
      <c r="O44" s="107">
        <v>1</v>
      </c>
      <c r="P44" s="108">
        <v>0.037037037037037</v>
      </c>
      <c r="Q44" s="109">
        <v>350</v>
      </c>
      <c r="R44" s="110">
        <v>16.98015</v>
      </c>
      <c r="S44" s="111">
        <v>0.0485147142857143</v>
      </c>
      <c r="T44" s="112">
        <v>27</v>
      </c>
      <c r="U44" s="113">
        <v>1</v>
      </c>
      <c r="V44" s="114">
        <v>0.037037037037037</v>
      </c>
      <c r="W44" s="115">
        <v>350</v>
      </c>
      <c r="X44" s="116">
        <v>16.98015</v>
      </c>
      <c r="Y44" s="114">
        <v>0.0485147142857143</v>
      </c>
    </row>
    <row r="45" s="79" customFormat="1" ht="24.95" customHeight="1" spans="1:25">
      <c r="A45" s="104">
        <v>38</v>
      </c>
      <c r="B45" s="104" t="s">
        <v>40</v>
      </c>
      <c r="C45" s="105" t="s">
        <v>19</v>
      </c>
      <c r="D45" s="50" t="s">
        <v>75</v>
      </c>
      <c r="E45" s="106">
        <v>250</v>
      </c>
      <c r="F45" s="107">
        <v>73</v>
      </c>
      <c r="G45" s="108">
        <v>0.292</v>
      </c>
      <c r="H45" s="109">
        <v>1700</v>
      </c>
      <c r="I45" s="110">
        <v>736.087019</v>
      </c>
      <c r="J45" s="111">
        <v>0.432992364117647</v>
      </c>
      <c r="K45" s="110">
        <v>380</v>
      </c>
      <c r="L45" s="110">
        <v>0</v>
      </c>
      <c r="M45" s="111">
        <v>0</v>
      </c>
      <c r="N45" s="107">
        <v>42</v>
      </c>
      <c r="O45" s="107">
        <v>0</v>
      </c>
      <c r="P45" s="108">
        <v>0</v>
      </c>
      <c r="Q45" s="109">
        <v>400</v>
      </c>
      <c r="R45" s="110">
        <v>0</v>
      </c>
      <c r="S45" s="111">
        <v>0</v>
      </c>
      <c r="T45" s="112">
        <v>42</v>
      </c>
      <c r="U45" s="113">
        <v>0</v>
      </c>
      <c r="V45" s="114">
        <v>0</v>
      </c>
      <c r="W45" s="115">
        <v>400</v>
      </c>
      <c r="X45" s="116">
        <v>0</v>
      </c>
      <c r="Y45" s="114">
        <v>0</v>
      </c>
    </row>
    <row r="46" s="79" customFormat="1" ht="24.95" customHeight="1" spans="1:25">
      <c r="A46" s="119" t="s">
        <v>76</v>
      </c>
      <c r="B46" s="119"/>
      <c r="C46" s="119"/>
      <c r="D46" s="104"/>
      <c r="E46" s="120">
        <v>1823</v>
      </c>
      <c r="F46" s="120">
        <v>786</v>
      </c>
      <c r="G46" s="121">
        <v>0.431157432803072</v>
      </c>
      <c r="H46" s="120">
        <v>15128.25</v>
      </c>
      <c r="I46" s="120">
        <v>8225.95488407</v>
      </c>
      <c r="J46" s="121">
        <v>0.543747947321732</v>
      </c>
      <c r="K46" s="120">
        <v>5933.9329224405</v>
      </c>
      <c r="L46" s="120">
        <v>1535.67858161548</v>
      </c>
      <c r="M46" s="121">
        <v>0.258796080388433</v>
      </c>
      <c r="N46" s="120">
        <v>503</v>
      </c>
      <c r="O46" s="120">
        <v>84</v>
      </c>
      <c r="P46" s="121">
        <v>0.166998011928429</v>
      </c>
      <c r="Q46" s="120">
        <v>6246.24518151631</v>
      </c>
      <c r="R46" s="120">
        <v>754.190871</v>
      </c>
      <c r="S46" s="121">
        <v>0.120743078294745</v>
      </c>
      <c r="T46" s="120">
        <v>503</v>
      </c>
      <c r="U46" s="120">
        <v>146</v>
      </c>
      <c r="V46" s="121">
        <v>0.290258449304175</v>
      </c>
      <c r="W46" s="120">
        <v>6246.24518151631</v>
      </c>
      <c r="X46" s="120">
        <v>1445.055253</v>
      </c>
      <c r="Y46" s="121">
        <v>0.231347827535839</v>
      </c>
    </row>
    <row r="47" s="79" customFormat="1" ht="24.95" customHeight="1" spans="1:25">
      <c r="A47" s="104">
        <v>39</v>
      </c>
      <c r="B47" s="104" t="s">
        <v>31</v>
      </c>
      <c r="C47" s="105" t="s">
        <v>20</v>
      </c>
      <c r="D47" s="44" t="s">
        <v>77</v>
      </c>
      <c r="E47" s="106">
        <v>450</v>
      </c>
      <c r="F47" s="107">
        <v>189</v>
      </c>
      <c r="G47" s="108">
        <v>0.42</v>
      </c>
      <c r="H47" s="109">
        <v>6270</v>
      </c>
      <c r="I47" s="110">
        <v>3703.716701</v>
      </c>
      <c r="J47" s="111">
        <v>0.590704418022328</v>
      </c>
      <c r="K47" s="110">
        <v>2897.5</v>
      </c>
      <c r="L47" s="110">
        <v>1361.02866261461</v>
      </c>
      <c r="M47" s="111">
        <v>0.469725163973981</v>
      </c>
      <c r="N47" s="107">
        <v>210</v>
      </c>
      <c r="O47" s="107">
        <v>100</v>
      </c>
      <c r="P47" s="108">
        <v>0.476190476190476</v>
      </c>
      <c r="Q47" s="109">
        <v>3050</v>
      </c>
      <c r="R47" s="110">
        <v>1481.65251</v>
      </c>
      <c r="S47" s="111">
        <v>0.485787708196721</v>
      </c>
      <c r="T47" s="112">
        <v>210</v>
      </c>
      <c r="U47" s="113">
        <v>120</v>
      </c>
      <c r="V47" s="114">
        <v>0.571428571428571</v>
      </c>
      <c r="W47" s="115">
        <v>3050</v>
      </c>
      <c r="X47" s="116">
        <v>1806.219876</v>
      </c>
      <c r="Y47" s="114">
        <v>0.592203238032787</v>
      </c>
    </row>
    <row r="48" s="79" customFormat="1" ht="24.95" customHeight="1" spans="1:25">
      <c r="A48" s="104">
        <v>40</v>
      </c>
      <c r="B48" s="104" t="s">
        <v>31</v>
      </c>
      <c r="C48" s="105" t="s">
        <v>20</v>
      </c>
      <c r="D48" s="63" t="s">
        <v>78</v>
      </c>
      <c r="E48" s="106">
        <v>450</v>
      </c>
      <c r="F48" s="107">
        <v>199</v>
      </c>
      <c r="G48" s="108">
        <v>0.442222222222222</v>
      </c>
      <c r="H48" s="109">
        <v>6270</v>
      </c>
      <c r="I48" s="110">
        <v>3802.00713</v>
      </c>
      <c r="J48" s="111">
        <v>0.606380722488038</v>
      </c>
      <c r="K48" s="110">
        <v>2897.5</v>
      </c>
      <c r="L48" s="110">
        <v>1129.56292733307</v>
      </c>
      <c r="M48" s="111">
        <v>0.38984052712099</v>
      </c>
      <c r="N48" s="107">
        <v>210</v>
      </c>
      <c r="O48" s="107">
        <v>106</v>
      </c>
      <c r="P48" s="108">
        <v>0.504761904761905</v>
      </c>
      <c r="Q48" s="109">
        <v>3050</v>
      </c>
      <c r="R48" s="110">
        <v>1398.317529</v>
      </c>
      <c r="S48" s="111">
        <v>0.458464763606557</v>
      </c>
      <c r="T48" s="112">
        <v>210</v>
      </c>
      <c r="U48" s="113">
        <v>127</v>
      </c>
      <c r="V48" s="114">
        <v>0.604761904761905</v>
      </c>
      <c r="W48" s="115">
        <v>3050</v>
      </c>
      <c r="X48" s="116">
        <v>1818.493729</v>
      </c>
      <c r="Y48" s="114">
        <v>0.596227452131147</v>
      </c>
    </row>
    <row r="49" s="79" customFormat="1" ht="24.95" customHeight="1" spans="1:25">
      <c r="A49" s="104">
        <v>41</v>
      </c>
      <c r="B49" s="104" t="s">
        <v>40</v>
      </c>
      <c r="C49" s="105" t="s">
        <v>20</v>
      </c>
      <c r="D49" s="35" t="s">
        <v>79</v>
      </c>
      <c r="E49" s="106">
        <v>100</v>
      </c>
      <c r="F49" s="107">
        <v>64</v>
      </c>
      <c r="G49" s="108">
        <v>0.64</v>
      </c>
      <c r="H49" s="109">
        <v>1390</v>
      </c>
      <c r="I49" s="110">
        <v>771.49994</v>
      </c>
      <c r="J49" s="111">
        <v>0.555035928057554</v>
      </c>
      <c r="K49" s="110">
        <v>389.5</v>
      </c>
      <c r="L49" s="110">
        <v>76.4643786132813</v>
      </c>
      <c r="M49" s="111">
        <v>0.196314194129092</v>
      </c>
      <c r="N49" s="107">
        <v>35</v>
      </c>
      <c r="O49" s="107">
        <v>2</v>
      </c>
      <c r="P49" s="108">
        <v>0.0571428571428571</v>
      </c>
      <c r="Q49" s="109">
        <v>410</v>
      </c>
      <c r="R49" s="110">
        <v>26.889612</v>
      </c>
      <c r="S49" s="111">
        <v>0.0655844195121951</v>
      </c>
      <c r="T49" s="112">
        <v>35</v>
      </c>
      <c r="U49" s="113">
        <v>10</v>
      </c>
      <c r="V49" s="114">
        <v>0.285714285714286</v>
      </c>
      <c r="W49" s="115">
        <v>410</v>
      </c>
      <c r="X49" s="116">
        <v>116.394605</v>
      </c>
      <c r="Y49" s="114">
        <v>0.283889280487805</v>
      </c>
    </row>
    <row r="50" s="79" customFormat="1" ht="24.95" customHeight="1" spans="1:25">
      <c r="A50" s="104">
        <v>42</v>
      </c>
      <c r="B50" s="104" t="s">
        <v>40</v>
      </c>
      <c r="C50" s="105" t="s">
        <v>20</v>
      </c>
      <c r="D50" s="44" t="s">
        <v>80</v>
      </c>
      <c r="E50" s="106">
        <v>120</v>
      </c>
      <c r="F50" s="107">
        <v>66</v>
      </c>
      <c r="G50" s="108">
        <v>0.55</v>
      </c>
      <c r="H50" s="109">
        <v>1670</v>
      </c>
      <c r="I50" s="110">
        <v>985.839419</v>
      </c>
      <c r="J50" s="111">
        <v>0.590323005389222</v>
      </c>
      <c r="K50" s="110">
        <v>456</v>
      </c>
      <c r="L50" s="110">
        <v>263.789848828125</v>
      </c>
      <c r="M50" s="111">
        <v>0.578486510587993</v>
      </c>
      <c r="N50" s="107">
        <v>40</v>
      </c>
      <c r="O50" s="107">
        <v>17</v>
      </c>
      <c r="P50" s="108">
        <v>0.425</v>
      </c>
      <c r="Q50" s="109">
        <v>480</v>
      </c>
      <c r="R50" s="110">
        <v>257.998415</v>
      </c>
      <c r="S50" s="111">
        <v>0.537496697916667</v>
      </c>
      <c r="T50" s="112">
        <v>40</v>
      </c>
      <c r="U50" s="113">
        <v>20</v>
      </c>
      <c r="V50" s="114">
        <v>0.5</v>
      </c>
      <c r="W50" s="115">
        <v>480</v>
      </c>
      <c r="X50" s="116">
        <v>271.502199</v>
      </c>
      <c r="Y50" s="114">
        <v>0.56562958125</v>
      </c>
    </row>
    <row r="51" s="79" customFormat="1" ht="24.95" customHeight="1" spans="1:25">
      <c r="A51" s="104">
        <v>43</v>
      </c>
      <c r="B51" s="104" t="s">
        <v>31</v>
      </c>
      <c r="C51" s="105" t="s">
        <v>20</v>
      </c>
      <c r="D51" s="44" t="s">
        <v>81</v>
      </c>
      <c r="E51" s="106">
        <v>520</v>
      </c>
      <c r="F51" s="107">
        <v>333</v>
      </c>
      <c r="G51" s="108">
        <v>0.640384615384615</v>
      </c>
      <c r="H51" s="109">
        <v>7248.8</v>
      </c>
      <c r="I51" s="110">
        <v>4046.48402200001</v>
      </c>
      <c r="J51" s="111">
        <v>0.558228123551485</v>
      </c>
      <c r="K51" s="110">
        <v>2502.3</v>
      </c>
      <c r="L51" s="110">
        <v>769.898103517723</v>
      </c>
      <c r="M51" s="111">
        <v>0.307676179322113</v>
      </c>
      <c r="N51" s="107">
        <v>200</v>
      </c>
      <c r="O51" s="107">
        <v>67</v>
      </c>
      <c r="P51" s="108">
        <v>0.335</v>
      </c>
      <c r="Q51" s="109">
        <v>2634</v>
      </c>
      <c r="R51" s="110">
        <v>657.507735</v>
      </c>
      <c r="S51" s="111">
        <v>0.249623285876993</v>
      </c>
      <c r="T51" s="112">
        <v>200</v>
      </c>
      <c r="U51" s="113">
        <v>113</v>
      </c>
      <c r="V51" s="114">
        <v>0.565</v>
      </c>
      <c r="W51" s="115">
        <v>2634</v>
      </c>
      <c r="X51" s="116">
        <v>1066.339715</v>
      </c>
      <c r="Y51" s="114">
        <v>0.40483664198937</v>
      </c>
    </row>
    <row r="52" s="79" customFormat="1" ht="24.95" customHeight="1" spans="1:25">
      <c r="A52" s="104">
        <v>44</v>
      </c>
      <c r="B52" s="104" t="s">
        <v>40</v>
      </c>
      <c r="C52" s="105" t="s">
        <v>20</v>
      </c>
      <c r="D52" s="44" t="s">
        <v>82</v>
      </c>
      <c r="E52" s="106">
        <v>72</v>
      </c>
      <c r="F52" s="107">
        <v>24</v>
      </c>
      <c r="G52" s="108">
        <v>0.333333333333333</v>
      </c>
      <c r="H52" s="109">
        <v>1000</v>
      </c>
      <c r="I52" s="110">
        <v>200.360525</v>
      </c>
      <c r="J52" s="111">
        <v>0.200360525</v>
      </c>
      <c r="K52" s="110">
        <v>380</v>
      </c>
      <c r="L52" s="110">
        <v>3.92318359375</v>
      </c>
      <c r="M52" s="111">
        <v>0.0103241673519737</v>
      </c>
      <c r="N52" s="107">
        <v>40</v>
      </c>
      <c r="O52" s="107">
        <v>0</v>
      </c>
      <c r="P52" s="108">
        <v>0</v>
      </c>
      <c r="Q52" s="109">
        <v>400</v>
      </c>
      <c r="R52" s="110">
        <v>0</v>
      </c>
      <c r="S52" s="111">
        <v>0</v>
      </c>
      <c r="T52" s="112">
        <v>40</v>
      </c>
      <c r="U52" s="113">
        <v>1</v>
      </c>
      <c r="V52" s="114">
        <v>0.025</v>
      </c>
      <c r="W52" s="115">
        <v>400</v>
      </c>
      <c r="X52" s="116">
        <v>13.156231</v>
      </c>
      <c r="Y52" s="114">
        <v>0.0328905775</v>
      </c>
    </row>
    <row r="53" s="79" customFormat="1" ht="24.95" customHeight="1" spans="1:25">
      <c r="A53" s="104">
        <v>45</v>
      </c>
      <c r="B53" s="104" t="s">
        <v>31</v>
      </c>
      <c r="C53" s="105" t="s">
        <v>20</v>
      </c>
      <c r="D53" s="35" t="s">
        <v>83</v>
      </c>
      <c r="E53" s="106">
        <v>800</v>
      </c>
      <c r="F53" s="107">
        <v>355</v>
      </c>
      <c r="G53" s="108">
        <v>0.44375</v>
      </c>
      <c r="H53" s="109">
        <v>11151</v>
      </c>
      <c r="I53" s="110">
        <v>6602.23765700001</v>
      </c>
      <c r="J53" s="111">
        <v>0.592075836875617</v>
      </c>
      <c r="K53" s="110">
        <v>4132.5</v>
      </c>
      <c r="L53" s="110">
        <v>1337.82735399246</v>
      </c>
      <c r="M53" s="111">
        <v>0.32373317700967</v>
      </c>
      <c r="N53" s="107">
        <v>360</v>
      </c>
      <c r="O53" s="107">
        <v>97</v>
      </c>
      <c r="P53" s="108">
        <v>0.269444444444444</v>
      </c>
      <c r="Q53" s="109">
        <v>4350</v>
      </c>
      <c r="R53" s="110">
        <v>1125.547233</v>
      </c>
      <c r="S53" s="111">
        <v>0.258746490344828</v>
      </c>
      <c r="T53" s="112">
        <v>360</v>
      </c>
      <c r="U53" s="113">
        <v>132</v>
      </c>
      <c r="V53" s="114">
        <v>0.366666666666667</v>
      </c>
      <c r="W53" s="115">
        <v>4350</v>
      </c>
      <c r="X53" s="116">
        <v>1326.459565</v>
      </c>
      <c r="Y53" s="114">
        <v>0.304933233333333</v>
      </c>
    </row>
    <row r="54" s="79" customFormat="1" ht="24.95" customHeight="1" spans="1:25">
      <c r="A54" s="104">
        <v>46</v>
      </c>
      <c r="B54" s="104" t="s">
        <v>49</v>
      </c>
      <c r="C54" s="105" t="s">
        <v>20</v>
      </c>
      <c r="D54" s="35" t="s">
        <v>84</v>
      </c>
      <c r="E54" s="106">
        <v>50</v>
      </c>
      <c r="F54" s="107">
        <v>0</v>
      </c>
      <c r="G54" s="108">
        <v>0</v>
      </c>
      <c r="H54" s="109">
        <v>700</v>
      </c>
      <c r="I54" s="110">
        <v>0</v>
      </c>
      <c r="J54" s="111">
        <v>0</v>
      </c>
      <c r="K54" s="110">
        <v>285</v>
      </c>
      <c r="L54" s="110">
        <v>0</v>
      </c>
      <c r="M54" s="111">
        <v>0</v>
      </c>
      <c r="N54" s="107">
        <v>30</v>
      </c>
      <c r="O54" s="107">
        <v>0</v>
      </c>
      <c r="P54" s="108">
        <v>0</v>
      </c>
      <c r="Q54" s="109">
        <v>300</v>
      </c>
      <c r="R54" s="110">
        <v>0</v>
      </c>
      <c r="S54" s="111">
        <v>0</v>
      </c>
      <c r="T54" s="112">
        <v>30</v>
      </c>
      <c r="U54" s="113">
        <v>0</v>
      </c>
      <c r="V54" s="114">
        <v>0</v>
      </c>
      <c r="W54" s="115">
        <v>300</v>
      </c>
      <c r="X54" s="116">
        <v>0</v>
      </c>
      <c r="Y54" s="114">
        <v>0</v>
      </c>
    </row>
    <row r="55" s="79" customFormat="1" ht="24.95" customHeight="1" spans="1:25">
      <c r="A55" s="104">
        <v>47</v>
      </c>
      <c r="B55" s="104" t="s">
        <v>49</v>
      </c>
      <c r="C55" s="105" t="s">
        <v>20</v>
      </c>
      <c r="D55" s="35" t="s">
        <v>85</v>
      </c>
      <c r="E55" s="106">
        <v>60</v>
      </c>
      <c r="F55" s="107">
        <v>8</v>
      </c>
      <c r="G55" s="108">
        <v>0.133333333333333</v>
      </c>
      <c r="H55" s="109">
        <v>840</v>
      </c>
      <c r="I55" s="110">
        <v>101.432496</v>
      </c>
      <c r="J55" s="111">
        <v>0.120752971428571</v>
      </c>
      <c r="K55" s="110">
        <v>190</v>
      </c>
      <c r="L55" s="110">
        <v>0</v>
      </c>
      <c r="M55" s="111">
        <v>0</v>
      </c>
      <c r="N55" s="107">
        <v>20</v>
      </c>
      <c r="O55" s="107">
        <v>0</v>
      </c>
      <c r="P55" s="108">
        <v>0</v>
      </c>
      <c r="Q55" s="109">
        <v>200</v>
      </c>
      <c r="R55" s="110">
        <v>0</v>
      </c>
      <c r="S55" s="111">
        <v>0</v>
      </c>
      <c r="T55" s="112">
        <v>20</v>
      </c>
      <c r="U55" s="113">
        <v>0</v>
      </c>
      <c r="V55" s="114">
        <v>0</v>
      </c>
      <c r="W55" s="115">
        <v>200</v>
      </c>
      <c r="X55" s="116">
        <v>0</v>
      </c>
      <c r="Y55" s="114">
        <v>0</v>
      </c>
    </row>
    <row r="56" s="79" customFormat="1" ht="24.95" customHeight="1" spans="1:25">
      <c r="A56" s="119" t="s">
        <v>86</v>
      </c>
      <c r="B56" s="119"/>
      <c r="C56" s="119"/>
      <c r="D56" s="104"/>
      <c r="E56" s="120">
        <v>2622</v>
      </c>
      <c r="F56" s="120">
        <v>1238</v>
      </c>
      <c r="G56" s="121">
        <v>0.472158657513349</v>
      </c>
      <c r="H56" s="120">
        <v>36539.8</v>
      </c>
      <c r="I56" s="120">
        <v>20213.57789</v>
      </c>
      <c r="J56" s="121">
        <v>0.553193446324282</v>
      </c>
      <c r="K56" s="120">
        <v>14130.3</v>
      </c>
      <c r="L56" s="120">
        <v>4942.49445849302</v>
      </c>
      <c r="M56" s="121">
        <v>0.349779867270548</v>
      </c>
      <c r="N56" s="120">
        <v>1145</v>
      </c>
      <c r="O56" s="120">
        <v>389</v>
      </c>
      <c r="P56" s="121">
        <v>0.339737991266376</v>
      </c>
      <c r="Q56" s="120">
        <v>14874</v>
      </c>
      <c r="R56" s="120">
        <v>4947.913034</v>
      </c>
      <c r="S56" s="121">
        <v>0.332655172381337</v>
      </c>
      <c r="T56" s="120">
        <v>1145</v>
      </c>
      <c r="U56" s="120">
        <v>523</v>
      </c>
      <c r="V56" s="121">
        <v>0.456768558951965</v>
      </c>
      <c r="W56" s="120">
        <v>14874</v>
      </c>
      <c r="X56" s="120">
        <v>6418.56592</v>
      </c>
      <c r="Y56" s="121">
        <v>0.431529240285061</v>
      </c>
    </row>
    <row r="57" s="79" customFormat="1" ht="24.95" customHeight="1" spans="1:25">
      <c r="A57" s="104">
        <v>48</v>
      </c>
      <c r="B57" s="104" t="s">
        <v>37</v>
      </c>
      <c r="C57" s="105" t="s">
        <v>21</v>
      </c>
      <c r="D57" s="35" t="s">
        <v>87</v>
      </c>
      <c r="E57" s="106">
        <v>122</v>
      </c>
      <c r="F57" s="107">
        <v>125</v>
      </c>
      <c r="G57" s="108">
        <v>1.02459016393443</v>
      </c>
      <c r="H57" s="109">
        <v>3360</v>
      </c>
      <c r="I57" s="110">
        <v>1619.632112</v>
      </c>
      <c r="J57" s="111">
        <v>0.482033366666667</v>
      </c>
      <c r="K57" s="110">
        <v>1330</v>
      </c>
      <c r="L57" s="110">
        <v>31.2410927734375</v>
      </c>
      <c r="M57" s="111">
        <v>0.0234895434386748</v>
      </c>
      <c r="N57" s="107">
        <v>62</v>
      </c>
      <c r="O57" s="107">
        <v>1</v>
      </c>
      <c r="P57" s="108">
        <v>0.0161290322580645</v>
      </c>
      <c r="Q57" s="109">
        <v>1400</v>
      </c>
      <c r="R57" s="110">
        <v>26.676143</v>
      </c>
      <c r="S57" s="111">
        <v>0.0190543878571429</v>
      </c>
      <c r="T57" s="112">
        <v>62</v>
      </c>
      <c r="U57" s="113">
        <v>5</v>
      </c>
      <c r="V57" s="114">
        <v>0.0806451612903226</v>
      </c>
      <c r="W57" s="115">
        <v>1400</v>
      </c>
      <c r="X57" s="116">
        <v>55.939306</v>
      </c>
      <c r="Y57" s="114">
        <v>0.0399566471428571</v>
      </c>
    </row>
    <row r="58" s="79" customFormat="1" ht="24.95" customHeight="1" spans="1:25">
      <c r="A58" s="104">
        <v>49</v>
      </c>
      <c r="B58" s="104" t="s">
        <v>31</v>
      </c>
      <c r="C58" s="105" t="s">
        <v>21</v>
      </c>
      <c r="D58" s="44" t="s">
        <v>88</v>
      </c>
      <c r="E58" s="106">
        <v>733</v>
      </c>
      <c r="F58" s="107">
        <v>273</v>
      </c>
      <c r="G58" s="108">
        <v>0.372442019099591</v>
      </c>
      <c r="H58" s="109">
        <v>6860</v>
      </c>
      <c r="I58" s="110">
        <v>2865.950985</v>
      </c>
      <c r="J58" s="111">
        <v>0.417777111516035</v>
      </c>
      <c r="K58" s="110">
        <v>2242</v>
      </c>
      <c r="L58" s="110">
        <v>810.473709020998</v>
      </c>
      <c r="M58" s="111">
        <v>0.361495855941569</v>
      </c>
      <c r="N58" s="107">
        <v>200</v>
      </c>
      <c r="O58" s="107">
        <v>31</v>
      </c>
      <c r="P58" s="108">
        <v>0.155</v>
      </c>
      <c r="Q58" s="109">
        <v>2360</v>
      </c>
      <c r="R58" s="110">
        <v>268.55853</v>
      </c>
      <c r="S58" s="111">
        <v>0.113795987288136</v>
      </c>
      <c r="T58" s="112">
        <v>200</v>
      </c>
      <c r="U58" s="113">
        <v>31</v>
      </c>
      <c r="V58" s="114">
        <v>0.155</v>
      </c>
      <c r="W58" s="115">
        <v>2360</v>
      </c>
      <c r="X58" s="116">
        <v>268.55853</v>
      </c>
      <c r="Y58" s="114">
        <v>0.113795987288136</v>
      </c>
    </row>
    <row r="59" s="79" customFormat="1" ht="24.95" customHeight="1" spans="1:25">
      <c r="A59" s="104">
        <v>50</v>
      </c>
      <c r="B59" s="104" t="s">
        <v>31</v>
      </c>
      <c r="C59" s="105" t="s">
        <v>21</v>
      </c>
      <c r="D59" s="44" t="s">
        <v>89</v>
      </c>
      <c r="E59" s="106">
        <v>299</v>
      </c>
      <c r="F59" s="107">
        <v>410</v>
      </c>
      <c r="G59" s="108">
        <v>1.37123745819398</v>
      </c>
      <c r="H59" s="109">
        <v>3710</v>
      </c>
      <c r="I59" s="110">
        <v>4272.48705399999</v>
      </c>
      <c r="J59" s="111">
        <v>1.15161376118598</v>
      </c>
      <c r="K59" s="110">
        <v>1425</v>
      </c>
      <c r="L59" s="110">
        <v>240.714943164062</v>
      </c>
      <c r="M59" s="111">
        <v>0.168922767132675</v>
      </c>
      <c r="N59" s="107">
        <v>150</v>
      </c>
      <c r="O59" s="107">
        <v>31</v>
      </c>
      <c r="P59" s="108">
        <v>0.206666666666667</v>
      </c>
      <c r="Q59" s="109">
        <v>1500</v>
      </c>
      <c r="R59" s="110">
        <v>307.471285</v>
      </c>
      <c r="S59" s="111">
        <v>0.204980856666667</v>
      </c>
      <c r="T59" s="112">
        <v>150</v>
      </c>
      <c r="U59" s="113">
        <v>86</v>
      </c>
      <c r="V59" s="114">
        <v>0.573333333333333</v>
      </c>
      <c r="W59" s="115">
        <v>1500</v>
      </c>
      <c r="X59" s="116">
        <v>708.635093</v>
      </c>
      <c r="Y59" s="114">
        <v>0.472423395333333</v>
      </c>
    </row>
    <row r="60" s="79" customFormat="1" ht="24.95" customHeight="1" spans="1:25">
      <c r="A60" s="104">
        <v>51</v>
      </c>
      <c r="B60" s="104" t="s">
        <v>40</v>
      </c>
      <c r="C60" s="105" t="s">
        <v>21</v>
      </c>
      <c r="D60" s="44" t="s">
        <v>90</v>
      </c>
      <c r="E60" s="106">
        <v>136</v>
      </c>
      <c r="F60" s="107">
        <v>43</v>
      </c>
      <c r="G60" s="108">
        <v>0.316176470588235</v>
      </c>
      <c r="H60" s="109">
        <v>1820</v>
      </c>
      <c r="I60" s="110">
        <v>839.464956</v>
      </c>
      <c r="J60" s="111">
        <v>0.461244481318681</v>
      </c>
      <c r="K60" s="110">
        <v>695.4</v>
      </c>
      <c r="L60" s="110">
        <v>114.777220751953</v>
      </c>
      <c r="M60" s="111">
        <v>0.165052086212185</v>
      </c>
      <c r="N60" s="107">
        <v>64</v>
      </c>
      <c r="O60" s="107">
        <v>9</v>
      </c>
      <c r="P60" s="108">
        <v>0.140625</v>
      </c>
      <c r="Q60" s="109">
        <v>732</v>
      </c>
      <c r="R60" s="110">
        <v>87.084939</v>
      </c>
      <c r="S60" s="111">
        <v>0.118968495901639</v>
      </c>
      <c r="T60" s="112">
        <v>64</v>
      </c>
      <c r="U60" s="113">
        <v>0</v>
      </c>
      <c r="V60" s="114">
        <v>0</v>
      </c>
      <c r="W60" s="115">
        <v>732</v>
      </c>
      <c r="X60" s="116">
        <v>0</v>
      </c>
      <c r="Y60" s="114">
        <v>0</v>
      </c>
    </row>
    <row r="61" s="79" customFormat="1" ht="24.95" customHeight="1" spans="1:25">
      <c r="A61" s="104">
        <v>52</v>
      </c>
      <c r="B61" s="104" t="s">
        <v>31</v>
      </c>
      <c r="C61" s="105" t="s">
        <v>21</v>
      </c>
      <c r="D61" s="44" t="s">
        <v>91</v>
      </c>
      <c r="E61" s="106">
        <v>416</v>
      </c>
      <c r="F61" s="107">
        <v>93</v>
      </c>
      <c r="G61" s="108">
        <v>0.223557692307692</v>
      </c>
      <c r="H61" s="109">
        <v>3710</v>
      </c>
      <c r="I61" s="110">
        <v>833.150971000001</v>
      </c>
      <c r="J61" s="111">
        <v>0.224568994878706</v>
      </c>
      <c r="K61" s="110">
        <v>1425</v>
      </c>
      <c r="L61" s="110">
        <v>244.00930546875</v>
      </c>
      <c r="M61" s="111">
        <v>0.171234600328947</v>
      </c>
      <c r="N61" s="107">
        <v>150</v>
      </c>
      <c r="O61" s="107">
        <v>40</v>
      </c>
      <c r="P61" s="108">
        <v>0.266666666666667</v>
      </c>
      <c r="Q61" s="109">
        <v>1500</v>
      </c>
      <c r="R61" s="110">
        <v>280.838159</v>
      </c>
      <c r="S61" s="111">
        <v>0.187225439333333</v>
      </c>
      <c r="T61" s="112">
        <v>150</v>
      </c>
      <c r="U61" s="113">
        <v>40</v>
      </c>
      <c r="V61" s="114">
        <v>0.266666666666667</v>
      </c>
      <c r="W61" s="115">
        <v>1500</v>
      </c>
      <c r="X61" s="116">
        <v>309.397641</v>
      </c>
      <c r="Y61" s="114">
        <v>0.206265094</v>
      </c>
    </row>
    <row r="62" s="79" customFormat="1" ht="24.95" customHeight="1" spans="1:25">
      <c r="A62" s="104">
        <v>53</v>
      </c>
      <c r="B62" s="104" t="s">
        <v>40</v>
      </c>
      <c r="C62" s="105" t="s">
        <v>21</v>
      </c>
      <c r="D62" s="44" t="s">
        <v>92</v>
      </c>
      <c r="E62" s="106">
        <v>50</v>
      </c>
      <c r="F62" s="107">
        <v>23</v>
      </c>
      <c r="G62" s="108">
        <v>0.46</v>
      </c>
      <c r="H62" s="109">
        <v>700</v>
      </c>
      <c r="I62" s="110">
        <v>471.046961</v>
      </c>
      <c r="J62" s="111">
        <v>0.67292423</v>
      </c>
      <c r="K62" s="110">
        <v>475</v>
      </c>
      <c r="L62" s="110">
        <v>0</v>
      </c>
      <c r="M62" s="111">
        <v>0</v>
      </c>
      <c r="N62" s="107">
        <v>42</v>
      </c>
      <c r="O62" s="107">
        <v>0</v>
      </c>
      <c r="P62" s="108">
        <v>0</v>
      </c>
      <c r="Q62" s="109">
        <v>500</v>
      </c>
      <c r="R62" s="110">
        <v>0</v>
      </c>
      <c r="S62" s="111">
        <v>0</v>
      </c>
      <c r="T62" s="112">
        <v>42</v>
      </c>
      <c r="U62" s="113">
        <v>0</v>
      </c>
      <c r="V62" s="114">
        <v>0</v>
      </c>
      <c r="W62" s="115">
        <v>500</v>
      </c>
      <c r="X62" s="116">
        <v>0</v>
      </c>
      <c r="Y62" s="114">
        <v>0</v>
      </c>
    </row>
    <row r="63" s="79" customFormat="1" ht="24.95" customHeight="1" spans="1:25">
      <c r="A63" s="104">
        <v>54</v>
      </c>
      <c r="B63" s="104" t="s">
        <v>49</v>
      </c>
      <c r="C63" s="105" t="s">
        <v>21</v>
      </c>
      <c r="D63" s="44" t="s">
        <v>93</v>
      </c>
      <c r="E63" s="106">
        <v>81</v>
      </c>
      <c r="F63" s="107">
        <v>25</v>
      </c>
      <c r="G63" s="108">
        <v>0.308641975308642</v>
      </c>
      <c r="H63" s="109">
        <v>700</v>
      </c>
      <c r="I63" s="110">
        <v>299.91474</v>
      </c>
      <c r="J63" s="111">
        <v>0.428449628571428</v>
      </c>
      <c r="K63" s="110">
        <v>285</v>
      </c>
      <c r="L63" s="110">
        <v>64.9380337188721</v>
      </c>
      <c r="M63" s="111">
        <v>0.227852749890779</v>
      </c>
      <c r="N63" s="107">
        <v>42</v>
      </c>
      <c r="O63" s="107">
        <v>11</v>
      </c>
      <c r="P63" s="108">
        <v>0.261904761904762</v>
      </c>
      <c r="Q63" s="109">
        <v>300</v>
      </c>
      <c r="R63" s="110">
        <v>83.238661</v>
      </c>
      <c r="S63" s="111">
        <v>0.277462203333333</v>
      </c>
      <c r="T63" s="112">
        <v>42</v>
      </c>
      <c r="U63" s="113">
        <v>8</v>
      </c>
      <c r="V63" s="114">
        <v>0.19047619047619</v>
      </c>
      <c r="W63" s="115">
        <v>300</v>
      </c>
      <c r="X63" s="116">
        <v>65.929432</v>
      </c>
      <c r="Y63" s="114">
        <v>0.219764773333333</v>
      </c>
    </row>
    <row r="64" s="79" customFormat="1" ht="24.95" customHeight="1" spans="1:25">
      <c r="A64" s="104">
        <v>55</v>
      </c>
      <c r="B64" s="104" t="s">
        <v>40</v>
      </c>
      <c r="C64" s="105" t="s">
        <v>21</v>
      </c>
      <c r="D64" s="44" t="s">
        <v>94</v>
      </c>
      <c r="E64" s="106">
        <v>181</v>
      </c>
      <c r="F64" s="107">
        <v>23</v>
      </c>
      <c r="G64" s="108">
        <v>0.12707182320442</v>
      </c>
      <c r="H64" s="109">
        <v>1680</v>
      </c>
      <c r="I64" s="110">
        <v>367.403942</v>
      </c>
      <c r="J64" s="111">
        <v>0.218692822619048</v>
      </c>
      <c r="K64" s="110">
        <v>665</v>
      </c>
      <c r="L64" s="110">
        <v>41.4733462387085</v>
      </c>
      <c r="M64" s="111">
        <v>0.0623659341935466</v>
      </c>
      <c r="N64" s="107">
        <v>80</v>
      </c>
      <c r="O64" s="107">
        <v>3</v>
      </c>
      <c r="P64" s="108">
        <v>0.0375</v>
      </c>
      <c r="Q64" s="109">
        <v>700</v>
      </c>
      <c r="R64" s="110">
        <v>24.95081</v>
      </c>
      <c r="S64" s="111">
        <v>0.0356440142857143</v>
      </c>
      <c r="T64" s="112">
        <v>80</v>
      </c>
      <c r="U64" s="113">
        <v>8</v>
      </c>
      <c r="V64" s="114">
        <v>0.1</v>
      </c>
      <c r="W64" s="115">
        <v>700</v>
      </c>
      <c r="X64" s="116">
        <v>58.957562</v>
      </c>
      <c r="Y64" s="114">
        <v>0.0842250885714286</v>
      </c>
    </row>
    <row r="65" s="79" customFormat="1" ht="24.95" customHeight="1" spans="1:25">
      <c r="A65" s="104">
        <v>57</v>
      </c>
      <c r="B65" s="104" t="s">
        <v>49</v>
      </c>
      <c r="C65" s="105" t="s">
        <v>21</v>
      </c>
      <c r="D65" s="35" t="s">
        <v>95</v>
      </c>
      <c r="E65" s="106">
        <v>45</v>
      </c>
      <c r="F65" s="107">
        <v>47</v>
      </c>
      <c r="G65" s="108">
        <v>1.04444444444444</v>
      </c>
      <c r="H65" s="109">
        <v>700</v>
      </c>
      <c r="I65" s="110">
        <v>349.804326</v>
      </c>
      <c r="J65" s="111">
        <v>0.499720465714286</v>
      </c>
      <c r="K65" s="110">
        <v>285</v>
      </c>
      <c r="L65" s="110">
        <v>90.9375272216797</v>
      </c>
      <c r="M65" s="111">
        <v>0.319079042883087</v>
      </c>
      <c r="N65" s="107">
        <v>25</v>
      </c>
      <c r="O65" s="107">
        <v>5</v>
      </c>
      <c r="P65" s="108">
        <v>0.2</v>
      </c>
      <c r="Q65" s="109">
        <v>300</v>
      </c>
      <c r="R65" s="110">
        <v>31.70724</v>
      </c>
      <c r="S65" s="111">
        <v>0.1056908</v>
      </c>
      <c r="T65" s="112">
        <v>25</v>
      </c>
      <c r="U65" s="113">
        <v>19</v>
      </c>
      <c r="V65" s="114">
        <v>0.76</v>
      </c>
      <c r="W65" s="115">
        <v>300</v>
      </c>
      <c r="X65" s="116">
        <v>137.90921</v>
      </c>
      <c r="Y65" s="114">
        <v>0.459697366666667</v>
      </c>
    </row>
    <row r="66" s="79" customFormat="1" ht="24.95" customHeight="1" spans="1:25">
      <c r="A66" s="119" t="s">
        <v>96</v>
      </c>
      <c r="B66" s="119"/>
      <c r="C66" s="119"/>
      <c r="D66" s="104"/>
      <c r="E66" s="120">
        <v>2063</v>
      </c>
      <c r="F66" s="120">
        <v>1062</v>
      </c>
      <c r="G66" s="121">
        <v>0.514784294716432</v>
      </c>
      <c r="H66" s="120">
        <v>23240</v>
      </c>
      <c r="I66" s="120">
        <v>11918.856047</v>
      </c>
      <c r="J66" s="121">
        <v>0.512859554518072</v>
      </c>
      <c r="K66" s="120">
        <v>8827.4</v>
      </c>
      <c r="L66" s="120">
        <v>1638.56517835846</v>
      </c>
      <c r="M66" s="121">
        <v>0.18562262708821</v>
      </c>
      <c r="N66" s="120">
        <v>815</v>
      </c>
      <c r="O66" s="120">
        <v>131</v>
      </c>
      <c r="P66" s="121">
        <v>0.160736196319018</v>
      </c>
      <c r="Q66" s="120">
        <v>9292</v>
      </c>
      <c r="R66" s="120">
        <v>1110.525767</v>
      </c>
      <c r="S66" s="121">
        <v>0.119514180693069</v>
      </c>
      <c r="T66" s="120">
        <v>815</v>
      </c>
      <c r="U66" s="120">
        <v>197</v>
      </c>
      <c r="V66" s="121">
        <v>0.241717791411043</v>
      </c>
      <c r="W66" s="120">
        <v>9292</v>
      </c>
      <c r="X66" s="120">
        <v>1605.326774</v>
      </c>
      <c r="Y66" s="121">
        <v>0.172764396685321</v>
      </c>
    </row>
    <row r="67" s="79" customFormat="1" ht="24.95" customHeight="1" spans="1:25">
      <c r="A67" s="104">
        <v>58</v>
      </c>
      <c r="B67" s="104" t="s">
        <v>31</v>
      </c>
      <c r="C67" s="105" t="s">
        <v>22</v>
      </c>
      <c r="D67" s="35" t="s">
        <v>97</v>
      </c>
      <c r="E67" s="106">
        <v>900</v>
      </c>
      <c r="F67" s="107">
        <v>418</v>
      </c>
      <c r="G67" s="108">
        <v>0.464444444444444</v>
      </c>
      <c r="H67" s="109">
        <v>6000</v>
      </c>
      <c r="I67" s="110">
        <v>2716.96358000002</v>
      </c>
      <c r="J67" s="111">
        <v>0.452827263333337</v>
      </c>
      <c r="K67" s="110">
        <v>2470</v>
      </c>
      <c r="L67" s="110">
        <v>136.068972549439</v>
      </c>
      <c r="M67" s="111">
        <v>0.0550886528540237</v>
      </c>
      <c r="N67" s="107">
        <v>400</v>
      </c>
      <c r="O67" s="107">
        <v>1</v>
      </c>
      <c r="P67" s="108">
        <v>0.0025</v>
      </c>
      <c r="Q67" s="109">
        <v>2600</v>
      </c>
      <c r="R67" s="110">
        <v>10.736402</v>
      </c>
      <c r="S67" s="111">
        <v>0.00412938538461538</v>
      </c>
      <c r="T67" s="112">
        <v>400</v>
      </c>
      <c r="U67" s="113">
        <v>2</v>
      </c>
      <c r="V67" s="114">
        <v>0.005</v>
      </c>
      <c r="W67" s="115">
        <v>2600</v>
      </c>
      <c r="X67" s="116">
        <v>16.29336</v>
      </c>
      <c r="Y67" s="114">
        <v>0.00626667692307692</v>
      </c>
    </row>
    <row r="68" s="79" customFormat="1" ht="24.95" customHeight="1" spans="1:25">
      <c r="A68" s="104">
        <v>59</v>
      </c>
      <c r="B68" s="104" t="s">
        <v>49</v>
      </c>
      <c r="C68" s="105" t="s">
        <v>22</v>
      </c>
      <c r="D68" s="35" t="s">
        <v>98</v>
      </c>
      <c r="E68" s="106">
        <v>100</v>
      </c>
      <c r="F68" s="107">
        <v>52</v>
      </c>
      <c r="G68" s="108">
        <v>0.52</v>
      </c>
      <c r="H68" s="109">
        <v>800</v>
      </c>
      <c r="I68" s="110">
        <v>454.826945</v>
      </c>
      <c r="J68" s="111">
        <v>0.56853368125</v>
      </c>
      <c r="K68" s="110">
        <v>285</v>
      </c>
      <c r="L68" s="110">
        <v>79.379475390625</v>
      </c>
      <c r="M68" s="111">
        <v>0.278524475054825</v>
      </c>
      <c r="N68" s="107">
        <v>30</v>
      </c>
      <c r="O68" s="107">
        <v>11</v>
      </c>
      <c r="P68" s="108">
        <v>0.366666666666667</v>
      </c>
      <c r="Q68" s="109">
        <v>300</v>
      </c>
      <c r="R68" s="110">
        <v>121.303309</v>
      </c>
      <c r="S68" s="111">
        <v>0.404344363333333</v>
      </c>
      <c r="T68" s="112">
        <v>30</v>
      </c>
      <c r="U68" s="113">
        <v>1</v>
      </c>
      <c r="V68" s="114">
        <v>0.0333333333333333</v>
      </c>
      <c r="W68" s="115">
        <v>300</v>
      </c>
      <c r="X68" s="116">
        <v>8.21691</v>
      </c>
      <c r="Y68" s="114">
        <v>0.0273897</v>
      </c>
    </row>
    <row r="69" s="79" customFormat="1" ht="24.95" customHeight="1" spans="1:25">
      <c r="A69" s="104">
        <v>60</v>
      </c>
      <c r="B69" s="104" t="s">
        <v>40</v>
      </c>
      <c r="C69" s="105" t="s">
        <v>22</v>
      </c>
      <c r="D69" s="35" t="s">
        <v>99</v>
      </c>
      <c r="E69" s="106">
        <v>101</v>
      </c>
      <c r="F69" s="107">
        <v>77</v>
      </c>
      <c r="G69" s="108">
        <v>0.762376237623762</v>
      </c>
      <c r="H69" s="109">
        <v>980</v>
      </c>
      <c r="I69" s="110">
        <v>727.080319000001</v>
      </c>
      <c r="J69" s="111">
        <v>0.741918692857144</v>
      </c>
      <c r="K69" s="110">
        <v>381.749525320429</v>
      </c>
      <c r="L69" s="110">
        <v>14.6069921386719</v>
      </c>
      <c r="M69" s="111">
        <v>0.0382632882815276</v>
      </c>
      <c r="N69" s="107">
        <v>32.8033963755471</v>
      </c>
      <c r="O69" s="107">
        <v>1</v>
      </c>
      <c r="P69" s="108">
        <v>0.0304846482526254</v>
      </c>
      <c r="Q69" s="109">
        <v>401.841605600452</v>
      </c>
      <c r="R69" s="110">
        <v>8.524588</v>
      </c>
      <c r="S69" s="111">
        <v>0.0212138013615144</v>
      </c>
      <c r="T69" s="112">
        <v>32.8033963755471</v>
      </c>
      <c r="U69" s="113">
        <v>3</v>
      </c>
      <c r="V69" s="114">
        <v>0.0914539447578762</v>
      </c>
      <c r="W69" s="115">
        <v>401.841605600452</v>
      </c>
      <c r="X69" s="116">
        <v>25.259587</v>
      </c>
      <c r="Y69" s="114">
        <v>0.0628595612001297</v>
      </c>
    </row>
    <row r="70" s="79" customFormat="1" ht="24.95" customHeight="1" spans="1:25">
      <c r="A70" s="104">
        <v>61</v>
      </c>
      <c r="B70" s="104" t="s">
        <v>40</v>
      </c>
      <c r="C70" s="105" t="s">
        <v>22</v>
      </c>
      <c r="D70" s="35" t="s">
        <v>100</v>
      </c>
      <c r="E70" s="106">
        <v>100</v>
      </c>
      <c r="F70" s="107">
        <v>43</v>
      </c>
      <c r="G70" s="108">
        <v>0.43</v>
      </c>
      <c r="H70" s="109">
        <v>980</v>
      </c>
      <c r="I70" s="110">
        <v>487.538371</v>
      </c>
      <c r="J70" s="111">
        <v>0.497488133673469</v>
      </c>
      <c r="K70" s="110">
        <v>381.9</v>
      </c>
      <c r="L70" s="110">
        <v>199.402919078064</v>
      </c>
      <c r="M70" s="111">
        <v>0.522133854616559</v>
      </c>
      <c r="N70" s="107">
        <v>32.8163265306122</v>
      </c>
      <c r="O70" s="107">
        <v>28</v>
      </c>
      <c r="P70" s="108">
        <v>0.853233830845772</v>
      </c>
      <c r="Q70" s="109">
        <v>402</v>
      </c>
      <c r="R70" s="110">
        <v>302.716955</v>
      </c>
      <c r="S70" s="111">
        <v>0.753027251243781</v>
      </c>
      <c r="T70" s="112">
        <v>32.8163265306122</v>
      </c>
      <c r="U70" s="113">
        <v>24</v>
      </c>
      <c r="V70" s="114">
        <v>0.731343283582091</v>
      </c>
      <c r="W70" s="115">
        <v>402</v>
      </c>
      <c r="X70" s="116">
        <v>254.183287</v>
      </c>
      <c r="Y70" s="114">
        <v>0.632296733830846</v>
      </c>
    </row>
    <row r="71" s="79" customFormat="1" ht="24.95" customHeight="1" spans="1:25">
      <c r="A71" s="104">
        <v>62</v>
      </c>
      <c r="B71" s="104" t="s">
        <v>49</v>
      </c>
      <c r="C71" s="105" t="s">
        <v>22</v>
      </c>
      <c r="D71" s="35" t="s">
        <v>101</v>
      </c>
      <c r="E71" s="106">
        <v>90</v>
      </c>
      <c r="F71" s="107">
        <v>41</v>
      </c>
      <c r="G71" s="108">
        <v>0.455555555555556</v>
      </c>
      <c r="H71" s="109">
        <v>800</v>
      </c>
      <c r="I71" s="110">
        <v>375.613817</v>
      </c>
      <c r="J71" s="111">
        <v>0.46951727125</v>
      </c>
      <c r="K71" s="110">
        <v>285</v>
      </c>
      <c r="L71" s="110">
        <v>0</v>
      </c>
      <c r="M71" s="111">
        <v>0</v>
      </c>
      <c r="N71" s="107">
        <v>30</v>
      </c>
      <c r="O71" s="107">
        <v>0</v>
      </c>
      <c r="P71" s="108">
        <v>0</v>
      </c>
      <c r="Q71" s="109">
        <v>300</v>
      </c>
      <c r="R71" s="110">
        <v>0</v>
      </c>
      <c r="S71" s="111">
        <v>0</v>
      </c>
      <c r="T71" s="112">
        <v>30</v>
      </c>
      <c r="U71" s="113">
        <v>0</v>
      </c>
      <c r="V71" s="114">
        <v>0</v>
      </c>
      <c r="W71" s="115">
        <v>300</v>
      </c>
      <c r="X71" s="116">
        <v>0</v>
      </c>
      <c r="Y71" s="114">
        <v>0</v>
      </c>
    </row>
    <row r="72" s="79" customFormat="1" ht="24.95" customHeight="1" spans="1:25">
      <c r="A72" s="104">
        <v>63</v>
      </c>
      <c r="B72" s="104" t="s">
        <v>49</v>
      </c>
      <c r="C72" s="105" t="s">
        <v>22</v>
      </c>
      <c r="D72" s="35" t="s">
        <v>102</v>
      </c>
      <c r="E72" s="106">
        <v>90</v>
      </c>
      <c r="F72" s="107">
        <v>31</v>
      </c>
      <c r="G72" s="108">
        <v>0.344444444444444</v>
      </c>
      <c r="H72" s="109">
        <v>800</v>
      </c>
      <c r="I72" s="110">
        <v>403.055116</v>
      </c>
      <c r="J72" s="111">
        <v>0.503818895</v>
      </c>
      <c r="K72" s="110">
        <v>285</v>
      </c>
      <c r="L72" s="110">
        <v>36.477659765625</v>
      </c>
      <c r="M72" s="111">
        <v>0.127991788651316</v>
      </c>
      <c r="N72" s="107">
        <v>30</v>
      </c>
      <c r="O72" s="107">
        <v>2</v>
      </c>
      <c r="P72" s="108">
        <v>0.0666666666666667</v>
      </c>
      <c r="Q72" s="109">
        <v>300</v>
      </c>
      <c r="R72" s="110">
        <v>24.9391</v>
      </c>
      <c r="S72" s="111">
        <v>0.0831303333333333</v>
      </c>
      <c r="T72" s="112">
        <v>30</v>
      </c>
      <c r="U72" s="113">
        <v>3</v>
      </c>
      <c r="V72" s="114">
        <v>0.1</v>
      </c>
      <c r="W72" s="115">
        <v>300</v>
      </c>
      <c r="X72" s="116">
        <v>37.321397</v>
      </c>
      <c r="Y72" s="114">
        <v>0.124404656666667</v>
      </c>
    </row>
    <row r="73" s="79" customFormat="1" ht="24.95" customHeight="1" spans="1:25">
      <c r="A73" s="119" t="s">
        <v>103</v>
      </c>
      <c r="B73" s="119"/>
      <c r="C73" s="119"/>
      <c r="D73" s="104"/>
      <c r="E73" s="120">
        <v>1381</v>
      </c>
      <c r="F73" s="120">
        <v>662</v>
      </c>
      <c r="G73" s="121">
        <v>0.479362780593773</v>
      </c>
      <c r="H73" s="120">
        <v>10360</v>
      </c>
      <c r="I73" s="120">
        <v>5165.07814800002</v>
      </c>
      <c r="J73" s="121">
        <v>0.498559666795369</v>
      </c>
      <c r="K73" s="120">
        <v>4088.64952532043</v>
      </c>
      <c r="L73" s="120">
        <v>465.936018922424</v>
      </c>
      <c r="M73" s="121">
        <v>0.113958414884169</v>
      </c>
      <c r="N73" s="120">
        <v>555.619722906159</v>
      </c>
      <c r="O73" s="120">
        <v>43</v>
      </c>
      <c r="P73" s="121">
        <v>0.077391061237152</v>
      </c>
      <c r="Q73" s="120">
        <v>4303.84160560045</v>
      </c>
      <c r="R73" s="120">
        <v>468.220354</v>
      </c>
      <c r="S73" s="121">
        <v>0.108791260670634</v>
      </c>
      <c r="T73" s="120">
        <v>555.619722906159</v>
      </c>
      <c r="U73" s="120">
        <v>33</v>
      </c>
      <c r="V73" s="121">
        <v>0.0593931400192097</v>
      </c>
      <c r="W73" s="120">
        <v>4303.84160560045</v>
      </c>
      <c r="X73" s="120">
        <v>341.274541</v>
      </c>
      <c r="Y73" s="121">
        <v>0.0792953301431704</v>
      </c>
    </row>
    <row r="74" s="79" customFormat="1" ht="24.95" customHeight="1" spans="1:25">
      <c r="A74" s="104">
        <v>64</v>
      </c>
      <c r="B74" s="104" t="s">
        <v>49</v>
      </c>
      <c r="C74" s="105" t="s">
        <v>23</v>
      </c>
      <c r="D74" s="44" t="s">
        <v>104</v>
      </c>
      <c r="E74" s="106">
        <v>34</v>
      </c>
      <c r="F74" s="107">
        <v>0</v>
      </c>
      <c r="G74" s="108">
        <v>0</v>
      </c>
      <c r="H74" s="109">
        <v>520</v>
      </c>
      <c r="I74" s="110">
        <v>0</v>
      </c>
      <c r="J74" s="111">
        <v>0</v>
      </c>
      <c r="K74" s="110">
        <v>199.5</v>
      </c>
      <c r="L74" s="110">
        <v>0</v>
      </c>
      <c r="M74" s="111">
        <v>0</v>
      </c>
      <c r="N74" s="107">
        <v>15</v>
      </c>
      <c r="O74" s="107">
        <v>0</v>
      </c>
      <c r="P74" s="108">
        <v>0</v>
      </c>
      <c r="Q74" s="109">
        <v>210</v>
      </c>
      <c r="R74" s="110">
        <v>0</v>
      </c>
      <c r="S74" s="111">
        <v>0</v>
      </c>
      <c r="T74" s="112">
        <v>15</v>
      </c>
      <c r="U74" s="113">
        <v>0</v>
      </c>
      <c r="V74" s="114">
        <v>0</v>
      </c>
      <c r="W74" s="115">
        <v>210</v>
      </c>
      <c r="X74" s="116">
        <v>0</v>
      </c>
      <c r="Y74" s="114">
        <v>0</v>
      </c>
    </row>
    <row r="75" s="79" customFormat="1" ht="24.95" customHeight="1" spans="1:25">
      <c r="A75" s="104">
        <v>65</v>
      </c>
      <c r="B75" s="104" t="s">
        <v>49</v>
      </c>
      <c r="C75" s="105" t="s">
        <v>23</v>
      </c>
      <c r="D75" s="44" t="s">
        <v>105</v>
      </c>
      <c r="E75" s="106">
        <v>50</v>
      </c>
      <c r="F75" s="107">
        <v>2</v>
      </c>
      <c r="G75" s="108">
        <v>0.04</v>
      </c>
      <c r="H75" s="109">
        <v>500</v>
      </c>
      <c r="I75" s="110">
        <v>13.644988</v>
      </c>
      <c r="J75" s="111">
        <v>0.027289976</v>
      </c>
      <c r="K75" s="110">
        <v>190.95</v>
      </c>
      <c r="L75" s="110">
        <v>0</v>
      </c>
      <c r="M75" s="111">
        <v>0</v>
      </c>
      <c r="N75" s="107">
        <v>15</v>
      </c>
      <c r="O75" s="107">
        <v>0</v>
      </c>
      <c r="P75" s="108">
        <v>0</v>
      </c>
      <c r="Q75" s="109">
        <v>201</v>
      </c>
      <c r="R75" s="110">
        <v>0</v>
      </c>
      <c r="S75" s="111">
        <v>0</v>
      </c>
      <c r="T75" s="112">
        <v>15</v>
      </c>
      <c r="U75" s="113">
        <v>0</v>
      </c>
      <c r="V75" s="114">
        <v>0</v>
      </c>
      <c r="W75" s="115">
        <v>201</v>
      </c>
      <c r="X75" s="116">
        <v>0</v>
      </c>
      <c r="Y75" s="114">
        <v>0</v>
      </c>
    </row>
    <row r="76" s="79" customFormat="1" ht="24.95" customHeight="1" spans="1:25">
      <c r="A76" s="104">
        <v>66</v>
      </c>
      <c r="B76" s="104" t="s">
        <v>49</v>
      </c>
      <c r="C76" s="105" t="s">
        <v>23</v>
      </c>
      <c r="D76" s="44" t="s">
        <v>106</v>
      </c>
      <c r="E76" s="106">
        <v>34</v>
      </c>
      <c r="F76" s="107">
        <v>0</v>
      </c>
      <c r="G76" s="108">
        <v>0</v>
      </c>
      <c r="H76" s="109">
        <v>520</v>
      </c>
      <c r="I76" s="110">
        <v>0</v>
      </c>
      <c r="J76" s="111">
        <v>0</v>
      </c>
      <c r="K76" s="110">
        <v>199.5</v>
      </c>
      <c r="L76" s="110">
        <v>0</v>
      </c>
      <c r="M76" s="111">
        <v>0</v>
      </c>
      <c r="N76" s="107">
        <v>15</v>
      </c>
      <c r="O76" s="107">
        <v>0</v>
      </c>
      <c r="P76" s="108">
        <v>0</v>
      </c>
      <c r="Q76" s="109">
        <v>210</v>
      </c>
      <c r="R76" s="110">
        <v>0</v>
      </c>
      <c r="S76" s="111">
        <v>0</v>
      </c>
      <c r="T76" s="112">
        <v>15</v>
      </c>
      <c r="U76" s="113">
        <v>0</v>
      </c>
      <c r="V76" s="114">
        <v>0</v>
      </c>
      <c r="W76" s="115">
        <v>210</v>
      </c>
      <c r="X76" s="116">
        <v>0</v>
      </c>
      <c r="Y76" s="114">
        <v>0</v>
      </c>
    </row>
    <row r="77" s="79" customFormat="1" ht="24.95" customHeight="1" spans="1:25">
      <c r="A77" s="119" t="s">
        <v>107</v>
      </c>
      <c r="B77" s="119"/>
      <c r="C77" s="119"/>
      <c r="D77" s="104"/>
      <c r="E77" s="120">
        <v>118</v>
      </c>
      <c r="F77" s="120">
        <v>2</v>
      </c>
      <c r="G77" s="121">
        <v>0.0169491525423729</v>
      </c>
      <c r="H77" s="120">
        <v>1540</v>
      </c>
      <c r="I77" s="120">
        <v>13.644988</v>
      </c>
      <c r="J77" s="121">
        <v>0.00886038181818182</v>
      </c>
      <c r="K77" s="120">
        <v>589.95</v>
      </c>
      <c r="L77" s="120">
        <v>0</v>
      </c>
      <c r="M77" s="121">
        <v>0</v>
      </c>
      <c r="N77" s="120">
        <v>45</v>
      </c>
      <c r="O77" s="120">
        <v>0</v>
      </c>
      <c r="P77" s="121">
        <v>0</v>
      </c>
      <c r="Q77" s="120">
        <v>621</v>
      </c>
      <c r="R77" s="120">
        <v>0</v>
      </c>
      <c r="S77" s="121">
        <v>0</v>
      </c>
      <c r="T77" s="120">
        <v>45</v>
      </c>
      <c r="U77" s="120">
        <v>0</v>
      </c>
      <c r="V77" s="121">
        <v>0</v>
      </c>
      <c r="W77" s="120">
        <v>621</v>
      </c>
      <c r="X77" s="120">
        <v>0</v>
      </c>
      <c r="Y77" s="121">
        <v>0</v>
      </c>
    </row>
    <row r="78" s="79" customFormat="1" ht="24.95" customHeight="1" spans="1:25">
      <c r="A78" s="104">
        <v>67</v>
      </c>
      <c r="B78" s="104"/>
      <c r="C78" s="50" t="s">
        <v>24</v>
      </c>
      <c r="D78" s="44" t="s">
        <v>108</v>
      </c>
      <c r="E78" s="106"/>
      <c r="F78" s="107">
        <v>0</v>
      </c>
      <c r="G78" s="108"/>
      <c r="H78" s="109">
        <v>1402</v>
      </c>
      <c r="I78" s="110">
        <v>783.0672470768</v>
      </c>
      <c r="J78" s="111">
        <v>0.558535839569757</v>
      </c>
      <c r="K78" s="110">
        <v>570</v>
      </c>
      <c r="L78" s="110">
        <v>107.86624251</v>
      </c>
      <c r="M78" s="111">
        <v>0.189239021947368</v>
      </c>
      <c r="N78" s="107">
        <v>0</v>
      </c>
      <c r="O78" s="107">
        <v>0</v>
      </c>
      <c r="P78" s="108"/>
      <c r="Q78" s="109">
        <v>600</v>
      </c>
      <c r="R78" s="110">
        <v>47.5519506768</v>
      </c>
      <c r="S78" s="111">
        <v>0.079253251128</v>
      </c>
      <c r="T78" s="112">
        <v>0</v>
      </c>
      <c r="U78" s="113">
        <v>0</v>
      </c>
      <c r="V78" s="114"/>
      <c r="W78" s="115">
        <v>600</v>
      </c>
      <c r="X78" s="116">
        <v>207.8667224368</v>
      </c>
      <c r="Y78" s="114">
        <v>0.346444537394667</v>
      </c>
    </row>
    <row r="79" s="79" customFormat="1" ht="24.95" customHeight="1" spans="1:25">
      <c r="A79" s="104">
        <v>68</v>
      </c>
      <c r="B79" s="104"/>
      <c r="C79" s="50" t="s">
        <v>24</v>
      </c>
      <c r="D79" s="44" t="s">
        <v>109</v>
      </c>
      <c r="E79" s="106"/>
      <c r="F79" s="107">
        <v>0</v>
      </c>
      <c r="G79" s="108"/>
      <c r="H79" s="109">
        <v>720</v>
      </c>
      <c r="I79" s="110">
        <v>143.33</v>
      </c>
      <c r="J79" s="111">
        <v>0.199069444444444</v>
      </c>
      <c r="K79" s="110">
        <v>285</v>
      </c>
      <c r="L79" s="110">
        <v>0</v>
      </c>
      <c r="M79" s="111">
        <v>0</v>
      </c>
      <c r="N79" s="107">
        <v>0</v>
      </c>
      <c r="O79" s="107">
        <v>0</v>
      </c>
      <c r="P79" s="108"/>
      <c r="Q79" s="109">
        <v>300</v>
      </c>
      <c r="R79" s="110">
        <v>0</v>
      </c>
      <c r="S79" s="111">
        <v>0</v>
      </c>
      <c r="T79" s="112">
        <v>0</v>
      </c>
      <c r="U79" s="113">
        <v>0</v>
      </c>
      <c r="V79" s="114"/>
      <c r="W79" s="115">
        <v>300</v>
      </c>
      <c r="X79" s="116">
        <v>0</v>
      </c>
      <c r="Y79" s="114">
        <v>0</v>
      </c>
    </row>
    <row r="80" s="79" customFormat="1" ht="24.95" customHeight="1" spans="1:25">
      <c r="A80" s="104">
        <v>69</v>
      </c>
      <c r="B80" s="104"/>
      <c r="C80" s="50" t="s">
        <v>24</v>
      </c>
      <c r="D80" s="44" t="s">
        <v>110</v>
      </c>
      <c r="E80" s="106"/>
      <c r="F80" s="107">
        <v>0</v>
      </c>
      <c r="G80" s="108"/>
      <c r="H80" s="109">
        <v>720</v>
      </c>
      <c r="I80" s="110">
        <v>314.701725814</v>
      </c>
      <c r="J80" s="111">
        <v>0.437085730297222</v>
      </c>
      <c r="K80" s="110">
        <v>285</v>
      </c>
      <c r="L80" s="110">
        <v>9.1938007195</v>
      </c>
      <c r="M80" s="111">
        <v>0.0322589498929825</v>
      </c>
      <c r="N80" s="107">
        <v>0</v>
      </c>
      <c r="O80" s="107">
        <v>0</v>
      </c>
      <c r="P80" s="108"/>
      <c r="Q80" s="109">
        <v>300</v>
      </c>
      <c r="R80" s="110">
        <v>7.12111644</v>
      </c>
      <c r="S80" s="111">
        <v>0.0237370548</v>
      </c>
      <c r="T80" s="112">
        <v>0</v>
      </c>
      <c r="U80" s="113">
        <v>0</v>
      </c>
      <c r="V80" s="114"/>
      <c r="W80" s="115">
        <v>300</v>
      </c>
      <c r="X80" s="116">
        <v>9.34063396</v>
      </c>
      <c r="Y80" s="114">
        <v>0.0311354465333333</v>
      </c>
    </row>
    <row r="81" s="79" customFormat="1" ht="24.95" customHeight="1" spans="1:25">
      <c r="A81" s="104">
        <v>70</v>
      </c>
      <c r="B81" s="104"/>
      <c r="C81" s="50" t="s">
        <v>24</v>
      </c>
      <c r="D81" s="44" t="s">
        <v>111</v>
      </c>
      <c r="E81" s="106"/>
      <c r="F81" s="107">
        <v>0</v>
      </c>
      <c r="G81" s="108"/>
      <c r="H81" s="109">
        <v>4800</v>
      </c>
      <c r="I81" s="110">
        <v>2237.88266880236</v>
      </c>
      <c r="J81" s="111">
        <v>0.466225556000492</v>
      </c>
      <c r="K81" s="110">
        <v>1900</v>
      </c>
      <c r="L81" s="110">
        <v>613.538922283294</v>
      </c>
      <c r="M81" s="111">
        <v>0.322915222254365</v>
      </c>
      <c r="N81" s="107">
        <v>0</v>
      </c>
      <c r="O81" s="107">
        <v>0</v>
      </c>
      <c r="P81" s="108"/>
      <c r="Q81" s="109">
        <v>2000</v>
      </c>
      <c r="R81" s="110">
        <v>614.79</v>
      </c>
      <c r="S81" s="111">
        <v>0.307395</v>
      </c>
      <c r="T81" s="112">
        <v>0</v>
      </c>
      <c r="U81" s="113">
        <v>0</v>
      </c>
      <c r="V81" s="114"/>
      <c r="W81" s="115">
        <v>2000</v>
      </c>
      <c r="X81" s="116">
        <v>718.78</v>
      </c>
      <c r="Y81" s="114">
        <v>0.35939</v>
      </c>
    </row>
    <row r="82" s="79" customFormat="1" ht="24.95" customHeight="1" spans="1:25">
      <c r="A82" s="104">
        <v>71</v>
      </c>
      <c r="B82" s="104"/>
      <c r="C82" s="50" t="s">
        <v>24</v>
      </c>
      <c r="D82" s="44" t="s">
        <v>112</v>
      </c>
      <c r="E82" s="106"/>
      <c r="F82" s="107">
        <v>0</v>
      </c>
      <c r="G82" s="108"/>
      <c r="H82" s="109">
        <v>2400</v>
      </c>
      <c r="I82" s="110">
        <v>3055.5543527446</v>
      </c>
      <c r="J82" s="111">
        <v>1.27314764697692</v>
      </c>
      <c r="K82" s="110">
        <v>950</v>
      </c>
      <c r="L82" s="110">
        <v>55.9401236</v>
      </c>
      <c r="M82" s="111">
        <v>0.0588843406315789</v>
      </c>
      <c r="N82" s="107">
        <v>0</v>
      </c>
      <c r="O82" s="107">
        <v>0</v>
      </c>
      <c r="P82" s="108"/>
      <c r="Q82" s="109">
        <v>1000</v>
      </c>
      <c r="R82" s="110">
        <v>8.73</v>
      </c>
      <c r="S82" s="111">
        <v>0.00873</v>
      </c>
      <c r="T82" s="112">
        <v>0</v>
      </c>
      <c r="U82" s="113">
        <v>0</v>
      </c>
      <c r="V82" s="114"/>
      <c r="W82" s="115">
        <v>1000</v>
      </c>
      <c r="X82" s="116">
        <v>259.37</v>
      </c>
      <c r="Y82" s="114">
        <v>0.25937</v>
      </c>
    </row>
    <row r="83" s="79" customFormat="1" ht="24.95" customHeight="1" spans="1:25">
      <c r="A83" s="104">
        <v>72</v>
      </c>
      <c r="B83" s="104"/>
      <c r="C83" s="50" t="s">
        <v>24</v>
      </c>
      <c r="D83" s="44" t="s">
        <v>113</v>
      </c>
      <c r="E83" s="106"/>
      <c r="F83" s="107">
        <v>180</v>
      </c>
      <c r="G83" s="108"/>
      <c r="H83" s="109">
        <v>1960</v>
      </c>
      <c r="I83" s="110">
        <v>879.263026</v>
      </c>
      <c r="J83" s="111">
        <v>0.448603584693878</v>
      </c>
      <c r="K83" s="110">
        <v>950</v>
      </c>
      <c r="L83" s="110">
        <v>115.33292481842</v>
      </c>
      <c r="M83" s="111">
        <v>0.121403078756232</v>
      </c>
      <c r="N83" s="107">
        <v>0</v>
      </c>
      <c r="O83" s="107"/>
      <c r="P83" s="108"/>
      <c r="Q83" s="109">
        <v>1000</v>
      </c>
      <c r="R83" s="110">
        <v>249.818348</v>
      </c>
      <c r="S83" s="111">
        <v>0.249818348</v>
      </c>
      <c r="T83" s="112">
        <v>0</v>
      </c>
      <c r="U83" s="113"/>
      <c r="V83" s="114"/>
      <c r="W83" s="115">
        <v>1000</v>
      </c>
      <c r="X83" s="116">
        <v>340.707826</v>
      </c>
      <c r="Y83" s="114">
        <v>0.340707826</v>
      </c>
    </row>
    <row r="84" s="79" customFormat="1" ht="24.95" customHeight="1" spans="1:25">
      <c r="A84" s="124" t="s">
        <v>114</v>
      </c>
      <c r="B84" s="124"/>
      <c r="C84" s="124"/>
      <c r="D84" s="125"/>
      <c r="E84" s="126"/>
      <c r="F84" s="126"/>
      <c r="G84" s="127"/>
      <c r="H84" s="128">
        <v>12002</v>
      </c>
      <c r="I84" s="128">
        <v>7413.79902043776</v>
      </c>
      <c r="J84" s="129">
        <v>0.617713632764353</v>
      </c>
      <c r="K84" s="128">
        <v>4940</v>
      </c>
      <c r="L84" s="128">
        <v>901.872013931214</v>
      </c>
      <c r="M84" s="129">
        <v>0.182565185006319</v>
      </c>
      <c r="N84" s="128">
        <v>0</v>
      </c>
      <c r="O84" s="128">
        <v>0</v>
      </c>
      <c r="P84" s="128">
        <v>0</v>
      </c>
      <c r="Q84" s="128">
        <v>5200</v>
      </c>
      <c r="R84" s="128">
        <v>928.0114151168</v>
      </c>
      <c r="S84" s="129">
        <v>0.178463733676308</v>
      </c>
      <c r="T84" s="128">
        <v>0</v>
      </c>
      <c r="U84" s="128">
        <v>0</v>
      </c>
      <c r="V84" s="128">
        <v>0</v>
      </c>
      <c r="W84" s="128">
        <v>5200</v>
      </c>
      <c r="X84" s="128">
        <v>1536.0651823968</v>
      </c>
      <c r="Y84" s="129">
        <v>0.295397150460923</v>
      </c>
    </row>
    <row r="85" s="81" customFormat="1" ht="24" customHeight="1" spans="1:25">
      <c r="A85" s="131" t="s">
        <v>115</v>
      </c>
      <c r="B85" s="131"/>
      <c r="C85" s="131"/>
      <c r="D85" s="132"/>
      <c r="E85" s="133">
        <v>15930</v>
      </c>
      <c r="F85" s="134">
        <v>7792</v>
      </c>
      <c r="G85" s="135">
        <v>0.489139987445072</v>
      </c>
      <c r="H85" s="134">
        <v>245000.01666655</v>
      </c>
      <c r="I85" s="134">
        <v>127099.487594508</v>
      </c>
      <c r="J85" s="136">
        <v>0.518773383462634</v>
      </c>
      <c r="K85" s="134">
        <v>95000.3930110149</v>
      </c>
      <c r="L85" s="134">
        <v>36141.7555228928</v>
      </c>
      <c r="M85" s="136">
        <v>0.380437957964051</v>
      </c>
      <c r="N85" s="134">
        <v>6499.61972290616</v>
      </c>
      <c r="O85" s="134">
        <v>1961</v>
      </c>
      <c r="P85" s="135">
        <v>0.301709958982521</v>
      </c>
      <c r="Q85" s="134">
        <v>100000.413695805</v>
      </c>
      <c r="R85" s="134">
        <v>34337.4646771168</v>
      </c>
      <c r="S85" s="137">
        <v>0.343373226250535</v>
      </c>
      <c r="T85" s="134">
        <v>6499.61972290616</v>
      </c>
      <c r="U85" s="134">
        <v>2632</v>
      </c>
      <c r="V85" s="136">
        <v>0.404946767996938</v>
      </c>
      <c r="W85" s="134">
        <v>100000.413695805</v>
      </c>
      <c r="X85" s="134">
        <v>43006.7060108068</v>
      </c>
      <c r="Y85" s="137">
        <v>0.430065280946041</v>
      </c>
    </row>
    <row r="86" s="81" customFormat="1" ht="24" hidden="1" customHeight="1" spans="1:25">
      <c r="A86" s="138" t="s">
        <v>116</v>
      </c>
      <c r="B86" s="138"/>
      <c r="C86" s="138"/>
      <c r="D86" s="138"/>
      <c r="E86" s="139"/>
      <c r="F86" s="140"/>
      <c r="G86" s="141"/>
      <c r="H86" s="140"/>
      <c r="I86" s="140">
        <v>416.33424107</v>
      </c>
      <c r="J86" s="142"/>
      <c r="K86" s="140"/>
      <c r="L86" s="140">
        <v>7235.07613779</v>
      </c>
      <c r="M86" s="142"/>
      <c r="N86" s="140"/>
      <c r="O86" s="140"/>
      <c r="P86" s="141"/>
      <c r="Q86" s="140"/>
      <c r="R86" s="140">
        <v>670.6661</v>
      </c>
      <c r="S86" s="143"/>
      <c r="T86" s="140"/>
      <c r="U86" s="140"/>
      <c r="V86" s="142"/>
      <c r="W86" s="140"/>
      <c r="X86" s="140">
        <v>652.47366241</v>
      </c>
      <c r="Y86" s="143"/>
    </row>
    <row r="87" s="79" customFormat="1" ht="20" customHeight="1" spans="1:25">
      <c r="E87" s="82"/>
      <c r="F87" s="82"/>
      <c r="G87" s="79"/>
      <c r="H87" s="83"/>
      <c r="I87" s="83"/>
      <c r="J87" s="79"/>
      <c r="K87" s="83"/>
      <c r="L87" s="83"/>
      <c r="M87" s="79"/>
      <c r="N87" s="82"/>
      <c r="O87" s="82"/>
      <c r="P87" s="79"/>
      <c r="Q87" s="83"/>
      <c r="R87" s="83"/>
      <c r="S87" s="79"/>
      <c r="T87" s="82"/>
      <c r="U87" s="82"/>
      <c r="V87" s="144"/>
      <c r="W87" s="145"/>
      <c r="X87" s="145"/>
      <c r="Y87" s="144"/>
    </row>
    <row r="88" s="79" customFormat="1" spans="1:25">
      <c r="E88" s="82"/>
      <c r="F88" s="82"/>
      <c r="G88" s="79"/>
      <c r="H88" s="83"/>
      <c r="I88" s="83"/>
      <c r="J88" s="79"/>
      <c r="K88" s="83"/>
      <c r="L88" s="83"/>
      <c r="M88" s="79"/>
      <c r="N88" s="82"/>
      <c r="O88" s="82"/>
      <c r="P88" s="79"/>
      <c r="Q88" s="83"/>
      <c r="R88" s="83"/>
      <c r="S88" s="79"/>
      <c r="T88" s="82"/>
      <c r="U88" s="82"/>
      <c r="V88" s="144"/>
      <c r="W88" s="145"/>
      <c r="X88" s="145"/>
      <c r="Y88" s="144"/>
    </row>
  </sheetData>
  <mergeCells count="24">
    <mergeCell ref="A1:Y1"/>
    <mergeCell ref="D2:E2"/>
    <mergeCell ref="E3:G3"/>
    <mergeCell ref="H3:J3"/>
    <mergeCell ref="K3:M3"/>
    <mergeCell ref="N3:P3"/>
    <mergeCell ref="Q3:S3"/>
    <mergeCell ref="T3:V3"/>
    <mergeCell ref="W3:Y3"/>
    <mergeCell ref="A15:D15"/>
    <mergeCell ref="A24:D24"/>
    <mergeCell ref="A34:D34"/>
    <mergeCell ref="A46:D46"/>
    <mergeCell ref="A56:D56"/>
    <mergeCell ref="A66:D66"/>
    <mergeCell ref="A73:D73"/>
    <mergeCell ref="A77:D77"/>
    <mergeCell ref="A84:D84"/>
    <mergeCell ref="A85:D85"/>
    <mergeCell ref="A86:D86"/>
    <mergeCell ref="A3:A4"/>
    <mergeCell ref="B3:B4"/>
    <mergeCell ref="C3:C4"/>
    <mergeCell ref="D3:D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8"/>
  <sheetViews>
    <sheetView zoomScale="85" zoomScaleNormal="85" workbookViewId="0">
      <selection activeCell="F4" sqref="F4:F15"/>
    </sheetView>
  </sheetViews>
  <sheetFormatPr defaultColWidth="13.1333333333333" defaultRowHeight="13.5"/>
  <cols>
    <col min="1" max="1" width="5.625" style="79" customWidth="1"/>
    <col min="2" max="2" width="9.99166666666667" style="79" customWidth="1"/>
    <col min="3" max="3" width="8.875" style="79" customWidth="1"/>
    <col min="4" max="4" width="20.25" style="79" customWidth="1"/>
    <col min="5" max="5" width="9.9" style="82" customWidth="1"/>
    <col min="6" max="6" width="9.99166666666667" style="82" customWidth="1"/>
    <col min="7" max="7" width="12.3583333333333" style="79" customWidth="1"/>
    <col min="8" max="8" width="10.9666666666667" style="83" customWidth="1"/>
    <col min="9" max="9" width="11.2416666666667" style="83" customWidth="1"/>
    <col min="10" max="10" width="11.2416666666667" style="79" customWidth="1"/>
    <col min="11" max="11" width="11.2416666666667" style="83" customWidth="1"/>
    <col min="12" max="12" width="10.5" style="83" customWidth="1"/>
    <col min="13" max="13" width="14.125" style="79" customWidth="1"/>
    <col min="14" max="14" width="9.85833333333333" style="82" customWidth="1"/>
    <col min="15" max="15" width="9.875" style="82" customWidth="1"/>
    <col min="16" max="16" width="13.1333333333333" style="79" customWidth="1"/>
    <col min="17" max="17" width="13.1333333333333" style="83" customWidth="1"/>
    <col min="18" max="18" width="12.1416666666667" style="83" customWidth="1"/>
    <col min="19" max="19" width="12.1416666666667" style="79" customWidth="1"/>
    <col min="20" max="20" width="15.6916666666667" style="82" customWidth="1"/>
    <col min="21" max="21" width="11.7583333333333" style="82" customWidth="1"/>
    <col min="22" max="22" width="13.1333333333333" style="79" customWidth="1"/>
    <col min="23" max="23" width="13.1333333333333" style="83" customWidth="1"/>
    <col min="24" max="24" width="9.875" style="83" customWidth="1"/>
    <col min="25" max="31" width="9.875" style="79" customWidth="1"/>
    <col min="32" max="32" width="13.1333333333333" style="82" customWidth="1"/>
    <col min="33" max="33" width="8.875" style="79" customWidth="1"/>
    <col min="34" max="16384" width="13.1333333333333" style="79"/>
  </cols>
  <sheetData>
    <row r="1" s="79" customFormat="1" ht="22.15" customHeight="1" spans="1:33">
      <c r="A1" s="84" t="s">
        <v>27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</row>
    <row r="2" s="79" customFormat="1" ht="22.9" customHeight="1" spans="1:33">
      <c r="D2" s="85">
        <v>46204</v>
      </c>
      <c r="E2" s="86"/>
      <c r="F2" s="87"/>
      <c r="G2" s="88"/>
      <c r="H2" s="89"/>
      <c r="I2" s="89"/>
      <c r="J2" s="90"/>
      <c r="K2" s="91"/>
      <c r="L2" s="83"/>
      <c r="N2" s="82"/>
      <c r="O2" s="82"/>
      <c r="P2" s="85" t="s">
        <v>28</v>
      </c>
      <c r="Q2" s="89"/>
      <c r="R2" s="89"/>
      <c r="S2" s="85"/>
      <c r="T2" s="87"/>
      <c r="U2" s="82"/>
      <c r="W2" s="83"/>
      <c r="X2" s="83"/>
      <c r="AF2" s="82"/>
    </row>
    <row r="3" s="1" customFormat="1" ht="22.9" customHeight="1" spans="1:33">
      <c r="A3" s="92" t="s">
        <v>2</v>
      </c>
      <c r="B3" s="92" t="s">
        <v>29</v>
      </c>
      <c r="C3" s="92" t="s">
        <v>3</v>
      </c>
      <c r="D3" s="92" t="s">
        <v>30</v>
      </c>
      <c r="E3" s="93" t="s">
        <v>4</v>
      </c>
      <c r="F3" s="93"/>
      <c r="G3" s="94"/>
      <c r="H3" s="95" t="s">
        <v>5</v>
      </c>
      <c r="I3" s="95"/>
      <c r="J3" s="94"/>
      <c r="K3" s="96" t="s">
        <v>6</v>
      </c>
      <c r="L3" s="96"/>
      <c r="M3" s="97"/>
      <c r="N3" s="93" t="s">
        <v>7</v>
      </c>
      <c r="O3" s="93"/>
      <c r="P3" s="98"/>
      <c r="Q3" s="95" t="s">
        <v>8</v>
      </c>
      <c r="R3" s="95"/>
      <c r="S3" s="98"/>
      <c r="T3" s="93" t="s">
        <v>9</v>
      </c>
      <c r="U3" s="93"/>
      <c r="V3" s="98"/>
      <c r="W3" s="95" t="s">
        <v>10</v>
      </c>
      <c r="X3" s="95"/>
      <c r="Y3" s="98"/>
      <c r="Z3" s="99" t="s">
        <v>113</v>
      </c>
      <c r="AA3" s="100"/>
      <c r="AB3" s="100"/>
      <c r="AC3" s="100"/>
      <c r="AD3" s="100"/>
      <c r="AE3" s="101"/>
      <c r="AF3" s="102" t="s">
        <v>117</v>
      </c>
      <c r="AG3" s="92" t="s">
        <v>118</v>
      </c>
    </row>
    <row r="4" s="80" customFormat="1" ht="52.5" customHeight="1" spans="1:33">
      <c r="A4" s="92"/>
      <c r="B4" s="92"/>
      <c r="C4" s="92"/>
      <c r="D4" s="92"/>
      <c r="E4" s="102" t="s">
        <v>11</v>
      </c>
      <c r="F4" s="102" t="s">
        <v>12</v>
      </c>
      <c r="G4" s="92" t="s">
        <v>13</v>
      </c>
      <c r="H4" s="103" t="s">
        <v>11</v>
      </c>
      <c r="I4" s="103" t="s">
        <v>12</v>
      </c>
      <c r="J4" s="92" t="s">
        <v>13</v>
      </c>
      <c r="K4" s="103" t="s">
        <v>11</v>
      </c>
      <c r="L4" s="103" t="s">
        <v>12</v>
      </c>
      <c r="M4" s="92" t="s">
        <v>13</v>
      </c>
      <c r="N4" s="102" t="s">
        <v>11</v>
      </c>
      <c r="O4" s="102" t="s">
        <v>14</v>
      </c>
      <c r="P4" s="92" t="s">
        <v>15</v>
      </c>
      <c r="Q4" s="103" t="s">
        <v>11</v>
      </c>
      <c r="R4" s="103" t="s">
        <v>14</v>
      </c>
      <c r="S4" s="92" t="s">
        <v>15</v>
      </c>
      <c r="T4" s="102" t="s">
        <v>11</v>
      </c>
      <c r="U4" s="102" t="s">
        <v>14</v>
      </c>
      <c r="V4" s="92" t="s">
        <v>15</v>
      </c>
      <c r="W4" s="103" t="s">
        <v>11</v>
      </c>
      <c r="X4" s="103" t="s">
        <v>14</v>
      </c>
      <c r="Y4" s="92" t="s">
        <v>15</v>
      </c>
      <c r="Z4" s="92" t="s">
        <v>119</v>
      </c>
      <c r="AA4" s="92" t="s">
        <v>120</v>
      </c>
      <c r="AB4" s="92" t="s">
        <v>121</v>
      </c>
      <c r="AC4" s="92" t="s">
        <v>10</v>
      </c>
      <c r="AD4" s="92" t="s">
        <v>122</v>
      </c>
      <c r="AE4" s="92" t="s">
        <v>8</v>
      </c>
      <c r="AF4" s="102"/>
      <c r="AG4" s="92"/>
    </row>
    <row r="5" s="79" customFormat="1" ht="24.95" customHeight="1" spans="1:33">
      <c r="A5" s="104">
        <v>1</v>
      </c>
      <c r="B5" s="104" t="s">
        <v>31</v>
      </c>
      <c r="C5" s="105" t="s">
        <v>16</v>
      </c>
      <c r="D5" s="35" t="s">
        <v>32</v>
      </c>
      <c r="E5" s="106">
        <v>1683</v>
      </c>
      <c r="F5" s="107">
        <v>611</v>
      </c>
      <c r="G5" s="108">
        <v>0.363042186571598</v>
      </c>
      <c r="H5" s="109">
        <v>35680</v>
      </c>
      <c r="I5" s="110">
        <v>13962.58</v>
      </c>
      <c r="J5" s="111">
        <v>0.391327914798206</v>
      </c>
      <c r="K5" s="110">
        <v>13775</v>
      </c>
      <c r="L5" s="110">
        <v>6400.09946077882</v>
      </c>
      <c r="M5" s="111">
        <v>0.464617020746194</v>
      </c>
      <c r="N5" s="107">
        <v>750</v>
      </c>
      <c r="O5" s="107">
        <v>358</v>
      </c>
      <c r="P5" s="108">
        <v>0.477333333333333</v>
      </c>
      <c r="Q5" s="109">
        <v>14500</v>
      </c>
      <c r="R5" s="110">
        <v>7334.898</v>
      </c>
      <c r="S5" s="111">
        <v>0.505855034482759</v>
      </c>
      <c r="T5" s="112">
        <v>750</v>
      </c>
      <c r="U5" s="113">
        <v>399</v>
      </c>
      <c r="V5" s="114">
        <v>0.532</v>
      </c>
      <c r="W5" s="115">
        <v>14500</v>
      </c>
      <c r="X5" s="116">
        <v>7973.99</v>
      </c>
      <c r="Y5" s="114">
        <v>0.549930344827586</v>
      </c>
      <c r="Z5" s="117">
        <v>0</v>
      </c>
      <c r="AA5" s="118">
        <v>0</v>
      </c>
      <c r="AB5" s="118">
        <v>0</v>
      </c>
      <c r="AC5" s="118">
        <v>0</v>
      </c>
      <c r="AD5" s="118">
        <v>0</v>
      </c>
      <c r="AE5" s="118">
        <v>0</v>
      </c>
      <c r="AF5" s="107">
        <v>102</v>
      </c>
      <c r="AG5" s="98" t="s">
        <v>123</v>
      </c>
    </row>
    <row r="6" s="79" customFormat="1" ht="24.95" customHeight="1" spans="1:33">
      <c r="A6" s="104">
        <v>2</v>
      </c>
      <c r="B6" s="104" t="s">
        <v>31</v>
      </c>
      <c r="C6" s="105" t="s">
        <v>16</v>
      </c>
      <c r="D6" s="44" t="s">
        <v>33</v>
      </c>
      <c r="E6" s="106">
        <v>1683</v>
      </c>
      <c r="F6" s="107">
        <v>668</v>
      </c>
      <c r="G6" s="108">
        <v>0.39691027926322</v>
      </c>
      <c r="H6" s="109">
        <v>35680</v>
      </c>
      <c r="I6" s="110">
        <v>16229.59</v>
      </c>
      <c r="J6" s="111">
        <v>0.45486519058296</v>
      </c>
      <c r="K6" s="110">
        <v>13775</v>
      </c>
      <c r="L6" s="110">
        <v>6460.63484039001</v>
      </c>
      <c r="M6" s="111">
        <v>0.469011603658077</v>
      </c>
      <c r="N6" s="107">
        <v>750</v>
      </c>
      <c r="O6" s="107">
        <v>292</v>
      </c>
      <c r="P6" s="108">
        <v>0.389333333333333</v>
      </c>
      <c r="Q6" s="109">
        <v>14500</v>
      </c>
      <c r="R6" s="110">
        <v>5227.151</v>
      </c>
      <c r="S6" s="111">
        <v>0.360493172413793</v>
      </c>
      <c r="T6" s="112">
        <v>750</v>
      </c>
      <c r="U6" s="113">
        <v>385</v>
      </c>
      <c r="V6" s="114">
        <v>0.513333333333333</v>
      </c>
      <c r="W6" s="115">
        <v>14500</v>
      </c>
      <c r="X6" s="116">
        <v>6703.44</v>
      </c>
      <c r="Y6" s="114">
        <v>0.462306206896552</v>
      </c>
      <c r="Z6" s="117">
        <v>67</v>
      </c>
      <c r="AA6" s="118">
        <v>85.3495</v>
      </c>
      <c r="AB6" s="118">
        <v>68</v>
      </c>
      <c r="AC6" s="118">
        <v>99.7855</v>
      </c>
      <c r="AD6" s="118">
        <v>1</v>
      </c>
      <c r="AE6" s="118">
        <v>14.436</v>
      </c>
      <c r="AF6" s="107">
        <v>107</v>
      </c>
      <c r="AG6" s="98" t="s">
        <v>124</v>
      </c>
    </row>
    <row r="7" s="79" customFormat="1" ht="24.95" customHeight="1" spans="1:33">
      <c r="A7" s="104">
        <v>3</v>
      </c>
      <c r="B7" s="104" t="s">
        <v>31</v>
      </c>
      <c r="C7" s="105" t="s">
        <v>16</v>
      </c>
      <c r="D7" s="35" t="s">
        <v>34</v>
      </c>
      <c r="E7" s="106">
        <v>400</v>
      </c>
      <c r="F7" s="107">
        <v>241</v>
      </c>
      <c r="G7" s="108">
        <v>0.6025</v>
      </c>
      <c r="H7" s="109">
        <v>6544</v>
      </c>
      <c r="I7" s="110">
        <v>4610.69</v>
      </c>
      <c r="J7" s="111">
        <v>0.704567542787286</v>
      </c>
      <c r="K7" s="110">
        <v>2524.15</v>
      </c>
      <c r="L7" s="110">
        <v>1241.089525</v>
      </c>
      <c r="M7" s="111">
        <v>0.491686122060892</v>
      </c>
      <c r="N7" s="107">
        <v>160</v>
      </c>
      <c r="O7" s="107">
        <v>86</v>
      </c>
      <c r="P7" s="108">
        <v>0.5375</v>
      </c>
      <c r="Q7" s="109">
        <v>2657</v>
      </c>
      <c r="R7" s="110">
        <v>1137.01</v>
      </c>
      <c r="S7" s="111">
        <v>0.427929996236357</v>
      </c>
      <c r="T7" s="112">
        <v>160</v>
      </c>
      <c r="U7" s="113">
        <v>100</v>
      </c>
      <c r="V7" s="114">
        <v>0.625</v>
      </c>
      <c r="W7" s="115">
        <v>2657</v>
      </c>
      <c r="X7" s="116">
        <v>1299.25</v>
      </c>
      <c r="Y7" s="114">
        <v>0.488991343620625</v>
      </c>
      <c r="Z7" s="117">
        <v>0</v>
      </c>
      <c r="AA7" s="118">
        <v>0</v>
      </c>
      <c r="AB7" s="118">
        <v>0</v>
      </c>
      <c r="AC7" s="118">
        <v>0</v>
      </c>
      <c r="AD7" s="118">
        <v>0</v>
      </c>
      <c r="AE7" s="118">
        <v>0</v>
      </c>
      <c r="AF7" s="107">
        <v>30</v>
      </c>
      <c r="AG7" s="98" t="s">
        <v>125</v>
      </c>
    </row>
    <row r="8" s="79" customFormat="1" ht="24.95" customHeight="1" spans="1:33">
      <c r="A8" s="104">
        <v>4</v>
      </c>
      <c r="B8" s="104" t="s">
        <v>31</v>
      </c>
      <c r="C8" s="105" t="s">
        <v>16</v>
      </c>
      <c r="D8" s="44" t="s">
        <v>35</v>
      </c>
      <c r="E8" s="106">
        <v>270</v>
      </c>
      <c r="F8" s="107">
        <v>154</v>
      </c>
      <c r="G8" s="108">
        <v>0.57037037037037</v>
      </c>
      <c r="H8" s="109">
        <v>4428</v>
      </c>
      <c r="I8" s="110">
        <v>2938.51</v>
      </c>
      <c r="J8" s="111">
        <v>0.663620144534779</v>
      </c>
      <c r="K8" s="110">
        <v>1710</v>
      </c>
      <c r="L8" s="110">
        <v>116.493036914063</v>
      </c>
      <c r="M8" s="111">
        <v>0.0681245829906798</v>
      </c>
      <c r="N8" s="107">
        <v>120</v>
      </c>
      <c r="O8" s="107">
        <v>13</v>
      </c>
      <c r="P8" s="108">
        <v>0.108333333333333</v>
      </c>
      <c r="Q8" s="109">
        <v>1800</v>
      </c>
      <c r="R8" s="110">
        <v>131.17</v>
      </c>
      <c r="S8" s="111">
        <v>0.0728722222222222</v>
      </c>
      <c r="T8" s="112">
        <v>120</v>
      </c>
      <c r="U8" s="113">
        <v>74</v>
      </c>
      <c r="V8" s="114">
        <v>0.616666666666667</v>
      </c>
      <c r="W8" s="115">
        <v>1800</v>
      </c>
      <c r="X8" s="116">
        <v>778.22</v>
      </c>
      <c r="Y8" s="114">
        <v>0.432344444444444</v>
      </c>
      <c r="Z8" s="117">
        <v>0</v>
      </c>
      <c r="AA8" s="118">
        <v>0</v>
      </c>
      <c r="AB8" s="118">
        <v>0</v>
      </c>
      <c r="AC8" s="118">
        <v>0</v>
      </c>
      <c r="AD8" s="118">
        <v>0</v>
      </c>
      <c r="AE8" s="118">
        <v>0</v>
      </c>
      <c r="AF8" s="107">
        <v>61</v>
      </c>
      <c r="AG8" s="98" t="s">
        <v>126</v>
      </c>
    </row>
    <row r="9" s="79" customFormat="1" ht="24.95" customHeight="1" spans="1:33">
      <c r="A9" s="104">
        <v>5</v>
      </c>
      <c r="B9" s="104" t="s">
        <v>31</v>
      </c>
      <c r="C9" s="105" t="s">
        <v>16</v>
      </c>
      <c r="D9" s="35" t="s">
        <v>36</v>
      </c>
      <c r="E9" s="106">
        <v>270</v>
      </c>
      <c r="F9" s="107">
        <v>209</v>
      </c>
      <c r="G9" s="108">
        <v>0.774074074074074</v>
      </c>
      <c r="H9" s="109">
        <v>4428</v>
      </c>
      <c r="I9" s="110">
        <v>2628.511774</v>
      </c>
      <c r="J9" s="111">
        <v>0.593611511743451</v>
      </c>
      <c r="K9" s="110">
        <v>1710</v>
      </c>
      <c r="L9" s="110">
        <v>649.660600390625</v>
      </c>
      <c r="M9" s="111">
        <v>0.379918479760599</v>
      </c>
      <c r="N9" s="107">
        <v>120</v>
      </c>
      <c r="O9" s="107">
        <v>47</v>
      </c>
      <c r="P9" s="108">
        <v>0.391666666666667</v>
      </c>
      <c r="Q9" s="109">
        <v>1800</v>
      </c>
      <c r="R9" s="110">
        <v>501.591774</v>
      </c>
      <c r="S9" s="111">
        <v>0.278662096666667</v>
      </c>
      <c r="T9" s="112">
        <v>120</v>
      </c>
      <c r="U9" s="113">
        <v>75</v>
      </c>
      <c r="V9" s="114">
        <v>0.625</v>
      </c>
      <c r="W9" s="115">
        <v>1800</v>
      </c>
      <c r="X9" s="116">
        <v>781.541774</v>
      </c>
      <c r="Y9" s="114">
        <v>0.434189874444444</v>
      </c>
      <c r="Z9" s="117">
        <v>0</v>
      </c>
      <c r="AA9" s="118">
        <v>0</v>
      </c>
      <c r="AB9" s="118">
        <v>0</v>
      </c>
      <c r="AC9" s="118">
        <v>0</v>
      </c>
      <c r="AD9" s="118">
        <v>0</v>
      </c>
      <c r="AE9" s="118">
        <v>0</v>
      </c>
      <c r="AF9" s="107">
        <v>28</v>
      </c>
      <c r="AG9" s="98" t="s">
        <v>127</v>
      </c>
    </row>
    <row r="10" s="79" customFormat="1" ht="24.95" customHeight="1" spans="1:33">
      <c r="A10" s="104">
        <v>6</v>
      </c>
      <c r="B10" s="104" t="s">
        <v>37</v>
      </c>
      <c r="C10" s="105" t="s">
        <v>16</v>
      </c>
      <c r="D10" s="35" t="s">
        <v>38</v>
      </c>
      <c r="E10" s="106">
        <v>245</v>
      </c>
      <c r="F10" s="107">
        <v>97</v>
      </c>
      <c r="G10" s="108">
        <v>0.395918367346939</v>
      </c>
      <c r="H10" s="109">
        <v>4200</v>
      </c>
      <c r="I10" s="110">
        <v>2073.6762</v>
      </c>
      <c r="J10" s="111">
        <v>0.493732428571429</v>
      </c>
      <c r="K10" s="110">
        <v>1689.1</v>
      </c>
      <c r="L10" s="110">
        <v>210.54</v>
      </c>
      <c r="M10" s="111">
        <v>0.124646261322598</v>
      </c>
      <c r="N10" s="107">
        <v>100</v>
      </c>
      <c r="O10" s="107">
        <v>21</v>
      </c>
      <c r="P10" s="108">
        <v>0.21</v>
      </c>
      <c r="Q10" s="109">
        <v>1778</v>
      </c>
      <c r="R10" s="110">
        <v>233.7584</v>
      </c>
      <c r="S10" s="111">
        <v>0.13147266591676</v>
      </c>
      <c r="T10" s="112">
        <v>100</v>
      </c>
      <c r="U10" s="113">
        <v>17</v>
      </c>
      <c r="V10" s="114">
        <v>0.17</v>
      </c>
      <c r="W10" s="115">
        <v>1778</v>
      </c>
      <c r="X10" s="116">
        <v>174.6562</v>
      </c>
      <c r="Y10" s="114">
        <v>0.0982318335208099</v>
      </c>
      <c r="Z10" s="117">
        <v>22</v>
      </c>
      <c r="AA10" s="118">
        <v>348.382</v>
      </c>
      <c r="AB10" s="118">
        <v>20</v>
      </c>
      <c r="AC10" s="118">
        <v>179.5466</v>
      </c>
      <c r="AD10" s="118">
        <v>20</v>
      </c>
      <c r="AE10" s="118">
        <v>179.5466</v>
      </c>
      <c r="AF10" s="107">
        <v>2</v>
      </c>
      <c r="AG10" s="98" t="s">
        <v>128</v>
      </c>
    </row>
    <row r="11" s="79" customFormat="1" ht="24.95" customHeight="1" spans="1:33">
      <c r="A11" s="104">
        <v>7</v>
      </c>
      <c r="B11" s="104" t="s">
        <v>37</v>
      </c>
      <c r="C11" s="105" t="s">
        <v>16</v>
      </c>
      <c r="D11" s="35" t="s">
        <v>39</v>
      </c>
      <c r="E11" s="106">
        <v>489</v>
      </c>
      <c r="F11" s="107">
        <v>168</v>
      </c>
      <c r="G11" s="108">
        <v>0.343558282208589</v>
      </c>
      <c r="H11" s="109">
        <v>7525.12</v>
      </c>
      <c r="I11" s="110">
        <v>4513.387464</v>
      </c>
      <c r="J11" s="111">
        <v>0.59977614496513</v>
      </c>
      <c r="K11" s="110">
        <v>2823.4</v>
      </c>
      <c r="L11" s="110">
        <v>543.830781655884</v>
      </c>
      <c r="M11" s="111">
        <v>0.192615563383114</v>
      </c>
      <c r="N11" s="107">
        <v>210</v>
      </c>
      <c r="O11" s="107">
        <v>28</v>
      </c>
      <c r="P11" s="108">
        <v>0.133333333333333</v>
      </c>
      <c r="Q11" s="109">
        <v>2972</v>
      </c>
      <c r="R11" s="110">
        <v>328.07311</v>
      </c>
      <c r="S11" s="111">
        <v>0.110387991251682</v>
      </c>
      <c r="T11" s="112">
        <v>210</v>
      </c>
      <c r="U11" s="113">
        <v>53</v>
      </c>
      <c r="V11" s="114">
        <v>0.252380952380952</v>
      </c>
      <c r="W11" s="115">
        <v>2972</v>
      </c>
      <c r="X11" s="116">
        <v>751.800574</v>
      </c>
      <c r="Y11" s="114">
        <v>0.25296116218035</v>
      </c>
      <c r="Z11" s="117">
        <v>0</v>
      </c>
      <c r="AA11" s="118">
        <v>0</v>
      </c>
      <c r="AB11" s="118">
        <v>0</v>
      </c>
      <c r="AC11" s="118">
        <v>0</v>
      </c>
      <c r="AD11" s="118">
        <v>0</v>
      </c>
      <c r="AE11" s="118">
        <v>0</v>
      </c>
      <c r="AF11" s="107">
        <v>27</v>
      </c>
      <c r="AG11" s="98" t="s">
        <v>129</v>
      </c>
    </row>
    <row r="12" s="79" customFormat="1" ht="24.95" customHeight="1" spans="1:33">
      <c r="A12" s="104">
        <v>8</v>
      </c>
      <c r="B12" s="104" t="s">
        <v>40</v>
      </c>
      <c r="C12" s="105" t="s">
        <v>16</v>
      </c>
      <c r="D12" s="35" t="s">
        <v>41</v>
      </c>
      <c r="E12" s="106">
        <v>72</v>
      </c>
      <c r="F12" s="107">
        <v>74</v>
      </c>
      <c r="G12" s="108">
        <v>1.02777777777778</v>
      </c>
      <c r="H12" s="109">
        <v>1085</v>
      </c>
      <c r="I12" s="110">
        <v>550.384413</v>
      </c>
      <c r="J12" s="111">
        <v>0.507266740092166</v>
      </c>
      <c r="K12" s="110">
        <v>427.5</v>
      </c>
      <c r="L12" s="110">
        <v>22.84</v>
      </c>
      <c r="M12" s="111">
        <v>0.0534269005847953</v>
      </c>
      <c r="N12" s="107">
        <v>30</v>
      </c>
      <c r="O12" s="107">
        <v>2</v>
      </c>
      <c r="P12" s="108">
        <v>0.0666666666666667</v>
      </c>
      <c r="Q12" s="109">
        <v>450</v>
      </c>
      <c r="R12" s="110">
        <v>22.84</v>
      </c>
      <c r="S12" s="111">
        <v>0.0507555555555556</v>
      </c>
      <c r="T12" s="112">
        <v>30</v>
      </c>
      <c r="U12" s="113">
        <v>2</v>
      </c>
      <c r="V12" s="114">
        <v>0.0666666666666667</v>
      </c>
      <c r="W12" s="115">
        <v>450</v>
      </c>
      <c r="X12" s="116">
        <v>22.84</v>
      </c>
      <c r="Y12" s="114">
        <v>0.0507555555555556</v>
      </c>
      <c r="Z12" s="117">
        <v>0</v>
      </c>
      <c r="AA12" s="118">
        <v>0</v>
      </c>
      <c r="AB12" s="118">
        <v>0</v>
      </c>
      <c r="AC12" s="118">
        <v>0</v>
      </c>
      <c r="AD12" s="118">
        <v>0</v>
      </c>
      <c r="AE12" s="118">
        <v>0</v>
      </c>
      <c r="AF12" s="107">
        <v>0</v>
      </c>
      <c r="AG12" s="98" t="s">
        <v>130</v>
      </c>
    </row>
    <row r="13" s="79" customFormat="1" ht="24.95" customHeight="1" spans="1:33">
      <c r="A13" s="104">
        <v>9</v>
      </c>
      <c r="B13" s="104" t="s">
        <v>40</v>
      </c>
      <c r="C13" s="105" t="s">
        <v>16</v>
      </c>
      <c r="D13" s="35" t="s">
        <v>42</v>
      </c>
      <c r="E13" s="106">
        <v>72</v>
      </c>
      <c r="F13" s="107">
        <v>0</v>
      </c>
      <c r="G13" s="108">
        <v>0</v>
      </c>
      <c r="H13" s="109">
        <v>1085</v>
      </c>
      <c r="I13" s="110">
        <v>0</v>
      </c>
      <c r="J13" s="111">
        <v>0</v>
      </c>
      <c r="K13" s="110">
        <v>427.5</v>
      </c>
      <c r="L13" s="110">
        <v>0</v>
      </c>
      <c r="M13" s="111">
        <v>0</v>
      </c>
      <c r="N13" s="107">
        <v>30</v>
      </c>
      <c r="O13" s="107">
        <v>0</v>
      </c>
      <c r="P13" s="108">
        <v>0</v>
      </c>
      <c r="Q13" s="109">
        <v>450</v>
      </c>
      <c r="R13" s="110">
        <v>0</v>
      </c>
      <c r="S13" s="111">
        <v>0</v>
      </c>
      <c r="T13" s="112">
        <v>30</v>
      </c>
      <c r="U13" s="113">
        <v>0</v>
      </c>
      <c r="V13" s="114">
        <v>0</v>
      </c>
      <c r="W13" s="115">
        <v>450</v>
      </c>
      <c r="X13" s="116">
        <v>0</v>
      </c>
      <c r="Y13" s="114">
        <v>0</v>
      </c>
      <c r="Z13" s="117">
        <v>0</v>
      </c>
      <c r="AA13" s="118">
        <v>0</v>
      </c>
      <c r="AB13" s="118">
        <v>0</v>
      </c>
      <c r="AC13" s="118">
        <v>0</v>
      </c>
      <c r="AD13" s="118">
        <v>0</v>
      </c>
      <c r="AE13" s="118">
        <v>0</v>
      </c>
      <c r="AF13" s="107">
        <v>0</v>
      </c>
      <c r="AG13" s="98" t="s">
        <v>131</v>
      </c>
    </row>
    <row r="14" s="79" customFormat="1" ht="24.95" customHeight="1" spans="1:33">
      <c r="A14" s="104">
        <v>10</v>
      </c>
      <c r="B14" s="104" t="s">
        <v>40</v>
      </c>
      <c r="C14" s="105" t="s">
        <v>16</v>
      </c>
      <c r="D14" s="35" t="s">
        <v>43</v>
      </c>
      <c r="E14" s="106">
        <v>72</v>
      </c>
      <c r="F14" s="107">
        <v>0</v>
      </c>
      <c r="G14" s="108">
        <v>0</v>
      </c>
      <c r="H14" s="109">
        <v>1085</v>
      </c>
      <c r="I14" s="110">
        <v>0</v>
      </c>
      <c r="J14" s="111">
        <v>0</v>
      </c>
      <c r="K14" s="110">
        <v>427.5</v>
      </c>
      <c r="L14" s="110">
        <v>0</v>
      </c>
      <c r="M14" s="111">
        <v>0</v>
      </c>
      <c r="N14" s="107">
        <v>30</v>
      </c>
      <c r="O14" s="107">
        <v>0</v>
      </c>
      <c r="P14" s="108">
        <v>0</v>
      </c>
      <c r="Q14" s="109">
        <v>450</v>
      </c>
      <c r="R14" s="110">
        <v>0</v>
      </c>
      <c r="S14" s="111">
        <v>0</v>
      </c>
      <c r="T14" s="112">
        <v>30</v>
      </c>
      <c r="U14" s="113">
        <v>0</v>
      </c>
      <c r="V14" s="114">
        <v>0</v>
      </c>
      <c r="W14" s="115">
        <v>450</v>
      </c>
      <c r="X14" s="116">
        <v>0</v>
      </c>
      <c r="Y14" s="114">
        <v>0</v>
      </c>
      <c r="Z14" s="117">
        <v>0</v>
      </c>
      <c r="AA14" s="118">
        <v>0</v>
      </c>
      <c r="AB14" s="118">
        <v>0</v>
      </c>
      <c r="AC14" s="118">
        <v>0</v>
      </c>
      <c r="AD14" s="118">
        <v>0</v>
      </c>
      <c r="AE14" s="118">
        <v>0</v>
      </c>
      <c r="AF14" s="107">
        <v>0</v>
      </c>
      <c r="AG14" s="98" t="s">
        <v>132</v>
      </c>
    </row>
    <row r="15" s="79" customFormat="1" ht="24.95" customHeight="1" spans="1:33">
      <c r="A15" s="119" t="s">
        <v>44</v>
      </c>
      <c r="B15" s="119"/>
      <c r="C15" s="119"/>
      <c r="D15" s="104"/>
      <c r="E15" s="120">
        <v>5256</v>
      </c>
      <c r="F15" s="120">
        <v>2222</v>
      </c>
      <c r="G15" s="121">
        <v>0.422754946727549</v>
      </c>
      <c r="H15" s="120">
        <v>101740.12</v>
      </c>
      <c r="I15" s="120">
        <v>47507.329851</v>
      </c>
      <c r="J15" s="121">
        <v>0.466947845658134</v>
      </c>
      <c r="K15" s="120">
        <v>39289.15</v>
      </c>
      <c r="L15" s="120">
        <v>15645.1882451294</v>
      </c>
      <c r="M15" s="121">
        <v>0.398206330376946</v>
      </c>
      <c r="N15" s="120">
        <v>2300</v>
      </c>
      <c r="O15" s="120">
        <v>847</v>
      </c>
      <c r="P15" s="121">
        <v>0.368260869565217</v>
      </c>
      <c r="Q15" s="120">
        <v>41357</v>
      </c>
      <c r="R15" s="120">
        <v>14916.492284</v>
      </c>
      <c r="S15" s="121">
        <v>0.360676361534928</v>
      </c>
      <c r="T15" s="120">
        <v>2300</v>
      </c>
      <c r="U15" s="120">
        <v>1105</v>
      </c>
      <c r="V15" s="121">
        <v>0.480434782608696</v>
      </c>
      <c r="W15" s="120">
        <v>41357</v>
      </c>
      <c r="X15" s="120">
        <v>18485.738548</v>
      </c>
      <c r="Y15" s="121">
        <v>0.446979678119786</v>
      </c>
      <c r="Z15" s="120">
        <v>89</v>
      </c>
      <c r="AA15" s="120">
        <v>433.7315</v>
      </c>
      <c r="AB15" s="120">
        <v>88</v>
      </c>
      <c r="AC15" s="120">
        <v>279.3321</v>
      </c>
      <c r="AD15" s="120">
        <v>21</v>
      </c>
      <c r="AE15" s="120">
        <v>193.9826</v>
      </c>
      <c r="AF15" s="120">
        <v>357</v>
      </c>
      <c r="AG15" s="122" t="s">
        <v>133</v>
      </c>
    </row>
    <row r="16" s="79" customFormat="1" ht="24.95" customHeight="1" spans="1:33">
      <c r="A16" s="104">
        <v>11</v>
      </c>
      <c r="B16" s="104" t="s">
        <v>40</v>
      </c>
      <c r="C16" s="105" t="s">
        <v>17</v>
      </c>
      <c r="D16" s="35" t="s">
        <v>45</v>
      </c>
      <c r="E16" s="106">
        <v>81</v>
      </c>
      <c r="F16" s="107">
        <v>120</v>
      </c>
      <c r="G16" s="108">
        <v>1.48148148148148</v>
      </c>
      <c r="H16" s="109">
        <v>1260</v>
      </c>
      <c r="I16" s="110">
        <v>1146.345654</v>
      </c>
      <c r="J16" s="111">
        <v>0.909798138095237</v>
      </c>
      <c r="K16" s="110">
        <v>475</v>
      </c>
      <c r="L16" s="110">
        <v>141.254189453125</v>
      </c>
      <c r="M16" s="111">
        <v>0.297377240953947</v>
      </c>
      <c r="N16" s="107">
        <v>32</v>
      </c>
      <c r="O16" s="107">
        <v>7</v>
      </c>
      <c r="P16" s="108">
        <v>0.21875</v>
      </c>
      <c r="Q16" s="109">
        <v>500</v>
      </c>
      <c r="R16" s="110">
        <v>103.028143</v>
      </c>
      <c r="S16" s="111">
        <v>0.206056286</v>
      </c>
      <c r="T16" s="112">
        <v>32</v>
      </c>
      <c r="U16" s="113">
        <v>11</v>
      </c>
      <c r="V16" s="114">
        <v>0.34375</v>
      </c>
      <c r="W16" s="115">
        <v>500</v>
      </c>
      <c r="X16" s="116">
        <v>141.800303</v>
      </c>
      <c r="Y16" s="114">
        <v>0.283600606</v>
      </c>
      <c r="Z16" s="117">
        <v>0</v>
      </c>
      <c r="AA16" s="118">
        <v>0</v>
      </c>
      <c r="AB16" s="118">
        <v>0</v>
      </c>
      <c r="AC16" s="118">
        <v>0</v>
      </c>
      <c r="AD16" s="118">
        <v>0</v>
      </c>
      <c r="AE16" s="118">
        <v>0</v>
      </c>
      <c r="AF16" s="107">
        <v>7</v>
      </c>
      <c r="AG16" s="98" t="s">
        <v>134</v>
      </c>
    </row>
    <row r="17" s="79" customFormat="1" ht="24.95" customHeight="1" spans="1:33">
      <c r="A17" s="104">
        <v>12</v>
      </c>
      <c r="B17" s="104" t="s">
        <v>31</v>
      </c>
      <c r="C17" s="105" t="s">
        <v>17</v>
      </c>
      <c r="D17" s="44" t="s">
        <v>46</v>
      </c>
      <c r="E17" s="106">
        <v>581</v>
      </c>
      <c r="F17" s="107">
        <v>333</v>
      </c>
      <c r="G17" s="108">
        <v>0.573149741824441</v>
      </c>
      <c r="H17" s="109">
        <v>5575.68</v>
      </c>
      <c r="I17" s="110">
        <v>2673.478933</v>
      </c>
      <c r="J17" s="111">
        <v>0.479489305878387</v>
      </c>
      <c r="K17" s="110">
        <v>2188.8</v>
      </c>
      <c r="L17" s="110">
        <v>878.687745001221</v>
      </c>
      <c r="M17" s="111">
        <v>0.401447251919417</v>
      </c>
      <c r="N17" s="107">
        <v>239</v>
      </c>
      <c r="O17" s="107">
        <v>76</v>
      </c>
      <c r="P17" s="108">
        <v>0.317991631799163</v>
      </c>
      <c r="Q17" s="109">
        <v>2304</v>
      </c>
      <c r="R17" s="110">
        <v>710.990814</v>
      </c>
      <c r="S17" s="111">
        <v>0.308589763020833</v>
      </c>
      <c r="T17" s="112">
        <v>239</v>
      </c>
      <c r="U17" s="113">
        <v>127</v>
      </c>
      <c r="V17" s="114">
        <v>0.531380753138075</v>
      </c>
      <c r="W17" s="115">
        <v>2304</v>
      </c>
      <c r="X17" s="116">
        <v>1179.804987</v>
      </c>
      <c r="Y17" s="114">
        <v>0.51206813671875</v>
      </c>
      <c r="Z17" s="117">
        <v>58</v>
      </c>
      <c r="AA17" s="118">
        <v>218.912954</v>
      </c>
      <c r="AB17" s="118">
        <v>1</v>
      </c>
      <c r="AC17" s="118">
        <v>7.04055</v>
      </c>
      <c r="AD17" s="118">
        <v>0</v>
      </c>
      <c r="AE17" s="118">
        <v>0</v>
      </c>
      <c r="AF17" s="107">
        <v>65</v>
      </c>
      <c r="AG17" s="98" t="s">
        <v>135</v>
      </c>
    </row>
    <row r="18" s="79" customFormat="1" ht="24.95" customHeight="1" spans="1:33">
      <c r="A18" s="104">
        <v>13</v>
      </c>
      <c r="B18" s="104" t="s">
        <v>37</v>
      </c>
      <c r="C18" s="105" t="s">
        <v>17</v>
      </c>
      <c r="D18" s="50" t="s">
        <v>47</v>
      </c>
      <c r="E18" s="106">
        <v>207</v>
      </c>
      <c r="F18" s="107">
        <v>190</v>
      </c>
      <c r="G18" s="108">
        <v>0.917874396135266</v>
      </c>
      <c r="H18" s="109">
        <v>2082.5</v>
      </c>
      <c r="I18" s="110">
        <v>1489.262733</v>
      </c>
      <c r="J18" s="111">
        <v>0.71513216470588</v>
      </c>
      <c r="K18" s="110">
        <v>807.5</v>
      </c>
      <c r="L18" s="110">
        <v>216.725000650787</v>
      </c>
      <c r="M18" s="111">
        <v>0.268390093685185</v>
      </c>
      <c r="N18" s="107">
        <v>85</v>
      </c>
      <c r="O18" s="107">
        <v>28</v>
      </c>
      <c r="P18" s="108">
        <v>0.329411764705882</v>
      </c>
      <c r="Q18" s="109">
        <v>850</v>
      </c>
      <c r="R18" s="110">
        <v>205.507095</v>
      </c>
      <c r="S18" s="111">
        <v>0.241773052941176</v>
      </c>
      <c r="T18" s="112">
        <v>85</v>
      </c>
      <c r="U18" s="113">
        <v>55</v>
      </c>
      <c r="V18" s="114">
        <v>0.647058823529412</v>
      </c>
      <c r="W18" s="115">
        <v>850</v>
      </c>
      <c r="X18" s="116">
        <v>377.966388</v>
      </c>
      <c r="Y18" s="114">
        <v>0.444666338823529</v>
      </c>
      <c r="Z18" s="117">
        <v>0</v>
      </c>
      <c r="AA18" s="118">
        <v>0</v>
      </c>
      <c r="AB18" s="118">
        <v>0</v>
      </c>
      <c r="AC18" s="118">
        <v>0</v>
      </c>
      <c r="AD18" s="118">
        <v>0</v>
      </c>
      <c r="AE18" s="118">
        <v>0</v>
      </c>
      <c r="AF18" s="123">
        <v>31</v>
      </c>
      <c r="AG18" s="98" t="s">
        <v>136</v>
      </c>
    </row>
    <row r="19" s="79" customFormat="1" ht="24" customHeight="1" spans="1:33">
      <c r="A19" s="104">
        <v>14</v>
      </c>
      <c r="B19" s="104" t="s">
        <v>40</v>
      </c>
      <c r="C19" s="105" t="s">
        <v>17</v>
      </c>
      <c r="D19" s="44" t="s">
        <v>48</v>
      </c>
      <c r="E19" s="106">
        <v>145</v>
      </c>
      <c r="F19" s="107">
        <v>94</v>
      </c>
      <c r="G19" s="108">
        <v>0.648275862068965</v>
      </c>
      <c r="H19" s="109">
        <v>1500</v>
      </c>
      <c r="I19" s="110">
        <v>640.206475999999</v>
      </c>
      <c r="J19" s="111">
        <v>0.426804317333333</v>
      </c>
      <c r="K19" s="110">
        <v>570</v>
      </c>
      <c r="L19" s="110">
        <v>145.367398813629</v>
      </c>
      <c r="M19" s="111">
        <v>0.255030524234437</v>
      </c>
      <c r="N19" s="107">
        <v>60</v>
      </c>
      <c r="O19" s="107">
        <v>14</v>
      </c>
      <c r="P19" s="108">
        <v>0.233333333333333</v>
      </c>
      <c r="Q19" s="109">
        <v>600</v>
      </c>
      <c r="R19" s="110">
        <v>92.894521</v>
      </c>
      <c r="S19" s="111">
        <v>0.154824201666667</v>
      </c>
      <c r="T19" s="112">
        <v>60</v>
      </c>
      <c r="U19" s="113">
        <v>23</v>
      </c>
      <c r="V19" s="114">
        <v>0.383333333333333</v>
      </c>
      <c r="W19" s="115">
        <v>600</v>
      </c>
      <c r="X19" s="116">
        <v>151.082596</v>
      </c>
      <c r="Y19" s="114">
        <v>0.251804326666667</v>
      </c>
      <c r="Z19" s="117">
        <v>0</v>
      </c>
      <c r="AA19" s="118">
        <v>0</v>
      </c>
      <c r="AB19" s="118">
        <v>0</v>
      </c>
      <c r="AC19" s="118">
        <v>0</v>
      </c>
      <c r="AD19" s="118">
        <v>0</v>
      </c>
      <c r="AE19" s="118">
        <v>0</v>
      </c>
      <c r="AF19" s="107">
        <v>9</v>
      </c>
      <c r="AG19" s="98" t="s">
        <v>137</v>
      </c>
    </row>
    <row r="20" s="79" customFormat="1" ht="24.95" customHeight="1" spans="1:33">
      <c r="A20" s="104">
        <v>15</v>
      </c>
      <c r="B20" s="104" t="s">
        <v>49</v>
      </c>
      <c r="C20" s="105" t="s">
        <v>17</v>
      </c>
      <c r="D20" s="44" t="s">
        <v>50</v>
      </c>
      <c r="E20" s="106">
        <v>81</v>
      </c>
      <c r="F20" s="107">
        <v>63</v>
      </c>
      <c r="G20" s="108">
        <v>0.777777777777778</v>
      </c>
      <c r="H20" s="109">
        <v>735</v>
      </c>
      <c r="I20" s="110">
        <v>440.842395</v>
      </c>
      <c r="J20" s="111">
        <v>0.599785571428571</v>
      </c>
      <c r="K20" s="110">
        <v>285</v>
      </c>
      <c r="L20" s="110">
        <v>106.225368108082</v>
      </c>
      <c r="M20" s="111">
        <v>0.372720589852919</v>
      </c>
      <c r="N20" s="107">
        <v>33</v>
      </c>
      <c r="O20" s="107">
        <v>15</v>
      </c>
      <c r="P20" s="108">
        <v>0.454545454545455</v>
      </c>
      <c r="Q20" s="109">
        <v>300</v>
      </c>
      <c r="R20" s="110">
        <v>130.544984</v>
      </c>
      <c r="S20" s="111">
        <v>0.435149946666667</v>
      </c>
      <c r="T20" s="112">
        <v>33</v>
      </c>
      <c r="U20" s="113">
        <v>23</v>
      </c>
      <c r="V20" s="114">
        <v>0.696969696969697</v>
      </c>
      <c r="W20" s="115">
        <v>300</v>
      </c>
      <c r="X20" s="116">
        <v>138.677718</v>
      </c>
      <c r="Y20" s="114">
        <v>0.46225906</v>
      </c>
      <c r="Z20" s="117">
        <v>0</v>
      </c>
      <c r="AA20" s="118">
        <v>0</v>
      </c>
      <c r="AB20" s="118">
        <v>0</v>
      </c>
      <c r="AC20" s="118">
        <v>0</v>
      </c>
      <c r="AD20" s="118">
        <v>0</v>
      </c>
      <c r="AE20" s="118">
        <v>0</v>
      </c>
      <c r="AF20" s="107">
        <v>15</v>
      </c>
      <c r="AG20" s="98" t="s">
        <v>138</v>
      </c>
    </row>
    <row r="21" s="79" customFormat="1" ht="24.95" customHeight="1" spans="1:33">
      <c r="A21" s="104">
        <v>16</v>
      </c>
      <c r="B21" s="104" t="s">
        <v>49</v>
      </c>
      <c r="C21" s="105" t="s">
        <v>17</v>
      </c>
      <c r="D21" s="44" t="s">
        <v>51</v>
      </c>
      <c r="E21" s="106">
        <v>127</v>
      </c>
      <c r="F21" s="107">
        <v>102</v>
      </c>
      <c r="G21" s="108">
        <v>0.803149606299213</v>
      </c>
      <c r="H21" s="109">
        <v>980</v>
      </c>
      <c r="I21" s="110">
        <v>827.415095</v>
      </c>
      <c r="J21" s="111">
        <v>0.844301117346939</v>
      </c>
      <c r="K21" s="110">
        <v>380</v>
      </c>
      <c r="L21" s="110">
        <v>263.336003320313</v>
      </c>
      <c r="M21" s="111">
        <v>0.692989482421876</v>
      </c>
      <c r="N21" s="107">
        <v>52</v>
      </c>
      <c r="O21" s="107">
        <v>34</v>
      </c>
      <c r="P21" s="108">
        <v>0.653846153846154</v>
      </c>
      <c r="Q21" s="109">
        <v>400</v>
      </c>
      <c r="R21" s="110">
        <v>230.805293</v>
      </c>
      <c r="S21" s="111">
        <v>0.5770132325</v>
      </c>
      <c r="T21" s="112">
        <v>52</v>
      </c>
      <c r="U21" s="113">
        <v>44</v>
      </c>
      <c r="V21" s="114">
        <v>0.846153846153846</v>
      </c>
      <c r="W21" s="115">
        <v>400</v>
      </c>
      <c r="X21" s="116">
        <v>316.305293</v>
      </c>
      <c r="Y21" s="114">
        <v>0.7907632325</v>
      </c>
      <c r="Z21" s="117">
        <v>0</v>
      </c>
      <c r="AA21" s="118">
        <v>0</v>
      </c>
      <c r="AB21" s="118">
        <v>0</v>
      </c>
      <c r="AC21" s="118">
        <v>0</v>
      </c>
      <c r="AD21" s="118">
        <v>0</v>
      </c>
      <c r="AE21" s="118">
        <v>0</v>
      </c>
      <c r="AF21" s="107">
        <v>0</v>
      </c>
      <c r="AG21" s="98" t="s">
        <v>139</v>
      </c>
    </row>
    <row r="22" s="79" customFormat="1" ht="24.95" customHeight="1" spans="1:33">
      <c r="A22" s="104">
        <v>17</v>
      </c>
      <c r="B22" s="104" t="s">
        <v>40</v>
      </c>
      <c r="C22" s="105" t="s">
        <v>17</v>
      </c>
      <c r="D22" s="44" t="s">
        <v>52</v>
      </c>
      <c r="E22" s="106">
        <v>73</v>
      </c>
      <c r="F22" s="107">
        <v>106</v>
      </c>
      <c r="G22" s="108">
        <v>1.45205479452055</v>
      </c>
      <c r="H22" s="109">
        <v>816.66666655</v>
      </c>
      <c r="I22" s="110">
        <v>650.044039</v>
      </c>
      <c r="J22" s="111">
        <v>0.795972292766772</v>
      </c>
      <c r="K22" s="110">
        <v>332.5</v>
      </c>
      <c r="L22" s="110">
        <v>181.594922898102</v>
      </c>
      <c r="M22" s="111">
        <v>0.546150144054442</v>
      </c>
      <c r="N22" s="107">
        <v>32</v>
      </c>
      <c r="O22" s="107">
        <v>28</v>
      </c>
      <c r="P22" s="108">
        <v>0.875</v>
      </c>
      <c r="Q22" s="109">
        <v>350</v>
      </c>
      <c r="R22" s="110">
        <v>182.944513</v>
      </c>
      <c r="S22" s="111">
        <v>0.522698608571429</v>
      </c>
      <c r="T22" s="112">
        <v>32</v>
      </c>
      <c r="U22" s="113">
        <v>68</v>
      </c>
      <c r="V22" s="114">
        <v>2.125</v>
      </c>
      <c r="W22" s="115">
        <v>350</v>
      </c>
      <c r="X22" s="116">
        <v>367.831441</v>
      </c>
      <c r="Y22" s="114">
        <v>1.05094697428571</v>
      </c>
      <c r="Z22" s="117">
        <v>3</v>
      </c>
      <c r="AA22" s="118">
        <v>14.791786</v>
      </c>
      <c r="AB22" s="118">
        <v>3</v>
      </c>
      <c r="AC22" s="118">
        <v>14.791786</v>
      </c>
      <c r="AD22" s="118">
        <v>4</v>
      </c>
      <c r="AE22" s="118">
        <v>20.027952</v>
      </c>
      <c r="AF22" s="107">
        <v>52</v>
      </c>
      <c r="AG22" s="98" t="s">
        <v>140</v>
      </c>
    </row>
    <row r="23" s="79" customFormat="1" ht="24.95" customHeight="1" spans="1:33">
      <c r="A23" s="104">
        <v>18</v>
      </c>
      <c r="B23" s="104" t="s">
        <v>49</v>
      </c>
      <c r="C23" s="105" t="s">
        <v>17</v>
      </c>
      <c r="D23" s="44" t="s">
        <v>53</v>
      </c>
      <c r="E23" s="106">
        <v>44</v>
      </c>
      <c r="F23" s="107">
        <v>0</v>
      </c>
      <c r="G23" s="108">
        <v>0</v>
      </c>
      <c r="H23" s="109">
        <v>490</v>
      </c>
      <c r="I23" s="110">
        <v>0</v>
      </c>
      <c r="J23" s="111">
        <v>0</v>
      </c>
      <c r="K23" s="110">
        <v>190</v>
      </c>
      <c r="L23" s="110">
        <v>0</v>
      </c>
      <c r="M23" s="111">
        <v>0</v>
      </c>
      <c r="N23" s="107">
        <v>20</v>
      </c>
      <c r="O23" s="107">
        <v>0</v>
      </c>
      <c r="P23" s="108">
        <v>0</v>
      </c>
      <c r="Q23" s="109">
        <v>200</v>
      </c>
      <c r="R23" s="110">
        <v>0</v>
      </c>
      <c r="S23" s="111">
        <v>0</v>
      </c>
      <c r="T23" s="112">
        <v>20</v>
      </c>
      <c r="U23" s="113">
        <v>0</v>
      </c>
      <c r="V23" s="114">
        <v>0</v>
      </c>
      <c r="W23" s="115">
        <v>200</v>
      </c>
      <c r="X23" s="116">
        <v>0</v>
      </c>
      <c r="Y23" s="114">
        <v>0</v>
      </c>
      <c r="Z23" s="117">
        <v>0</v>
      </c>
      <c r="AA23" s="118">
        <v>0</v>
      </c>
      <c r="AB23" s="118">
        <v>0</v>
      </c>
      <c r="AC23" s="118">
        <v>0</v>
      </c>
      <c r="AD23" s="118">
        <v>0</v>
      </c>
      <c r="AE23" s="118">
        <v>0</v>
      </c>
      <c r="AF23" s="107">
        <v>0</v>
      </c>
      <c r="AG23" s="98" t="s">
        <v>138</v>
      </c>
    </row>
    <row r="24" s="79" customFormat="1" ht="24.95" customHeight="1" spans="1:33">
      <c r="A24" s="119" t="s">
        <v>54</v>
      </c>
      <c r="B24" s="119"/>
      <c r="C24" s="119"/>
      <c r="D24" s="104"/>
      <c r="E24" s="120">
        <v>1339</v>
      </c>
      <c r="F24" s="120">
        <v>1008</v>
      </c>
      <c r="G24" s="121">
        <v>0.752800597460792</v>
      </c>
      <c r="H24" s="120">
        <v>13439.84666655</v>
      </c>
      <c r="I24" s="120">
        <v>7867.595325</v>
      </c>
      <c r="J24" s="121">
        <v>0.585393235518185</v>
      </c>
      <c r="K24" s="120">
        <v>5228.8</v>
      </c>
      <c r="L24" s="120">
        <v>1933.19062824526</v>
      </c>
      <c r="M24" s="121">
        <v>0.369719749893906</v>
      </c>
      <c r="N24" s="120">
        <v>553</v>
      </c>
      <c r="O24" s="120">
        <v>202</v>
      </c>
      <c r="P24" s="121">
        <v>0.365280289330922</v>
      </c>
      <c r="Q24" s="120">
        <v>5504</v>
      </c>
      <c r="R24" s="120">
        <v>1656.715363</v>
      </c>
      <c r="S24" s="121">
        <v>0.301002064498546</v>
      </c>
      <c r="T24" s="120">
        <v>553</v>
      </c>
      <c r="U24" s="120">
        <v>351</v>
      </c>
      <c r="V24" s="121">
        <v>0.634719710669078</v>
      </c>
      <c r="W24" s="120">
        <v>5504</v>
      </c>
      <c r="X24" s="120">
        <v>2673.468726</v>
      </c>
      <c r="Y24" s="121">
        <v>0.485731963299419</v>
      </c>
      <c r="Z24" s="120">
        <v>61</v>
      </c>
      <c r="AA24" s="120">
        <v>233.70474</v>
      </c>
      <c r="AB24" s="120">
        <v>4</v>
      </c>
      <c r="AC24" s="120">
        <v>21.832336</v>
      </c>
      <c r="AD24" s="120">
        <v>4</v>
      </c>
      <c r="AE24" s="120">
        <v>20.027952</v>
      </c>
      <c r="AF24" s="120">
        <v>179</v>
      </c>
      <c r="AG24" s="122" t="s">
        <v>141</v>
      </c>
    </row>
    <row r="25" s="79" customFormat="1" ht="24.95" customHeight="1" spans="1:33">
      <c r="A25" s="104">
        <v>19</v>
      </c>
      <c r="B25" s="104" t="s">
        <v>49</v>
      </c>
      <c r="C25" s="105" t="s">
        <v>18</v>
      </c>
      <c r="D25" s="35" t="s">
        <v>55</v>
      </c>
      <c r="E25" s="106">
        <v>54</v>
      </c>
      <c r="F25" s="107">
        <v>34</v>
      </c>
      <c r="G25" s="108">
        <v>0.62962962962963</v>
      </c>
      <c r="H25" s="109">
        <v>540</v>
      </c>
      <c r="I25" s="110">
        <v>293.5572</v>
      </c>
      <c r="J25" s="111">
        <v>0.543624444444444</v>
      </c>
      <c r="K25" s="110">
        <v>250.955281626998</v>
      </c>
      <c r="L25" s="110">
        <v>40.617</v>
      </c>
      <c r="M25" s="111">
        <v>0.161849552385075</v>
      </c>
      <c r="N25" s="107">
        <v>32</v>
      </c>
      <c r="O25" s="107">
        <v>6</v>
      </c>
      <c r="P25" s="108">
        <v>0.1875</v>
      </c>
      <c r="Q25" s="109">
        <v>264.163454344208</v>
      </c>
      <c r="R25" s="110">
        <v>55.4871</v>
      </c>
      <c r="S25" s="111">
        <v>0.210048358648807</v>
      </c>
      <c r="T25" s="112">
        <v>32</v>
      </c>
      <c r="U25" s="113">
        <v>4</v>
      </c>
      <c r="V25" s="114">
        <v>0.125</v>
      </c>
      <c r="W25" s="115">
        <v>264.163454344208</v>
      </c>
      <c r="X25" s="116">
        <v>36.2572</v>
      </c>
      <c r="Y25" s="114">
        <v>0.137252899308155</v>
      </c>
      <c r="Z25" s="117">
        <v>0</v>
      </c>
      <c r="AA25" s="118">
        <v>0</v>
      </c>
      <c r="AB25" s="118">
        <v>0</v>
      </c>
      <c r="AC25" s="118">
        <v>0</v>
      </c>
      <c r="AD25" s="118">
        <v>0</v>
      </c>
      <c r="AE25" s="118">
        <v>0</v>
      </c>
      <c r="AF25" s="107">
        <v>10</v>
      </c>
      <c r="AG25" s="98" t="s">
        <v>142</v>
      </c>
    </row>
    <row r="26" s="79" customFormat="1" ht="24.95" customHeight="1" spans="1:33">
      <c r="A26" s="104">
        <v>20</v>
      </c>
      <c r="B26" s="104" t="s">
        <v>31</v>
      </c>
      <c r="C26" s="105" t="s">
        <v>18</v>
      </c>
      <c r="D26" s="44" t="s">
        <v>56</v>
      </c>
      <c r="E26" s="106">
        <v>277</v>
      </c>
      <c r="F26" s="107">
        <v>139</v>
      </c>
      <c r="G26" s="108">
        <v>0.501805054151625</v>
      </c>
      <c r="H26" s="109">
        <v>6100</v>
      </c>
      <c r="I26" s="110">
        <v>4029.514513</v>
      </c>
      <c r="J26" s="111">
        <v>0.660576149672131</v>
      </c>
      <c r="K26" s="110">
        <v>2045.35</v>
      </c>
      <c r="L26" s="110">
        <v>7043.0836796875</v>
      </c>
      <c r="M26" s="111">
        <v>3.44346135364974</v>
      </c>
      <c r="N26" s="107">
        <v>101</v>
      </c>
      <c r="O26" s="107">
        <v>41</v>
      </c>
      <c r="P26" s="108">
        <v>0.405940594059406</v>
      </c>
      <c r="Q26" s="109">
        <v>2153</v>
      </c>
      <c r="R26" s="110">
        <v>859.121188</v>
      </c>
      <c r="S26" s="111">
        <v>0.399034457965629</v>
      </c>
      <c r="T26" s="112">
        <v>101</v>
      </c>
      <c r="U26" s="113">
        <v>4</v>
      </c>
      <c r="V26" s="114">
        <v>0.0396039603960396</v>
      </c>
      <c r="W26" s="115">
        <v>2153</v>
      </c>
      <c r="X26" s="116">
        <v>82.68604288</v>
      </c>
      <c r="Y26" s="114">
        <v>0.0384050361727822</v>
      </c>
      <c r="Z26" s="117">
        <v>2</v>
      </c>
      <c r="AA26" s="118">
        <v>30.085958</v>
      </c>
      <c r="AB26" s="118">
        <v>0</v>
      </c>
      <c r="AC26" s="118">
        <v>0</v>
      </c>
      <c r="AD26" s="118">
        <v>0</v>
      </c>
      <c r="AE26" s="118">
        <v>0</v>
      </c>
      <c r="AF26" s="107">
        <v>2</v>
      </c>
      <c r="AG26" s="98" t="s">
        <v>143</v>
      </c>
    </row>
    <row r="27" s="79" customFormat="1" ht="24.95" customHeight="1" spans="1:33">
      <c r="A27" s="104">
        <v>21</v>
      </c>
      <c r="B27" s="104" t="s">
        <v>31</v>
      </c>
      <c r="C27" s="105" t="s">
        <v>18</v>
      </c>
      <c r="D27" s="35" t="s">
        <v>57</v>
      </c>
      <c r="E27" s="106">
        <v>566</v>
      </c>
      <c r="F27" s="107">
        <v>407</v>
      </c>
      <c r="G27" s="108">
        <v>0.719081272084806</v>
      </c>
      <c r="H27" s="109">
        <v>20400</v>
      </c>
      <c r="I27" s="110">
        <v>11786.294293</v>
      </c>
      <c r="J27" s="111">
        <v>0.577759524166668</v>
      </c>
      <c r="K27" s="110">
        <v>8075</v>
      </c>
      <c r="L27" s="110">
        <v>34.7496656982422</v>
      </c>
      <c r="M27" s="111">
        <v>0.00430336417315693</v>
      </c>
      <c r="N27" s="107">
        <v>260</v>
      </c>
      <c r="O27" s="107">
        <v>172</v>
      </c>
      <c r="P27" s="108">
        <v>0.661538461538462</v>
      </c>
      <c r="Q27" s="109">
        <v>8500</v>
      </c>
      <c r="R27" s="110">
        <v>7959.482402</v>
      </c>
      <c r="S27" s="111">
        <v>0.936409694352941</v>
      </c>
      <c r="T27" s="112">
        <v>260</v>
      </c>
      <c r="U27" s="113">
        <v>202</v>
      </c>
      <c r="V27" s="114">
        <v>0.776923076923077</v>
      </c>
      <c r="W27" s="115">
        <v>8500</v>
      </c>
      <c r="X27" s="116">
        <v>9410.61429753001</v>
      </c>
      <c r="Y27" s="114">
        <v>1.10713109382706</v>
      </c>
      <c r="Z27" s="117">
        <v>0</v>
      </c>
      <c r="AA27" s="118">
        <v>0</v>
      </c>
      <c r="AB27" s="118">
        <v>0</v>
      </c>
      <c r="AC27" s="118">
        <v>0</v>
      </c>
      <c r="AD27" s="118">
        <v>0</v>
      </c>
      <c r="AE27" s="118">
        <v>0</v>
      </c>
      <c r="AF27" s="107">
        <v>63</v>
      </c>
      <c r="AG27" s="98" t="s">
        <v>144</v>
      </c>
    </row>
    <row r="28" s="79" customFormat="1" ht="24.95" customHeight="1" spans="1:33">
      <c r="A28" s="104">
        <v>22</v>
      </c>
      <c r="B28" s="104" t="s">
        <v>49</v>
      </c>
      <c r="C28" s="105" t="s">
        <v>18</v>
      </c>
      <c r="D28" s="35" t="s">
        <v>58</v>
      </c>
      <c r="E28" s="106">
        <v>90</v>
      </c>
      <c r="F28" s="107">
        <v>31</v>
      </c>
      <c r="G28" s="108">
        <v>0.344444444444444</v>
      </c>
      <c r="H28" s="109">
        <v>840</v>
      </c>
      <c r="I28" s="110">
        <v>403.515069</v>
      </c>
      <c r="J28" s="111">
        <v>0.480375082142857</v>
      </c>
      <c r="K28" s="110">
        <v>190</v>
      </c>
      <c r="L28" s="110">
        <v>82.4431489593506</v>
      </c>
      <c r="M28" s="111">
        <v>0.433911310312371</v>
      </c>
      <c r="N28" s="107">
        <v>25</v>
      </c>
      <c r="O28" s="107">
        <v>6</v>
      </c>
      <c r="P28" s="108">
        <v>0.24</v>
      </c>
      <c r="Q28" s="109">
        <v>200</v>
      </c>
      <c r="R28" s="110">
        <v>71.395715</v>
      </c>
      <c r="S28" s="111">
        <v>0.356978575</v>
      </c>
      <c r="T28" s="112">
        <v>25</v>
      </c>
      <c r="U28" s="113">
        <v>7</v>
      </c>
      <c r="V28" s="114">
        <v>0.28</v>
      </c>
      <c r="W28" s="115">
        <v>200</v>
      </c>
      <c r="X28" s="116">
        <v>85.253351</v>
      </c>
      <c r="Y28" s="114">
        <v>0.426266755</v>
      </c>
      <c r="Z28" s="117">
        <v>4</v>
      </c>
      <c r="AA28" s="118">
        <v>8.181402</v>
      </c>
      <c r="AB28" s="118">
        <v>2</v>
      </c>
      <c r="AC28" s="118">
        <v>4.88212</v>
      </c>
      <c r="AD28" s="118">
        <v>0</v>
      </c>
      <c r="AE28" s="118">
        <v>0</v>
      </c>
      <c r="AF28" s="107">
        <v>5</v>
      </c>
      <c r="AG28" s="98" t="s">
        <v>145</v>
      </c>
    </row>
    <row r="29" s="79" customFormat="1" ht="24.95" customHeight="1" spans="1:33">
      <c r="A29" s="104">
        <v>23</v>
      </c>
      <c r="B29" s="104" t="s">
        <v>49</v>
      </c>
      <c r="C29" s="105" t="s">
        <v>18</v>
      </c>
      <c r="D29" s="44" t="s">
        <v>59</v>
      </c>
      <c r="E29" s="106">
        <v>136</v>
      </c>
      <c r="F29" s="107">
        <v>84</v>
      </c>
      <c r="G29" s="108">
        <v>0.617647058823529</v>
      </c>
      <c r="H29" s="109">
        <v>1200</v>
      </c>
      <c r="I29" s="110">
        <v>788.4147</v>
      </c>
      <c r="J29" s="111">
        <v>0.65701225</v>
      </c>
      <c r="K29" s="110">
        <v>285</v>
      </c>
      <c r="L29" s="110">
        <v>141.106999921799</v>
      </c>
      <c r="M29" s="111">
        <v>0.495112280427364</v>
      </c>
      <c r="N29" s="107">
        <v>36</v>
      </c>
      <c r="O29" s="107">
        <v>14</v>
      </c>
      <c r="P29" s="108">
        <v>0.388888888888889</v>
      </c>
      <c r="Q29" s="109">
        <v>300</v>
      </c>
      <c r="R29" s="110">
        <v>112.02</v>
      </c>
      <c r="S29" s="111">
        <v>0.3734</v>
      </c>
      <c r="T29" s="112">
        <v>36</v>
      </c>
      <c r="U29" s="113">
        <v>25</v>
      </c>
      <c r="V29" s="114">
        <v>0.694444444444444</v>
      </c>
      <c r="W29" s="115">
        <v>300</v>
      </c>
      <c r="X29" s="116">
        <v>200.5847</v>
      </c>
      <c r="Y29" s="114">
        <v>0.668615666666667</v>
      </c>
      <c r="Z29" s="117">
        <v>0</v>
      </c>
      <c r="AA29" s="118">
        <v>0</v>
      </c>
      <c r="AB29" s="118">
        <v>0</v>
      </c>
      <c r="AC29" s="118">
        <v>0</v>
      </c>
      <c r="AD29" s="118">
        <v>0</v>
      </c>
      <c r="AE29" s="118">
        <v>0</v>
      </c>
      <c r="AF29" s="107">
        <v>11</v>
      </c>
      <c r="AG29" s="98" t="s">
        <v>146</v>
      </c>
    </row>
    <row r="30" s="79" customFormat="1" ht="24.95" customHeight="1" spans="1:33">
      <c r="A30" s="104">
        <v>24</v>
      </c>
      <c r="B30" s="104" t="s">
        <v>49</v>
      </c>
      <c r="C30" s="105" t="s">
        <v>18</v>
      </c>
      <c r="D30" s="44" t="s">
        <v>60</v>
      </c>
      <c r="E30" s="106">
        <v>40</v>
      </c>
      <c r="F30" s="107">
        <v>14</v>
      </c>
      <c r="G30" s="108">
        <v>0.35</v>
      </c>
      <c r="H30" s="109">
        <v>200</v>
      </c>
      <c r="I30" s="110">
        <v>112.9114</v>
      </c>
      <c r="J30" s="111">
        <v>0.564557</v>
      </c>
      <c r="K30" s="110">
        <v>190</v>
      </c>
      <c r="L30" s="110">
        <v>0</v>
      </c>
      <c r="M30" s="111">
        <v>0</v>
      </c>
      <c r="N30" s="107">
        <v>36</v>
      </c>
      <c r="O30" s="107">
        <v>0</v>
      </c>
      <c r="P30" s="108">
        <v>0</v>
      </c>
      <c r="Q30" s="109">
        <v>200</v>
      </c>
      <c r="R30" s="110">
        <v>0</v>
      </c>
      <c r="S30" s="111">
        <v>0</v>
      </c>
      <c r="T30" s="112">
        <v>36</v>
      </c>
      <c r="U30" s="113">
        <v>0</v>
      </c>
      <c r="V30" s="114">
        <v>0</v>
      </c>
      <c r="W30" s="115">
        <v>200</v>
      </c>
      <c r="X30" s="116">
        <v>0</v>
      </c>
      <c r="Y30" s="114">
        <v>0</v>
      </c>
      <c r="Z30" s="117">
        <v>0</v>
      </c>
      <c r="AA30" s="118">
        <v>0</v>
      </c>
      <c r="AB30" s="118">
        <v>0</v>
      </c>
      <c r="AC30" s="118">
        <v>0</v>
      </c>
      <c r="AD30" s="118">
        <v>0</v>
      </c>
      <c r="AE30" s="118">
        <v>0</v>
      </c>
      <c r="AF30" s="107">
        <v>0</v>
      </c>
      <c r="AG30" s="98" t="s">
        <v>145</v>
      </c>
    </row>
    <row r="31" s="79" customFormat="1" ht="24.95" customHeight="1" spans="1:33">
      <c r="A31" s="104">
        <v>25</v>
      </c>
      <c r="B31" s="104" t="s">
        <v>37</v>
      </c>
      <c r="C31" s="105" t="s">
        <v>18</v>
      </c>
      <c r="D31" s="44" t="s">
        <v>61</v>
      </c>
      <c r="E31" s="106">
        <v>109</v>
      </c>
      <c r="F31" s="107">
        <v>53</v>
      </c>
      <c r="G31" s="108">
        <v>0.486238532110092</v>
      </c>
      <c r="H31" s="109">
        <v>900</v>
      </c>
      <c r="I31" s="110">
        <v>865.4601</v>
      </c>
      <c r="J31" s="111">
        <v>0.961622333333333</v>
      </c>
      <c r="K31" s="110">
        <v>494.95</v>
      </c>
      <c r="L31" s="110">
        <v>230.094579882813</v>
      </c>
      <c r="M31" s="111">
        <v>0.464884493146404</v>
      </c>
      <c r="N31" s="107">
        <v>61</v>
      </c>
      <c r="O31" s="107">
        <v>22</v>
      </c>
      <c r="P31" s="108">
        <v>0.360655737704918</v>
      </c>
      <c r="Q31" s="109">
        <v>521</v>
      </c>
      <c r="R31" s="110">
        <v>455.1201</v>
      </c>
      <c r="S31" s="111">
        <v>0.873551055662188</v>
      </c>
      <c r="T31" s="112">
        <v>61</v>
      </c>
      <c r="U31" s="113">
        <v>29</v>
      </c>
      <c r="V31" s="114">
        <v>0.475409836065574</v>
      </c>
      <c r="W31" s="115">
        <v>521</v>
      </c>
      <c r="X31" s="116">
        <v>624.5801</v>
      </c>
      <c r="Y31" s="114">
        <v>1.19881017274472</v>
      </c>
      <c r="Z31" s="117">
        <v>0</v>
      </c>
      <c r="AA31" s="118">
        <v>0</v>
      </c>
      <c r="AB31" s="118">
        <v>0</v>
      </c>
      <c r="AC31" s="118">
        <v>0</v>
      </c>
      <c r="AD31" s="118">
        <v>0</v>
      </c>
      <c r="AE31" s="118">
        <v>0</v>
      </c>
      <c r="AF31" s="107">
        <v>9</v>
      </c>
      <c r="AG31" s="98" t="s">
        <v>147</v>
      </c>
    </row>
    <row r="32" s="79" customFormat="1" ht="24.95" customHeight="1" spans="1:33">
      <c r="A32" s="104">
        <v>26</v>
      </c>
      <c r="B32" s="104" t="s">
        <v>49</v>
      </c>
      <c r="C32" s="105" t="s">
        <v>18</v>
      </c>
      <c r="D32" s="44" t="s">
        <v>62</v>
      </c>
      <c r="E32" s="106">
        <v>36</v>
      </c>
      <c r="F32" s="107">
        <v>32</v>
      </c>
      <c r="G32" s="108">
        <v>0.888888888888889</v>
      </c>
      <c r="H32" s="109">
        <v>630</v>
      </c>
      <c r="I32" s="110">
        <v>385.904166</v>
      </c>
      <c r="J32" s="111">
        <v>0.612546295238095</v>
      </c>
      <c r="K32" s="110">
        <v>250.955281626998</v>
      </c>
      <c r="L32" s="110">
        <v>1506.73532404785</v>
      </c>
      <c r="M32" s="111">
        <v>6.00399925548232</v>
      </c>
      <c r="N32" s="107">
        <v>17</v>
      </c>
      <c r="O32" s="107">
        <v>4</v>
      </c>
      <c r="P32" s="108">
        <v>0.235294117647059</v>
      </c>
      <c r="Q32" s="109">
        <v>264.163454344208</v>
      </c>
      <c r="R32" s="110">
        <v>42.769084</v>
      </c>
      <c r="S32" s="111">
        <v>0.16190386405332</v>
      </c>
      <c r="T32" s="112">
        <v>17</v>
      </c>
      <c r="U32" s="113">
        <v>6</v>
      </c>
      <c r="V32" s="114">
        <v>0.352941176470588</v>
      </c>
      <c r="W32" s="115">
        <v>264.163454344208</v>
      </c>
      <c r="X32" s="116">
        <v>61.235375</v>
      </c>
      <c r="Y32" s="114">
        <v>0.231808654804346</v>
      </c>
      <c r="Z32" s="117">
        <v>0</v>
      </c>
      <c r="AA32" s="118">
        <v>0</v>
      </c>
      <c r="AB32" s="118">
        <v>0</v>
      </c>
      <c r="AC32" s="118">
        <v>0</v>
      </c>
      <c r="AD32" s="118">
        <v>0</v>
      </c>
      <c r="AE32" s="118">
        <v>0</v>
      </c>
      <c r="AF32" s="107">
        <v>4</v>
      </c>
      <c r="AG32" s="98" t="s">
        <v>148</v>
      </c>
    </row>
    <row r="33" s="79" customFormat="1" ht="24.95" customHeight="1" spans="1:33">
      <c r="A33" s="104">
        <v>27</v>
      </c>
      <c r="B33" s="104" t="s">
        <v>49</v>
      </c>
      <c r="C33" s="105" t="s">
        <v>18</v>
      </c>
      <c r="D33" s="44" t="s">
        <v>63</v>
      </c>
      <c r="E33" s="106">
        <v>20</v>
      </c>
      <c r="F33" s="107">
        <v>18</v>
      </c>
      <c r="G33" s="108">
        <v>0.9</v>
      </c>
      <c r="H33" s="109">
        <v>200</v>
      </c>
      <c r="I33" s="110">
        <v>108.08</v>
      </c>
      <c r="J33" s="111">
        <v>0.5404</v>
      </c>
      <c r="K33" s="110">
        <v>190</v>
      </c>
      <c r="L33" s="110">
        <v>0</v>
      </c>
      <c r="M33" s="111">
        <v>0</v>
      </c>
      <c r="N33" s="107">
        <v>15</v>
      </c>
      <c r="O33" s="107">
        <v>0</v>
      </c>
      <c r="P33" s="108">
        <v>0</v>
      </c>
      <c r="Q33" s="109">
        <v>200</v>
      </c>
      <c r="R33" s="110">
        <v>0</v>
      </c>
      <c r="S33" s="111">
        <v>0</v>
      </c>
      <c r="T33" s="112">
        <v>15</v>
      </c>
      <c r="U33" s="113">
        <v>0</v>
      </c>
      <c r="V33" s="114">
        <v>0</v>
      </c>
      <c r="W33" s="115">
        <v>200</v>
      </c>
      <c r="X33" s="116">
        <v>0</v>
      </c>
      <c r="Y33" s="114">
        <v>0</v>
      </c>
      <c r="Z33" s="117">
        <v>0</v>
      </c>
      <c r="AA33" s="118">
        <v>0</v>
      </c>
      <c r="AB33" s="118">
        <v>0</v>
      </c>
      <c r="AC33" s="118">
        <v>0</v>
      </c>
      <c r="AD33" s="118">
        <v>0</v>
      </c>
      <c r="AE33" s="118">
        <v>0</v>
      </c>
      <c r="AF33" s="107">
        <v>0</v>
      </c>
      <c r="AG33" s="98" t="s">
        <v>149</v>
      </c>
    </row>
    <row r="34" s="79" customFormat="1" ht="24.95" customHeight="1" spans="1:33">
      <c r="A34" s="119" t="s">
        <v>64</v>
      </c>
      <c r="B34" s="119"/>
      <c r="C34" s="119"/>
      <c r="D34" s="104"/>
      <c r="E34" s="120">
        <v>1328</v>
      </c>
      <c r="F34" s="120">
        <v>812</v>
      </c>
      <c r="G34" s="121">
        <v>0.61144578313253</v>
      </c>
      <c r="H34" s="120">
        <v>31010</v>
      </c>
      <c r="I34" s="120">
        <v>18773.651441</v>
      </c>
      <c r="J34" s="121">
        <v>0.605406367010643</v>
      </c>
      <c r="K34" s="120">
        <v>11972.210563254</v>
      </c>
      <c r="L34" s="120">
        <v>9078.83039819756</v>
      </c>
      <c r="M34" s="121">
        <v>0.758325319307612</v>
      </c>
      <c r="N34" s="120">
        <v>583</v>
      </c>
      <c r="O34" s="120">
        <v>265</v>
      </c>
      <c r="P34" s="121">
        <v>0.454545454545455</v>
      </c>
      <c r="Q34" s="120">
        <v>12602.3269086884</v>
      </c>
      <c r="R34" s="120">
        <v>9555.395589</v>
      </c>
      <c r="S34" s="121">
        <v>0.758224703916562</v>
      </c>
      <c r="T34" s="120">
        <v>583</v>
      </c>
      <c r="U34" s="120">
        <v>277</v>
      </c>
      <c r="V34" s="121">
        <v>0.475128644939966</v>
      </c>
      <c r="W34" s="120">
        <v>12602.3269086884</v>
      </c>
      <c r="X34" s="120">
        <v>10501.21106641</v>
      </c>
      <c r="Y34" s="121">
        <v>0.833275564306315</v>
      </c>
      <c r="Z34" s="120">
        <v>6</v>
      </c>
      <c r="AA34" s="120">
        <v>38.26736</v>
      </c>
      <c r="AB34" s="120">
        <v>2</v>
      </c>
      <c r="AC34" s="120">
        <v>4.88212</v>
      </c>
      <c r="AD34" s="120">
        <v>0</v>
      </c>
      <c r="AE34" s="120">
        <v>0</v>
      </c>
      <c r="AF34" s="120">
        <v>104</v>
      </c>
      <c r="AG34" s="122" t="s">
        <v>150</v>
      </c>
    </row>
    <row r="35" s="79" customFormat="1" ht="24.95" customHeight="1" spans="1:33">
      <c r="A35" s="104">
        <v>28</v>
      </c>
      <c r="B35" s="104" t="s">
        <v>40</v>
      </c>
      <c r="C35" s="105" t="s">
        <v>19</v>
      </c>
      <c r="D35" s="35" t="s">
        <v>65</v>
      </c>
      <c r="E35" s="106">
        <v>235</v>
      </c>
      <c r="F35" s="107">
        <v>113</v>
      </c>
      <c r="G35" s="108">
        <v>0.480851063829787</v>
      </c>
      <c r="H35" s="109">
        <v>1673.35</v>
      </c>
      <c r="I35" s="110">
        <v>900.555620999999</v>
      </c>
      <c r="J35" s="111">
        <v>0.538175289688349</v>
      </c>
      <c r="K35" s="110">
        <v>648.85</v>
      </c>
      <c r="L35" s="110">
        <v>80.8128183105469</v>
      </c>
      <c r="M35" s="111">
        <v>0.124547766526234</v>
      </c>
      <c r="N35" s="107">
        <v>63</v>
      </c>
      <c r="O35" s="107">
        <v>16</v>
      </c>
      <c r="P35" s="108">
        <v>0.253968253968254</v>
      </c>
      <c r="Q35" s="109">
        <v>683</v>
      </c>
      <c r="R35" s="110">
        <v>103.030161</v>
      </c>
      <c r="S35" s="111">
        <v>0.15084943045388</v>
      </c>
      <c r="T35" s="112">
        <v>63</v>
      </c>
      <c r="U35" s="113">
        <v>13</v>
      </c>
      <c r="V35" s="114">
        <v>0.206349206349206</v>
      </c>
      <c r="W35" s="115">
        <v>683</v>
      </c>
      <c r="X35" s="116">
        <v>70.881715</v>
      </c>
      <c r="Y35" s="114">
        <v>0.103779963396779</v>
      </c>
      <c r="Z35" s="117">
        <v>0</v>
      </c>
      <c r="AA35" s="118">
        <v>0</v>
      </c>
      <c r="AB35" s="118">
        <v>0</v>
      </c>
      <c r="AC35" s="118">
        <v>0</v>
      </c>
      <c r="AD35" s="118">
        <v>0</v>
      </c>
      <c r="AE35" s="118">
        <v>0</v>
      </c>
      <c r="AF35" s="107">
        <v>1</v>
      </c>
      <c r="AG35" s="98" t="s">
        <v>151</v>
      </c>
    </row>
    <row r="36" s="79" customFormat="1" ht="24.95" customHeight="1" spans="1:33">
      <c r="A36" s="104">
        <v>29</v>
      </c>
      <c r="B36" s="104" t="s">
        <v>37</v>
      </c>
      <c r="C36" s="105" t="s">
        <v>19</v>
      </c>
      <c r="D36" s="44" t="s">
        <v>66</v>
      </c>
      <c r="E36" s="106">
        <v>66</v>
      </c>
      <c r="F36" s="107">
        <v>22</v>
      </c>
      <c r="G36" s="108">
        <v>0.333333333333333</v>
      </c>
      <c r="H36" s="109">
        <v>930</v>
      </c>
      <c r="I36" s="110">
        <v>555.86387107</v>
      </c>
      <c r="J36" s="111">
        <v>0.597703087172043</v>
      </c>
      <c r="K36" s="110">
        <v>414.432922440495</v>
      </c>
      <c r="L36" s="110">
        <v>637.319442257773</v>
      </c>
      <c r="M36" s="111">
        <v>1.53781084404384</v>
      </c>
      <c r="N36" s="107">
        <v>28</v>
      </c>
      <c r="O36" s="107">
        <v>5</v>
      </c>
      <c r="P36" s="108">
        <v>0.178571428571429</v>
      </c>
      <c r="Q36" s="109">
        <v>436.245181516311</v>
      </c>
      <c r="R36" s="110">
        <v>78.485348</v>
      </c>
      <c r="S36" s="111">
        <v>0.179911094323607</v>
      </c>
      <c r="T36" s="112">
        <v>28</v>
      </c>
      <c r="U36" s="113">
        <v>15</v>
      </c>
      <c r="V36" s="114">
        <v>0.535714285714286</v>
      </c>
      <c r="W36" s="115">
        <v>436.245181516311</v>
      </c>
      <c r="X36" s="116">
        <v>162.733611</v>
      </c>
      <c r="Y36" s="114">
        <v>0.373032454901546</v>
      </c>
      <c r="Z36" s="117">
        <v>0</v>
      </c>
      <c r="AA36" s="118">
        <v>0</v>
      </c>
      <c r="AB36" s="118">
        <v>0</v>
      </c>
      <c r="AC36" s="118">
        <v>0</v>
      </c>
      <c r="AD36" s="118">
        <v>0</v>
      </c>
      <c r="AE36" s="118">
        <v>0</v>
      </c>
      <c r="AF36" s="107">
        <v>20</v>
      </c>
      <c r="AG36" s="98" t="s">
        <v>152</v>
      </c>
    </row>
    <row r="37" s="79" customFormat="1" ht="24.95" customHeight="1" spans="1:33">
      <c r="A37" s="104">
        <v>30</v>
      </c>
      <c r="B37" s="104" t="s">
        <v>49</v>
      </c>
      <c r="C37" s="105" t="s">
        <v>19</v>
      </c>
      <c r="D37" s="44" t="s">
        <v>67</v>
      </c>
      <c r="E37" s="106">
        <v>87</v>
      </c>
      <c r="F37" s="107">
        <v>32</v>
      </c>
      <c r="G37" s="108">
        <v>0.367816091954023</v>
      </c>
      <c r="H37" s="109">
        <v>688</v>
      </c>
      <c r="I37" s="110">
        <v>255.135846</v>
      </c>
      <c r="J37" s="111">
        <v>0.370836985465116</v>
      </c>
      <c r="K37" s="110">
        <v>251.75</v>
      </c>
      <c r="L37" s="110">
        <v>21.3623609375</v>
      </c>
      <c r="M37" s="111">
        <v>0.0848554555610725</v>
      </c>
      <c r="N37" s="107">
        <v>32</v>
      </c>
      <c r="O37" s="107">
        <v>6</v>
      </c>
      <c r="P37" s="108">
        <v>0.1875</v>
      </c>
      <c r="Q37" s="109">
        <v>265</v>
      </c>
      <c r="R37" s="110">
        <v>45.71685</v>
      </c>
      <c r="S37" s="111">
        <v>0.17251641509434</v>
      </c>
      <c r="T37" s="112">
        <v>32</v>
      </c>
      <c r="U37" s="113">
        <v>4</v>
      </c>
      <c r="V37" s="114">
        <v>0.125</v>
      </c>
      <c r="W37" s="115">
        <v>265</v>
      </c>
      <c r="X37" s="116">
        <v>23.250354</v>
      </c>
      <c r="Y37" s="114">
        <v>0.0877371849056604</v>
      </c>
      <c r="Z37" s="117">
        <v>0</v>
      </c>
      <c r="AA37" s="118">
        <v>0</v>
      </c>
      <c r="AB37" s="118">
        <v>0</v>
      </c>
      <c r="AC37" s="118">
        <v>0</v>
      </c>
      <c r="AD37" s="118">
        <v>0</v>
      </c>
      <c r="AE37" s="118">
        <v>0</v>
      </c>
      <c r="AF37" s="107">
        <v>0</v>
      </c>
      <c r="AG37" s="98" t="s">
        <v>153</v>
      </c>
    </row>
    <row r="38" s="79" customFormat="1" ht="24.95" customHeight="1" spans="1:33">
      <c r="A38" s="104">
        <v>31</v>
      </c>
      <c r="B38" s="104" t="s">
        <v>37</v>
      </c>
      <c r="C38" s="105" t="s">
        <v>19</v>
      </c>
      <c r="D38" s="44" t="s">
        <v>68</v>
      </c>
      <c r="E38" s="106">
        <v>238</v>
      </c>
      <c r="F38" s="107">
        <v>85</v>
      </c>
      <c r="G38" s="108">
        <v>0.357142857142857</v>
      </c>
      <c r="H38" s="109">
        <v>1768.9</v>
      </c>
      <c r="I38" s="110">
        <v>935.889094</v>
      </c>
      <c r="J38" s="111">
        <v>0.529079707162643</v>
      </c>
      <c r="K38" s="110">
        <v>685.9</v>
      </c>
      <c r="L38" s="110">
        <v>232.650673165083</v>
      </c>
      <c r="M38" s="111">
        <v>0.339190367641176</v>
      </c>
      <c r="N38" s="107">
        <v>73</v>
      </c>
      <c r="O38" s="107">
        <v>20</v>
      </c>
      <c r="P38" s="108">
        <v>0.273972602739726</v>
      </c>
      <c r="Q38" s="109">
        <v>722</v>
      </c>
      <c r="R38" s="110">
        <v>159.104546</v>
      </c>
      <c r="S38" s="111">
        <v>0.220366407202216</v>
      </c>
      <c r="T38" s="112">
        <v>73</v>
      </c>
      <c r="U38" s="113">
        <v>22</v>
      </c>
      <c r="V38" s="114">
        <v>0.301369863013699</v>
      </c>
      <c r="W38" s="115">
        <v>722</v>
      </c>
      <c r="X38" s="116">
        <v>176.671835</v>
      </c>
      <c r="Y38" s="114">
        <v>0.244697832409972</v>
      </c>
      <c r="Z38" s="117">
        <v>0</v>
      </c>
      <c r="AA38" s="118">
        <v>0</v>
      </c>
      <c r="AB38" s="118">
        <v>0</v>
      </c>
      <c r="AC38" s="118">
        <v>0</v>
      </c>
      <c r="AD38" s="118">
        <v>0</v>
      </c>
      <c r="AE38" s="118">
        <v>0</v>
      </c>
      <c r="AF38" s="107">
        <v>3</v>
      </c>
      <c r="AG38" s="98" t="s">
        <v>154</v>
      </c>
    </row>
    <row r="39" s="79" customFormat="1" ht="24.95" customHeight="1" spans="1:33">
      <c r="A39" s="104">
        <v>32</v>
      </c>
      <c r="B39" s="104" t="s">
        <v>40</v>
      </c>
      <c r="C39" s="105" t="s">
        <v>19</v>
      </c>
      <c r="D39" s="44" t="s">
        <v>69</v>
      </c>
      <c r="E39" s="106">
        <v>136</v>
      </c>
      <c r="F39" s="107">
        <v>37</v>
      </c>
      <c r="G39" s="108">
        <v>0.272058823529412</v>
      </c>
      <c r="H39" s="109">
        <v>964</v>
      </c>
      <c r="I39" s="110">
        <v>504.769577</v>
      </c>
      <c r="J39" s="111">
        <v>0.523619893153527</v>
      </c>
      <c r="K39" s="110">
        <v>361</v>
      </c>
      <c r="L39" s="110">
        <v>120.109423742676</v>
      </c>
      <c r="M39" s="111">
        <v>0.332713085159767</v>
      </c>
      <c r="N39" s="107">
        <v>32</v>
      </c>
      <c r="O39" s="107">
        <v>8</v>
      </c>
      <c r="P39" s="108">
        <v>0.25</v>
      </c>
      <c r="Q39" s="109">
        <v>380</v>
      </c>
      <c r="R39" s="110">
        <v>88.302307</v>
      </c>
      <c r="S39" s="111">
        <v>0.232374492105263</v>
      </c>
      <c r="T39" s="112">
        <v>32</v>
      </c>
      <c r="U39" s="113">
        <v>16</v>
      </c>
      <c r="V39" s="114">
        <v>0.5</v>
      </c>
      <c r="W39" s="115">
        <v>380</v>
      </c>
      <c r="X39" s="116">
        <v>157.776715</v>
      </c>
      <c r="Y39" s="114">
        <v>0.415201881578947</v>
      </c>
      <c r="Z39" s="117">
        <v>1</v>
      </c>
      <c r="AA39" s="118">
        <v>0.239924</v>
      </c>
      <c r="AB39" s="118">
        <v>1</v>
      </c>
      <c r="AC39" s="118">
        <v>0.239924</v>
      </c>
      <c r="AD39" s="118">
        <v>2</v>
      </c>
      <c r="AE39" s="118">
        <v>6.246845</v>
      </c>
      <c r="AF39" s="107">
        <v>8</v>
      </c>
      <c r="AG39" s="98" t="s">
        <v>155</v>
      </c>
    </row>
    <row r="40" s="79" customFormat="1" ht="24.95" customHeight="1" spans="1:33">
      <c r="A40" s="104">
        <v>33</v>
      </c>
      <c r="B40" s="104" t="s">
        <v>40</v>
      </c>
      <c r="C40" s="105" t="s">
        <v>19</v>
      </c>
      <c r="D40" s="44" t="s">
        <v>70</v>
      </c>
      <c r="E40" s="106">
        <v>69</v>
      </c>
      <c r="F40" s="107">
        <v>46</v>
      </c>
      <c r="G40" s="108">
        <v>0.666666666666667</v>
      </c>
      <c r="H40" s="109">
        <v>710</v>
      </c>
      <c r="I40" s="110">
        <v>420.22447</v>
      </c>
      <c r="J40" s="111">
        <v>0.591865450704225</v>
      </c>
      <c r="K40" s="110">
        <v>332.5</v>
      </c>
      <c r="L40" s="110">
        <v>0</v>
      </c>
      <c r="M40" s="111">
        <v>0</v>
      </c>
      <c r="N40" s="107">
        <v>27</v>
      </c>
      <c r="O40" s="107">
        <v>0</v>
      </c>
      <c r="P40" s="108">
        <v>0</v>
      </c>
      <c r="Q40" s="109">
        <v>350</v>
      </c>
      <c r="R40" s="110">
        <v>0</v>
      </c>
      <c r="S40" s="111">
        <v>0</v>
      </c>
      <c r="T40" s="112">
        <v>27</v>
      </c>
      <c r="U40" s="113">
        <v>0</v>
      </c>
      <c r="V40" s="114">
        <v>0</v>
      </c>
      <c r="W40" s="115">
        <v>350</v>
      </c>
      <c r="X40" s="116">
        <v>0</v>
      </c>
      <c r="Y40" s="114">
        <v>0</v>
      </c>
      <c r="Z40" s="117">
        <v>0</v>
      </c>
      <c r="AA40" s="118">
        <v>0</v>
      </c>
      <c r="AB40" s="118">
        <v>0</v>
      </c>
      <c r="AC40" s="118">
        <v>0</v>
      </c>
      <c r="AD40" s="118">
        <v>0</v>
      </c>
      <c r="AE40" s="118">
        <v>0</v>
      </c>
      <c r="AF40" s="107">
        <v>0</v>
      </c>
      <c r="AG40" s="98" t="s">
        <v>156</v>
      </c>
    </row>
    <row r="41" s="79" customFormat="1" ht="24.95" customHeight="1" spans="1:33">
      <c r="A41" s="104">
        <v>34</v>
      </c>
      <c r="B41" s="104" t="s">
        <v>40</v>
      </c>
      <c r="C41" s="105" t="s">
        <v>19</v>
      </c>
      <c r="D41" s="44" t="s">
        <v>71</v>
      </c>
      <c r="E41" s="106">
        <v>263</v>
      </c>
      <c r="F41" s="107">
        <v>79</v>
      </c>
      <c r="G41" s="108">
        <v>0.300380228136882</v>
      </c>
      <c r="H41" s="109">
        <v>1640</v>
      </c>
      <c r="I41" s="110">
        <v>816.907674</v>
      </c>
      <c r="J41" s="111">
        <v>0.498114435365853</v>
      </c>
      <c r="K41" s="110">
        <v>380</v>
      </c>
      <c r="L41" s="110">
        <v>77.7710213134766</v>
      </c>
      <c r="M41" s="111">
        <v>0.204660582403886</v>
      </c>
      <c r="N41" s="107">
        <v>42</v>
      </c>
      <c r="O41" s="107">
        <v>8</v>
      </c>
      <c r="P41" s="108">
        <v>0.19047619047619</v>
      </c>
      <c r="Q41" s="109">
        <v>400</v>
      </c>
      <c r="R41" s="110">
        <v>77.59975</v>
      </c>
      <c r="S41" s="111">
        <v>0.193999375</v>
      </c>
      <c r="T41" s="112">
        <v>42</v>
      </c>
      <c r="U41" s="113">
        <v>9</v>
      </c>
      <c r="V41" s="114">
        <v>0.214285714285714</v>
      </c>
      <c r="W41" s="115">
        <v>400</v>
      </c>
      <c r="X41" s="116">
        <v>84.250264</v>
      </c>
      <c r="Y41" s="114">
        <v>0.21062566</v>
      </c>
      <c r="Z41" s="117">
        <v>0</v>
      </c>
      <c r="AA41" s="118">
        <v>0</v>
      </c>
      <c r="AB41" s="118">
        <v>0</v>
      </c>
      <c r="AC41" s="118">
        <v>0</v>
      </c>
      <c r="AD41" s="118">
        <v>0</v>
      </c>
      <c r="AE41" s="118">
        <v>0</v>
      </c>
      <c r="AF41" s="107">
        <v>1</v>
      </c>
      <c r="AG41" s="98" t="s">
        <v>157</v>
      </c>
    </row>
    <row r="42" s="79" customFormat="1" ht="24.95" customHeight="1" spans="1:33">
      <c r="A42" s="104">
        <v>35</v>
      </c>
      <c r="B42" s="104" t="s">
        <v>37</v>
      </c>
      <c r="C42" s="105" t="s">
        <v>19</v>
      </c>
      <c r="D42" s="35" t="s">
        <v>72</v>
      </c>
      <c r="E42" s="106">
        <v>148</v>
      </c>
      <c r="F42" s="107">
        <v>67</v>
      </c>
      <c r="G42" s="108">
        <v>0.452702702702703</v>
      </c>
      <c r="H42" s="109">
        <v>1470</v>
      </c>
      <c r="I42" s="110">
        <v>762.662076999999</v>
      </c>
      <c r="J42" s="111">
        <v>0.518817739455782</v>
      </c>
      <c r="K42" s="110">
        <v>570</v>
      </c>
      <c r="L42" s="110">
        <v>77.5395807006836</v>
      </c>
      <c r="M42" s="111">
        <v>0.136034352106462</v>
      </c>
      <c r="N42" s="107">
        <v>55</v>
      </c>
      <c r="O42" s="107">
        <v>10</v>
      </c>
      <c r="P42" s="108">
        <v>0.181818181818182</v>
      </c>
      <c r="Q42" s="109">
        <v>600</v>
      </c>
      <c r="R42" s="110">
        <v>74.216801</v>
      </c>
      <c r="S42" s="111">
        <v>0.123694668333333</v>
      </c>
      <c r="T42" s="112">
        <v>55</v>
      </c>
      <c r="U42" s="113">
        <v>14</v>
      </c>
      <c r="V42" s="114">
        <v>0.254545454545455</v>
      </c>
      <c r="W42" s="115">
        <v>600</v>
      </c>
      <c r="X42" s="116">
        <v>109.905272</v>
      </c>
      <c r="Y42" s="114">
        <v>0.183175453333333</v>
      </c>
      <c r="Z42" s="117">
        <v>0</v>
      </c>
      <c r="AA42" s="118">
        <v>0</v>
      </c>
      <c r="AB42" s="118">
        <v>0</v>
      </c>
      <c r="AC42" s="118">
        <v>0</v>
      </c>
      <c r="AD42" s="118">
        <v>0</v>
      </c>
      <c r="AE42" s="118">
        <v>0</v>
      </c>
      <c r="AF42" s="107">
        <v>106</v>
      </c>
      <c r="AG42" s="98" t="s">
        <v>158</v>
      </c>
    </row>
    <row r="43" s="79" customFormat="1" ht="24.95" customHeight="1" spans="1:33">
      <c r="A43" s="104">
        <v>36</v>
      </c>
      <c r="B43" s="104" t="s">
        <v>31</v>
      </c>
      <c r="C43" s="105" t="s">
        <v>19</v>
      </c>
      <c r="D43" s="44" t="s">
        <v>73</v>
      </c>
      <c r="E43" s="106">
        <v>246</v>
      </c>
      <c r="F43" s="107">
        <v>165</v>
      </c>
      <c r="G43" s="108">
        <v>0.670731707317073</v>
      </c>
      <c r="H43" s="109">
        <v>2934</v>
      </c>
      <c r="I43" s="110">
        <v>1764.861957</v>
      </c>
      <c r="J43" s="111">
        <v>0.60152077607362</v>
      </c>
      <c r="K43" s="110">
        <v>1577</v>
      </c>
      <c r="L43" s="110">
        <v>271.229190881348</v>
      </c>
      <c r="M43" s="111">
        <v>0.171990609309669</v>
      </c>
      <c r="N43" s="107">
        <v>82</v>
      </c>
      <c r="O43" s="107">
        <v>10</v>
      </c>
      <c r="P43" s="108">
        <v>0.121951219512195</v>
      </c>
      <c r="Q43" s="109">
        <v>1660</v>
      </c>
      <c r="R43" s="110">
        <v>110.754958</v>
      </c>
      <c r="S43" s="111">
        <v>0.0667198542168675</v>
      </c>
      <c r="T43" s="112">
        <v>82</v>
      </c>
      <c r="U43" s="113">
        <v>52</v>
      </c>
      <c r="V43" s="114">
        <v>0.634146341463415</v>
      </c>
      <c r="W43" s="115">
        <v>1660</v>
      </c>
      <c r="X43" s="116">
        <v>642.605337</v>
      </c>
      <c r="Y43" s="114">
        <v>0.387111648795181</v>
      </c>
      <c r="Z43" s="117">
        <v>1</v>
      </c>
      <c r="AA43" s="118">
        <v>0.899804</v>
      </c>
      <c r="AB43" s="118">
        <v>1</v>
      </c>
      <c r="AC43" s="118">
        <v>0.899804</v>
      </c>
      <c r="AD43" s="118">
        <v>3</v>
      </c>
      <c r="AE43" s="118">
        <v>3.30561</v>
      </c>
      <c r="AF43" s="107">
        <v>48</v>
      </c>
      <c r="AG43" s="98" t="s">
        <v>159</v>
      </c>
    </row>
    <row r="44" s="79" customFormat="1" ht="24.95" customHeight="1" spans="1:33">
      <c r="A44" s="104">
        <v>37</v>
      </c>
      <c r="B44" s="104" t="s">
        <v>40</v>
      </c>
      <c r="C44" s="105" t="s">
        <v>19</v>
      </c>
      <c r="D44" s="50" t="s">
        <v>74</v>
      </c>
      <c r="E44" s="106">
        <v>85</v>
      </c>
      <c r="F44" s="107">
        <v>67</v>
      </c>
      <c r="G44" s="108">
        <v>0.788235294117647</v>
      </c>
      <c r="H44" s="109">
        <v>650</v>
      </c>
      <c r="I44" s="110">
        <v>572.997678</v>
      </c>
      <c r="J44" s="111">
        <v>0.881534889230769</v>
      </c>
      <c r="K44" s="110">
        <v>332.5</v>
      </c>
      <c r="L44" s="110">
        <v>16.8840703063965</v>
      </c>
      <c r="M44" s="111">
        <v>0.05077915881623</v>
      </c>
      <c r="N44" s="107">
        <v>27</v>
      </c>
      <c r="O44" s="107">
        <v>1</v>
      </c>
      <c r="P44" s="108">
        <v>0.037037037037037</v>
      </c>
      <c r="Q44" s="109">
        <v>350</v>
      </c>
      <c r="R44" s="110">
        <v>16.98015</v>
      </c>
      <c r="S44" s="111">
        <v>0.0485147142857143</v>
      </c>
      <c r="T44" s="112">
        <v>27</v>
      </c>
      <c r="U44" s="113">
        <v>1</v>
      </c>
      <c r="V44" s="114">
        <v>0.037037037037037</v>
      </c>
      <c r="W44" s="115">
        <v>350</v>
      </c>
      <c r="X44" s="116">
        <v>16.98015</v>
      </c>
      <c r="Y44" s="114">
        <v>0.0485147142857143</v>
      </c>
      <c r="Z44" s="117">
        <v>0</v>
      </c>
      <c r="AA44" s="118">
        <v>0</v>
      </c>
      <c r="AB44" s="118">
        <v>0</v>
      </c>
      <c r="AC44" s="118">
        <v>0</v>
      </c>
      <c r="AD44" s="118">
        <v>0</v>
      </c>
      <c r="AE44" s="118">
        <v>0</v>
      </c>
      <c r="AF44" s="107">
        <v>0</v>
      </c>
      <c r="AG44" s="98" t="s">
        <v>160</v>
      </c>
    </row>
    <row r="45" s="79" customFormat="1" ht="24.95" customHeight="1" spans="1:33">
      <c r="A45" s="104">
        <v>38</v>
      </c>
      <c r="B45" s="104" t="s">
        <v>40</v>
      </c>
      <c r="C45" s="105" t="s">
        <v>19</v>
      </c>
      <c r="D45" s="50" t="s">
        <v>75</v>
      </c>
      <c r="E45" s="106">
        <v>250</v>
      </c>
      <c r="F45" s="107">
        <v>73</v>
      </c>
      <c r="G45" s="108">
        <v>0.292</v>
      </c>
      <c r="H45" s="109">
        <v>1700</v>
      </c>
      <c r="I45" s="110">
        <v>736.087019</v>
      </c>
      <c r="J45" s="111">
        <v>0.432992364117647</v>
      </c>
      <c r="K45" s="110">
        <v>380</v>
      </c>
      <c r="L45" s="110">
        <v>0</v>
      </c>
      <c r="M45" s="111">
        <v>0</v>
      </c>
      <c r="N45" s="107">
        <v>42</v>
      </c>
      <c r="O45" s="107">
        <v>0</v>
      </c>
      <c r="P45" s="108">
        <v>0</v>
      </c>
      <c r="Q45" s="109">
        <v>400</v>
      </c>
      <c r="R45" s="110">
        <v>0</v>
      </c>
      <c r="S45" s="111">
        <v>0</v>
      </c>
      <c r="T45" s="112">
        <v>42</v>
      </c>
      <c r="U45" s="113">
        <v>0</v>
      </c>
      <c r="V45" s="114">
        <v>0</v>
      </c>
      <c r="W45" s="115">
        <v>400</v>
      </c>
      <c r="X45" s="116">
        <v>0</v>
      </c>
      <c r="Y45" s="114">
        <v>0</v>
      </c>
      <c r="Z45" s="117">
        <v>0</v>
      </c>
      <c r="AA45" s="118">
        <v>0</v>
      </c>
      <c r="AB45" s="118">
        <v>0</v>
      </c>
      <c r="AC45" s="118">
        <v>0</v>
      </c>
      <c r="AD45" s="118">
        <v>0</v>
      </c>
      <c r="AE45" s="118">
        <v>0</v>
      </c>
      <c r="AF45" s="107">
        <v>0</v>
      </c>
      <c r="AG45" s="98" t="s">
        <v>161</v>
      </c>
    </row>
    <row r="46" s="79" customFormat="1" ht="24.95" customHeight="1" spans="1:33">
      <c r="A46" s="119" t="s">
        <v>76</v>
      </c>
      <c r="B46" s="119"/>
      <c r="C46" s="119"/>
      <c r="D46" s="104"/>
      <c r="E46" s="120">
        <v>1823</v>
      </c>
      <c r="F46" s="120">
        <v>786</v>
      </c>
      <c r="G46" s="121">
        <v>0.431157432803072</v>
      </c>
      <c r="H46" s="120">
        <v>15128.25</v>
      </c>
      <c r="I46" s="120">
        <v>8225.95488407</v>
      </c>
      <c r="J46" s="121">
        <v>0.543747947321732</v>
      </c>
      <c r="K46" s="120">
        <v>5933.9329224405</v>
      </c>
      <c r="L46" s="120">
        <v>1535.67858161548</v>
      </c>
      <c r="M46" s="121">
        <v>0.258796080388433</v>
      </c>
      <c r="N46" s="120">
        <v>503</v>
      </c>
      <c r="O46" s="120">
        <v>84</v>
      </c>
      <c r="P46" s="121">
        <v>0.166998011928429</v>
      </c>
      <c r="Q46" s="120">
        <v>6246.24518151631</v>
      </c>
      <c r="R46" s="120">
        <v>754.190871</v>
      </c>
      <c r="S46" s="121">
        <v>0.120743078294745</v>
      </c>
      <c r="T46" s="120">
        <v>503</v>
      </c>
      <c r="U46" s="120">
        <v>146</v>
      </c>
      <c r="V46" s="121">
        <v>0.290258449304175</v>
      </c>
      <c r="W46" s="120">
        <v>6246.24518151631</v>
      </c>
      <c r="X46" s="120">
        <v>1445.055253</v>
      </c>
      <c r="Y46" s="121">
        <v>0.231347827535839</v>
      </c>
      <c r="Z46" s="120">
        <v>2</v>
      </c>
      <c r="AA46" s="120">
        <v>1.139728</v>
      </c>
      <c r="AB46" s="120">
        <v>2</v>
      </c>
      <c r="AC46" s="120">
        <v>1.139728</v>
      </c>
      <c r="AD46" s="120">
        <v>5</v>
      </c>
      <c r="AE46" s="120">
        <v>9.552455</v>
      </c>
      <c r="AF46" s="120">
        <v>187</v>
      </c>
      <c r="AG46" s="122" t="s">
        <v>162</v>
      </c>
    </row>
    <row r="47" s="79" customFormat="1" ht="24.95" customHeight="1" spans="1:33">
      <c r="A47" s="104">
        <v>39</v>
      </c>
      <c r="B47" s="104" t="s">
        <v>31</v>
      </c>
      <c r="C47" s="105" t="s">
        <v>20</v>
      </c>
      <c r="D47" s="44" t="s">
        <v>77</v>
      </c>
      <c r="E47" s="106">
        <v>450</v>
      </c>
      <c r="F47" s="107">
        <v>189</v>
      </c>
      <c r="G47" s="108">
        <v>0.42</v>
      </c>
      <c r="H47" s="109">
        <v>6270</v>
      </c>
      <c r="I47" s="110">
        <v>3703.716701</v>
      </c>
      <c r="J47" s="111">
        <v>0.590704418022328</v>
      </c>
      <c r="K47" s="110">
        <v>2897.5</v>
      </c>
      <c r="L47" s="110">
        <v>1361.02866261461</v>
      </c>
      <c r="M47" s="111">
        <v>0.469725163973981</v>
      </c>
      <c r="N47" s="107">
        <v>210</v>
      </c>
      <c r="O47" s="107">
        <v>100</v>
      </c>
      <c r="P47" s="108">
        <v>0.476190476190476</v>
      </c>
      <c r="Q47" s="109">
        <v>3050</v>
      </c>
      <c r="R47" s="110">
        <v>1481.65251</v>
      </c>
      <c r="S47" s="111">
        <v>0.485787708196721</v>
      </c>
      <c r="T47" s="112">
        <v>210</v>
      </c>
      <c r="U47" s="113">
        <v>120</v>
      </c>
      <c r="V47" s="114">
        <v>0.571428571428571</v>
      </c>
      <c r="W47" s="115">
        <v>3050</v>
      </c>
      <c r="X47" s="116">
        <v>1806.219876</v>
      </c>
      <c r="Y47" s="114">
        <v>0.592203238032787</v>
      </c>
      <c r="Z47" s="117">
        <v>0</v>
      </c>
      <c r="AA47" s="118">
        <v>0</v>
      </c>
      <c r="AB47" s="118">
        <v>0</v>
      </c>
      <c r="AC47" s="118">
        <v>0</v>
      </c>
      <c r="AD47" s="118">
        <v>0</v>
      </c>
      <c r="AE47" s="118">
        <v>0</v>
      </c>
      <c r="AF47" s="107">
        <v>36</v>
      </c>
      <c r="AG47" s="98" t="s">
        <v>163</v>
      </c>
    </row>
    <row r="48" s="79" customFormat="1" ht="24.95" customHeight="1" spans="1:33">
      <c r="A48" s="104">
        <v>40</v>
      </c>
      <c r="B48" s="104" t="s">
        <v>31</v>
      </c>
      <c r="C48" s="105" t="s">
        <v>20</v>
      </c>
      <c r="D48" s="63" t="s">
        <v>78</v>
      </c>
      <c r="E48" s="106">
        <v>450</v>
      </c>
      <c r="F48" s="107">
        <v>199</v>
      </c>
      <c r="G48" s="108">
        <v>0.442222222222222</v>
      </c>
      <c r="H48" s="109">
        <v>6270</v>
      </c>
      <c r="I48" s="110">
        <v>3802.00713</v>
      </c>
      <c r="J48" s="111">
        <v>0.606380722488038</v>
      </c>
      <c r="K48" s="110">
        <v>2897.5</v>
      </c>
      <c r="L48" s="110">
        <v>1129.56292733307</v>
      </c>
      <c r="M48" s="111">
        <v>0.38984052712099</v>
      </c>
      <c r="N48" s="107">
        <v>210</v>
      </c>
      <c r="O48" s="107">
        <v>106</v>
      </c>
      <c r="P48" s="108">
        <v>0.504761904761905</v>
      </c>
      <c r="Q48" s="109">
        <v>3050</v>
      </c>
      <c r="R48" s="110">
        <v>1398.317529</v>
      </c>
      <c r="S48" s="111">
        <v>0.458464763606557</v>
      </c>
      <c r="T48" s="112">
        <v>210</v>
      </c>
      <c r="U48" s="113">
        <v>127</v>
      </c>
      <c r="V48" s="114">
        <v>0.604761904761905</v>
      </c>
      <c r="W48" s="115">
        <v>3050</v>
      </c>
      <c r="X48" s="116">
        <v>1818.493729</v>
      </c>
      <c r="Y48" s="114">
        <v>0.596227452131147</v>
      </c>
      <c r="Z48" s="117">
        <v>5</v>
      </c>
      <c r="AA48" s="118">
        <v>32.859092</v>
      </c>
      <c r="AB48" s="118">
        <v>2</v>
      </c>
      <c r="AC48" s="118">
        <v>5.420512</v>
      </c>
      <c r="AD48" s="118">
        <v>1</v>
      </c>
      <c r="AE48" s="118">
        <v>1.375354</v>
      </c>
      <c r="AF48" s="107">
        <v>35</v>
      </c>
      <c r="AG48" s="98" t="s">
        <v>164</v>
      </c>
    </row>
    <row r="49" s="79" customFormat="1" ht="24.95" customHeight="1" spans="1:33">
      <c r="A49" s="104">
        <v>41</v>
      </c>
      <c r="B49" s="104" t="s">
        <v>40</v>
      </c>
      <c r="C49" s="105" t="s">
        <v>20</v>
      </c>
      <c r="D49" s="35" t="s">
        <v>79</v>
      </c>
      <c r="E49" s="106">
        <v>100</v>
      </c>
      <c r="F49" s="107">
        <v>64</v>
      </c>
      <c r="G49" s="108">
        <v>0.64</v>
      </c>
      <c r="H49" s="109">
        <v>1390</v>
      </c>
      <c r="I49" s="110">
        <v>771.49994</v>
      </c>
      <c r="J49" s="111">
        <v>0.555035928057554</v>
      </c>
      <c r="K49" s="110">
        <v>389.5</v>
      </c>
      <c r="L49" s="110">
        <v>76.4643786132813</v>
      </c>
      <c r="M49" s="111">
        <v>0.196314194129092</v>
      </c>
      <c r="N49" s="107">
        <v>35</v>
      </c>
      <c r="O49" s="107">
        <v>2</v>
      </c>
      <c r="P49" s="108">
        <v>0.0571428571428571</v>
      </c>
      <c r="Q49" s="109">
        <v>410</v>
      </c>
      <c r="R49" s="110">
        <v>26.889612</v>
      </c>
      <c r="S49" s="111">
        <v>0.0655844195121951</v>
      </c>
      <c r="T49" s="112">
        <v>35</v>
      </c>
      <c r="U49" s="113">
        <v>10</v>
      </c>
      <c r="V49" s="114">
        <v>0.285714285714286</v>
      </c>
      <c r="W49" s="115">
        <v>410</v>
      </c>
      <c r="X49" s="116">
        <v>116.394605</v>
      </c>
      <c r="Y49" s="114">
        <v>0.283889280487805</v>
      </c>
      <c r="Z49" s="117">
        <v>0</v>
      </c>
      <c r="AA49" s="118">
        <v>0</v>
      </c>
      <c r="AB49" s="118">
        <v>0</v>
      </c>
      <c r="AC49" s="118">
        <v>0</v>
      </c>
      <c r="AD49" s="118">
        <v>0</v>
      </c>
      <c r="AE49" s="118">
        <v>0</v>
      </c>
      <c r="AF49" s="107">
        <v>21</v>
      </c>
      <c r="AG49" s="98" t="s">
        <v>165</v>
      </c>
    </row>
    <row r="50" s="79" customFormat="1" ht="24.95" customHeight="1" spans="1:33">
      <c r="A50" s="104">
        <v>42</v>
      </c>
      <c r="B50" s="104" t="s">
        <v>40</v>
      </c>
      <c r="C50" s="105" t="s">
        <v>20</v>
      </c>
      <c r="D50" s="44" t="s">
        <v>80</v>
      </c>
      <c r="E50" s="106">
        <v>120</v>
      </c>
      <c r="F50" s="107">
        <v>66</v>
      </c>
      <c r="G50" s="108">
        <v>0.55</v>
      </c>
      <c r="H50" s="109">
        <v>1670</v>
      </c>
      <c r="I50" s="110">
        <v>985.839419</v>
      </c>
      <c r="J50" s="111">
        <v>0.590323005389222</v>
      </c>
      <c r="K50" s="110">
        <v>456</v>
      </c>
      <c r="L50" s="110">
        <v>263.789848828125</v>
      </c>
      <c r="M50" s="111">
        <v>0.578486510587993</v>
      </c>
      <c r="N50" s="107">
        <v>40</v>
      </c>
      <c r="O50" s="107">
        <v>17</v>
      </c>
      <c r="P50" s="108">
        <v>0.425</v>
      </c>
      <c r="Q50" s="109">
        <v>480</v>
      </c>
      <c r="R50" s="110">
        <v>257.998415</v>
      </c>
      <c r="S50" s="111">
        <v>0.537496697916667</v>
      </c>
      <c r="T50" s="112">
        <v>40</v>
      </c>
      <c r="U50" s="113">
        <v>20</v>
      </c>
      <c r="V50" s="114">
        <v>0.5</v>
      </c>
      <c r="W50" s="115">
        <v>480</v>
      </c>
      <c r="X50" s="116">
        <v>271.502199</v>
      </c>
      <c r="Y50" s="114">
        <v>0.56562958125</v>
      </c>
      <c r="Z50" s="117">
        <v>5</v>
      </c>
      <c r="AA50" s="118">
        <v>111.459576</v>
      </c>
      <c r="AB50" s="118">
        <v>0</v>
      </c>
      <c r="AC50" s="118">
        <v>0</v>
      </c>
      <c r="AD50" s="118">
        <v>0</v>
      </c>
      <c r="AE50" s="118">
        <v>0</v>
      </c>
      <c r="AF50" s="107">
        <v>7</v>
      </c>
      <c r="AG50" s="98" t="s">
        <v>166</v>
      </c>
    </row>
    <row r="51" s="79" customFormat="1" ht="24.95" customHeight="1" spans="1:33">
      <c r="A51" s="104">
        <v>43</v>
      </c>
      <c r="B51" s="104" t="s">
        <v>31</v>
      </c>
      <c r="C51" s="105" t="s">
        <v>20</v>
      </c>
      <c r="D51" s="44" t="s">
        <v>81</v>
      </c>
      <c r="E51" s="106">
        <v>520</v>
      </c>
      <c r="F51" s="107">
        <v>333</v>
      </c>
      <c r="G51" s="108">
        <v>0.640384615384615</v>
      </c>
      <c r="H51" s="109">
        <v>7248.8</v>
      </c>
      <c r="I51" s="110">
        <v>4046.48402200001</v>
      </c>
      <c r="J51" s="111">
        <v>0.558228123551485</v>
      </c>
      <c r="K51" s="110">
        <v>2502.3</v>
      </c>
      <c r="L51" s="110">
        <v>769.898103517723</v>
      </c>
      <c r="M51" s="111">
        <v>0.307676179322113</v>
      </c>
      <c r="N51" s="107">
        <v>200</v>
      </c>
      <c r="O51" s="107">
        <v>67</v>
      </c>
      <c r="P51" s="108">
        <v>0.335</v>
      </c>
      <c r="Q51" s="109">
        <v>2634</v>
      </c>
      <c r="R51" s="110">
        <v>657.507735</v>
      </c>
      <c r="S51" s="111">
        <v>0.249623285876993</v>
      </c>
      <c r="T51" s="112">
        <v>200</v>
      </c>
      <c r="U51" s="113">
        <v>113</v>
      </c>
      <c r="V51" s="114">
        <v>0.565</v>
      </c>
      <c r="W51" s="115">
        <v>2634</v>
      </c>
      <c r="X51" s="116">
        <v>1066.339715</v>
      </c>
      <c r="Y51" s="114">
        <v>0.40483664198937</v>
      </c>
      <c r="Z51" s="117">
        <v>0</v>
      </c>
      <c r="AA51" s="118">
        <v>0</v>
      </c>
      <c r="AB51" s="118">
        <v>0</v>
      </c>
      <c r="AC51" s="118">
        <v>0</v>
      </c>
      <c r="AD51" s="118">
        <v>0</v>
      </c>
      <c r="AE51" s="118">
        <v>0</v>
      </c>
      <c r="AF51" s="107">
        <v>61</v>
      </c>
      <c r="AG51" s="98" t="s">
        <v>167</v>
      </c>
    </row>
    <row r="52" s="79" customFormat="1" ht="24.95" customHeight="1" spans="1:33">
      <c r="A52" s="104">
        <v>44</v>
      </c>
      <c r="B52" s="104" t="s">
        <v>40</v>
      </c>
      <c r="C52" s="105" t="s">
        <v>20</v>
      </c>
      <c r="D52" s="44" t="s">
        <v>82</v>
      </c>
      <c r="E52" s="106">
        <v>72</v>
      </c>
      <c r="F52" s="107">
        <v>24</v>
      </c>
      <c r="G52" s="108">
        <v>0.333333333333333</v>
      </c>
      <c r="H52" s="109">
        <v>1000</v>
      </c>
      <c r="I52" s="110">
        <v>200.360525</v>
      </c>
      <c r="J52" s="111">
        <v>0.200360525</v>
      </c>
      <c r="K52" s="110">
        <v>380</v>
      </c>
      <c r="L52" s="110">
        <v>3.92318359375</v>
      </c>
      <c r="M52" s="111">
        <v>0.0103241673519737</v>
      </c>
      <c r="N52" s="107">
        <v>40</v>
      </c>
      <c r="O52" s="107">
        <v>0</v>
      </c>
      <c r="P52" s="108">
        <v>0</v>
      </c>
      <c r="Q52" s="109">
        <v>400</v>
      </c>
      <c r="R52" s="110">
        <v>0</v>
      </c>
      <c r="S52" s="111">
        <v>0</v>
      </c>
      <c r="T52" s="112">
        <v>40</v>
      </c>
      <c r="U52" s="113">
        <v>1</v>
      </c>
      <c r="V52" s="114">
        <v>0.025</v>
      </c>
      <c r="W52" s="115">
        <v>400</v>
      </c>
      <c r="X52" s="116">
        <v>13.156231</v>
      </c>
      <c r="Y52" s="114">
        <v>0.0328905775</v>
      </c>
      <c r="Z52" s="117">
        <v>0</v>
      </c>
      <c r="AA52" s="118">
        <v>0</v>
      </c>
      <c r="AB52" s="118">
        <v>0</v>
      </c>
      <c r="AC52" s="118">
        <v>0</v>
      </c>
      <c r="AD52" s="118">
        <v>0</v>
      </c>
      <c r="AE52" s="118">
        <v>0</v>
      </c>
      <c r="AF52" s="107">
        <v>1</v>
      </c>
      <c r="AG52" s="98" t="s">
        <v>168</v>
      </c>
    </row>
    <row r="53" s="79" customFormat="1" ht="24.95" customHeight="1" spans="1:33">
      <c r="A53" s="104">
        <v>45</v>
      </c>
      <c r="B53" s="104" t="s">
        <v>31</v>
      </c>
      <c r="C53" s="105" t="s">
        <v>20</v>
      </c>
      <c r="D53" s="35" t="s">
        <v>83</v>
      </c>
      <c r="E53" s="106">
        <v>800</v>
      </c>
      <c r="F53" s="107">
        <v>355</v>
      </c>
      <c r="G53" s="108">
        <v>0.44375</v>
      </c>
      <c r="H53" s="109">
        <v>11151</v>
      </c>
      <c r="I53" s="110">
        <v>6602.23765700001</v>
      </c>
      <c r="J53" s="111">
        <v>0.592075836875617</v>
      </c>
      <c r="K53" s="110">
        <v>4132.5</v>
      </c>
      <c r="L53" s="110">
        <v>1337.82735399246</v>
      </c>
      <c r="M53" s="111">
        <v>0.32373317700967</v>
      </c>
      <c r="N53" s="107">
        <v>360</v>
      </c>
      <c r="O53" s="107">
        <v>97</v>
      </c>
      <c r="P53" s="108">
        <v>0.269444444444444</v>
      </c>
      <c r="Q53" s="109">
        <v>4350</v>
      </c>
      <c r="R53" s="110">
        <v>1125.547233</v>
      </c>
      <c r="S53" s="111">
        <v>0.258746490344828</v>
      </c>
      <c r="T53" s="112">
        <v>360</v>
      </c>
      <c r="U53" s="113">
        <v>132</v>
      </c>
      <c r="V53" s="114">
        <v>0.366666666666667</v>
      </c>
      <c r="W53" s="115">
        <v>4350</v>
      </c>
      <c r="X53" s="116">
        <v>1326.459565</v>
      </c>
      <c r="Y53" s="114">
        <v>0.304933233333333</v>
      </c>
      <c r="Z53" s="117">
        <v>5</v>
      </c>
      <c r="AA53" s="118">
        <v>6.209889</v>
      </c>
      <c r="AB53" s="118">
        <v>5</v>
      </c>
      <c r="AC53" s="118">
        <v>6.209889</v>
      </c>
      <c r="AD53" s="118">
        <v>5</v>
      </c>
      <c r="AE53" s="118">
        <v>6.209889</v>
      </c>
      <c r="AF53" s="107">
        <v>76</v>
      </c>
      <c r="AG53" s="98" t="s">
        <v>169</v>
      </c>
    </row>
    <row r="54" s="79" customFormat="1" ht="24.95" customHeight="1" spans="1:33">
      <c r="A54" s="104">
        <v>46</v>
      </c>
      <c r="B54" s="104" t="s">
        <v>49</v>
      </c>
      <c r="C54" s="105" t="s">
        <v>20</v>
      </c>
      <c r="D54" s="35" t="s">
        <v>84</v>
      </c>
      <c r="E54" s="106">
        <v>50</v>
      </c>
      <c r="F54" s="107">
        <v>0</v>
      </c>
      <c r="G54" s="108">
        <v>0</v>
      </c>
      <c r="H54" s="109">
        <v>700</v>
      </c>
      <c r="I54" s="110">
        <v>0</v>
      </c>
      <c r="J54" s="111">
        <v>0</v>
      </c>
      <c r="K54" s="110">
        <v>285</v>
      </c>
      <c r="L54" s="110">
        <v>0</v>
      </c>
      <c r="M54" s="111">
        <v>0</v>
      </c>
      <c r="N54" s="107">
        <v>30</v>
      </c>
      <c r="O54" s="107">
        <v>0</v>
      </c>
      <c r="P54" s="108">
        <v>0</v>
      </c>
      <c r="Q54" s="109">
        <v>300</v>
      </c>
      <c r="R54" s="110">
        <v>0</v>
      </c>
      <c r="S54" s="111">
        <v>0</v>
      </c>
      <c r="T54" s="112">
        <v>30</v>
      </c>
      <c r="U54" s="113">
        <v>0</v>
      </c>
      <c r="V54" s="114">
        <v>0</v>
      </c>
      <c r="W54" s="115">
        <v>300</v>
      </c>
      <c r="X54" s="116">
        <v>0</v>
      </c>
      <c r="Y54" s="114">
        <v>0</v>
      </c>
      <c r="Z54" s="117">
        <v>0</v>
      </c>
      <c r="AA54" s="118">
        <v>0</v>
      </c>
      <c r="AB54" s="118">
        <v>0</v>
      </c>
      <c r="AC54" s="118">
        <v>0</v>
      </c>
      <c r="AD54" s="118">
        <v>0</v>
      </c>
      <c r="AE54" s="118">
        <v>0</v>
      </c>
      <c r="AF54" s="107">
        <v>0</v>
      </c>
      <c r="AG54" s="98" t="s">
        <v>170</v>
      </c>
    </row>
    <row r="55" s="79" customFormat="1" ht="24.95" customHeight="1" spans="1:33">
      <c r="A55" s="104">
        <v>47</v>
      </c>
      <c r="B55" s="104" t="s">
        <v>49</v>
      </c>
      <c r="C55" s="105" t="s">
        <v>20</v>
      </c>
      <c r="D55" s="35" t="s">
        <v>85</v>
      </c>
      <c r="E55" s="106">
        <v>60</v>
      </c>
      <c r="F55" s="107">
        <v>8</v>
      </c>
      <c r="G55" s="108">
        <v>0.133333333333333</v>
      </c>
      <c r="H55" s="109">
        <v>840</v>
      </c>
      <c r="I55" s="110">
        <v>101.432496</v>
      </c>
      <c r="J55" s="111">
        <v>0.120752971428571</v>
      </c>
      <c r="K55" s="110">
        <v>190</v>
      </c>
      <c r="L55" s="110">
        <v>0</v>
      </c>
      <c r="M55" s="111">
        <v>0</v>
      </c>
      <c r="N55" s="107">
        <v>20</v>
      </c>
      <c r="O55" s="107">
        <v>0</v>
      </c>
      <c r="P55" s="108">
        <v>0</v>
      </c>
      <c r="Q55" s="109">
        <v>200</v>
      </c>
      <c r="R55" s="110">
        <v>0</v>
      </c>
      <c r="S55" s="111">
        <v>0</v>
      </c>
      <c r="T55" s="112">
        <v>20</v>
      </c>
      <c r="U55" s="113">
        <v>0</v>
      </c>
      <c r="V55" s="114">
        <v>0</v>
      </c>
      <c r="W55" s="115">
        <v>200</v>
      </c>
      <c r="X55" s="116">
        <v>0</v>
      </c>
      <c r="Y55" s="114">
        <v>0</v>
      </c>
      <c r="Z55" s="117">
        <v>0</v>
      </c>
      <c r="AA55" s="118">
        <v>0</v>
      </c>
      <c r="AB55" s="118">
        <v>0</v>
      </c>
      <c r="AC55" s="118">
        <v>0</v>
      </c>
      <c r="AD55" s="118">
        <v>0</v>
      </c>
      <c r="AE55" s="118">
        <v>0</v>
      </c>
      <c r="AF55" s="107">
        <v>0</v>
      </c>
      <c r="AG55" s="98" t="s">
        <v>171</v>
      </c>
    </row>
    <row r="56" s="79" customFormat="1" ht="24.95" customHeight="1" spans="1:33">
      <c r="A56" s="119" t="s">
        <v>86</v>
      </c>
      <c r="B56" s="119"/>
      <c r="C56" s="119"/>
      <c r="D56" s="104"/>
      <c r="E56" s="120">
        <v>2622</v>
      </c>
      <c r="F56" s="120">
        <v>1238</v>
      </c>
      <c r="G56" s="121">
        <v>0.472158657513349</v>
      </c>
      <c r="H56" s="120">
        <v>36539.8</v>
      </c>
      <c r="I56" s="120">
        <v>20213.57789</v>
      </c>
      <c r="J56" s="121">
        <v>0.553193446324282</v>
      </c>
      <c r="K56" s="120">
        <v>14130.3</v>
      </c>
      <c r="L56" s="120">
        <v>4942.49445849302</v>
      </c>
      <c r="M56" s="121">
        <v>0.349779867270548</v>
      </c>
      <c r="N56" s="120">
        <v>1145</v>
      </c>
      <c r="O56" s="120">
        <v>389</v>
      </c>
      <c r="P56" s="121">
        <v>0.339737991266376</v>
      </c>
      <c r="Q56" s="120">
        <v>14874</v>
      </c>
      <c r="R56" s="120">
        <v>4947.913034</v>
      </c>
      <c r="S56" s="121">
        <v>0.332655172381337</v>
      </c>
      <c r="T56" s="120">
        <v>1145</v>
      </c>
      <c r="U56" s="120">
        <v>523</v>
      </c>
      <c r="V56" s="121">
        <v>0.456768558951965</v>
      </c>
      <c r="W56" s="120">
        <v>14874</v>
      </c>
      <c r="X56" s="120">
        <v>6418.56592</v>
      </c>
      <c r="Y56" s="121">
        <v>0.431529240285061</v>
      </c>
      <c r="Z56" s="120">
        <v>15</v>
      </c>
      <c r="AA56" s="120">
        <v>150.528557</v>
      </c>
      <c r="AB56" s="120">
        <v>7</v>
      </c>
      <c r="AC56" s="120">
        <v>11.630401</v>
      </c>
      <c r="AD56" s="120">
        <v>6</v>
      </c>
      <c r="AE56" s="120">
        <v>7.585243</v>
      </c>
      <c r="AF56" s="120">
        <v>237</v>
      </c>
      <c r="AG56" s="122" t="s">
        <v>172</v>
      </c>
    </row>
    <row r="57" s="79" customFormat="1" ht="24.95" customHeight="1" spans="1:33">
      <c r="A57" s="104">
        <v>48</v>
      </c>
      <c r="B57" s="104" t="s">
        <v>37</v>
      </c>
      <c r="C57" s="105" t="s">
        <v>21</v>
      </c>
      <c r="D57" s="35" t="s">
        <v>87</v>
      </c>
      <c r="E57" s="106">
        <v>122</v>
      </c>
      <c r="F57" s="107">
        <v>125</v>
      </c>
      <c r="G57" s="108">
        <v>1.02459016393443</v>
      </c>
      <c r="H57" s="109">
        <v>3360</v>
      </c>
      <c r="I57" s="110">
        <v>1619.632112</v>
      </c>
      <c r="J57" s="111">
        <v>0.482033366666667</v>
      </c>
      <c r="K57" s="110">
        <v>1330</v>
      </c>
      <c r="L57" s="110">
        <v>31.2410927734375</v>
      </c>
      <c r="M57" s="111">
        <v>0.0234895434386748</v>
      </c>
      <c r="N57" s="107">
        <v>62</v>
      </c>
      <c r="O57" s="107">
        <v>1</v>
      </c>
      <c r="P57" s="108">
        <v>0.0161290322580645</v>
      </c>
      <c r="Q57" s="109">
        <v>1400</v>
      </c>
      <c r="R57" s="110">
        <v>26.676143</v>
      </c>
      <c r="S57" s="111">
        <v>0.0190543878571429</v>
      </c>
      <c r="T57" s="112">
        <v>62</v>
      </c>
      <c r="U57" s="113">
        <v>5</v>
      </c>
      <c r="V57" s="114">
        <v>0.0806451612903226</v>
      </c>
      <c r="W57" s="115">
        <v>1400</v>
      </c>
      <c r="X57" s="116">
        <v>55.939306</v>
      </c>
      <c r="Y57" s="114">
        <v>0.0399566471428571</v>
      </c>
      <c r="Z57" s="117">
        <v>1</v>
      </c>
      <c r="AA57" s="118">
        <v>0.117927</v>
      </c>
      <c r="AB57" s="118">
        <v>1</v>
      </c>
      <c r="AC57" s="118">
        <v>0.117927</v>
      </c>
      <c r="AD57" s="118">
        <v>1</v>
      </c>
      <c r="AE57" s="118">
        <v>0.117927</v>
      </c>
      <c r="AF57" s="107">
        <v>5</v>
      </c>
      <c r="AG57" s="98" t="s">
        <v>173</v>
      </c>
    </row>
    <row r="58" s="79" customFormat="1" ht="24.95" customHeight="1" spans="1:33">
      <c r="A58" s="104">
        <v>49</v>
      </c>
      <c r="B58" s="104" t="s">
        <v>31</v>
      </c>
      <c r="C58" s="105" t="s">
        <v>21</v>
      </c>
      <c r="D58" s="44" t="s">
        <v>88</v>
      </c>
      <c r="E58" s="106">
        <v>733</v>
      </c>
      <c r="F58" s="107">
        <v>273</v>
      </c>
      <c r="G58" s="108">
        <v>0.372442019099591</v>
      </c>
      <c r="H58" s="109">
        <v>6860</v>
      </c>
      <c r="I58" s="110">
        <v>2865.950985</v>
      </c>
      <c r="J58" s="111">
        <v>0.417777111516035</v>
      </c>
      <c r="K58" s="110">
        <v>2242</v>
      </c>
      <c r="L58" s="110">
        <v>810.473709020998</v>
      </c>
      <c r="M58" s="111">
        <v>0.361495855941569</v>
      </c>
      <c r="N58" s="107">
        <v>200</v>
      </c>
      <c r="O58" s="107">
        <v>31</v>
      </c>
      <c r="P58" s="108">
        <v>0.155</v>
      </c>
      <c r="Q58" s="109">
        <v>2360</v>
      </c>
      <c r="R58" s="110">
        <v>268.55853</v>
      </c>
      <c r="S58" s="111">
        <v>0.113795987288136</v>
      </c>
      <c r="T58" s="112">
        <v>200</v>
      </c>
      <c r="U58" s="113">
        <v>31</v>
      </c>
      <c r="V58" s="114">
        <v>0.155</v>
      </c>
      <c r="W58" s="115">
        <v>2360</v>
      </c>
      <c r="X58" s="116">
        <v>268.55853</v>
      </c>
      <c r="Y58" s="114">
        <v>0.113795987288136</v>
      </c>
      <c r="Z58" s="117">
        <v>0</v>
      </c>
      <c r="AA58" s="118">
        <v>0</v>
      </c>
      <c r="AB58" s="118">
        <v>0</v>
      </c>
      <c r="AC58" s="118">
        <v>0</v>
      </c>
      <c r="AD58" s="118">
        <v>0</v>
      </c>
      <c r="AE58" s="118">
        <v>0</v>
      </c>
      <c r="AF58" s="107">
        <v>0</v>
      </c>
      <c r="AG58" s="98" t="s">
        <v>174</v>
      </c>
    </row>
    <row r="59" s="79" customFormat="1" ht="24.95" customHeight="1" spans="1:33">
      <c r="A59" s="104">
        <v>50</v>
      </c>
      <c r="B59" s="104" t="s">
        <v>31</v>
      </c>
      <c r="C59" s="105" t="s">
        <v>21</v>
      </c>
      <c r="D59" s="44" t="s">
        <v>89</v>
      </c>
      <c r="E59" s="106">
        <v>299</v>
      </c>
      <c r="F59" s="107">
        <v>410</v>
      </c>
      <c r="G59" s="108">
        <v>1.37123745819398</v>
      </c>
      <c r="H59" s="109">
        <v>3710</v>
      </c>
      <c r="I59" s="110">
        <v>4272.48705399999</v>
      </c>
      <c r="J59" s="111">
        <v>1.15161376118598</v>
      </c>
      <c r="K59" s="110">
        <v>1425</v>
      </c>
      <c r="L59" s="110">
        <v>240.714943164062</v>
      </c>
      <c r="M59" s="111">
        <v>0.168922767132675</v>
      </c>
      <c r="N59" s="107">
        <v>150</v>
      </c>
      <c r="O59" s="107">
        <v>31</v>
      </c>
      <c r="P59" s="108">
        <v>0.206666666666667</v>
      </c>
      <c r="Q59" s="109">
        <v>1500</v>
      </c>
      <c r="R59" s="110">
        <v>307.471285</v>
      </c>
      <c r="S59" s="111">
        <v>0.204980856666667</v>
      </c>
      <c r="T59" s="112">
        <v>150</v>
      </c>
      <c r="U59" s="113">
        <v>86</v>
      </c>
      <c r="V59" s="114">
        <v>0.573333333333333</v>
      </c>
      <c r="W59" s="115">
        <v>1500</v>
      </c>
      <c r="X59" s="116">
        <v>708.635093</v>
      </c>
      <c r="Y59" s="114">
        <v>0.472423395333333</v>
      </c>
      <c r="Z59" s="117">
        <v>0</v>
      </c>
      <c r="AA59" s="118">
        <v>0</v>
      </c>
      <c r="AB59" s="118">
        <v>0</v>
      </c>
      <c r="AC59" s="118">
        <v>0</v>
      </c>
      <c r="AD59" s="118">
        <v>0</v>
      </c>
      <c r="AE59" s="118">
        <v>0</v>
      </c>
      <c r="AF59" s="107">
        <v>108</v>
      </c>
      <c r="AG59" s="98" t="s">
        <v>175</v>
      </c>
    </row>
    <row r="60" s="79" customFormat="1" ht="24.95" customHeight="1" spans="1:33">
      <c r="A60" s="104">
        <v>51</v>
      </c>
      <c r="B60" s="104" t="s">
        <v>40</v>
      </c>
      <c r="C60" s="105" t="s">
        <v>21</v>
      </c>
      <c r="D60" s="44" t="s">
        <v>90</v>
      </c>
      <c r="E60" s="106">
        <v>136</v>
      </c>
      <c r="F60" s="107">
        <v>43</v>
      </c>
      <c r="G60" s="108">
        <v>0.316176470588235</v>
      </c>
      <c r="H60" s="109">
        <v>1820</v>
      </c>
      <c r="I60" s="110">
        <v>839.464956</v>
      </c>
      <c r="J60" s="111">
        <v>0.461244481318681</v>
      </c>
      <c r="K60" s="110">
        <v>695.4</v>
      </c>
      <c r="L60" s="110">
        <v>114.777220751953</v>
      </c>
      <c r="M60" s="111">
        <v>0.165052086212185</v>
      </c>
      <c r="N60" s="107">
        <v>64</v>
      </c>
      <c r="O60" s="107">
        <v>9</v>
      </c>
      <c r="P60" s="108">
        <v>0.140625</v>
      </c>
      <c r="Q60" s="109">
        <v>732</v>
      </c>
      <c r="R60" s="110">
        <v>87.084939</v>
      </c>
      <c r="S60" s="111">
        <v>0.118968495901639</v>
      </c>
      <c r="T60" s="112">
        <v>64</v>
      </c>
      <c r="U60" s="113">
        <v>0</v>
      </c>
      <c r="V60" s="114">
        <v>0</v>
      </c>
      <c r="W60" s="115">
        <v>732</v>
      </c>
      <c r="X60" s="116">
        <v>0</v>
      </c>
      <c r="Y60" s="114">
        <v>0</v>
      </c>
      <c r="Z60" s="117">
        <v>2</v>
      </c>
      <c r="AA60" s="118">
        <v>8.328399</v>
      </c>
      <c r="AB60" s="118">
        <v>2</v>
      </c>
      <c r="AC60" s="118">
        <v>8.328399</v>
      </c>
      <c r="AD60" s="118">
        <v>2</v>
      </c>
      <c r="AE60" s="118">
        <v>8.328399</v>
      </c>
      <c r="AF60" s="107">
        <v>0</v>
      </c>
      <c r="AG60" s="98" t="s">
        <v>176</v>
      </c>
    </row>
    <row r="61" s="79" customFormat="1" ht="24.95" customHeight="1" spans="1:33">
      <c r="A61" s="104">
        <v>52</v>
      </c>
      <c r="B61" s="104" t="s">
        <v>31</v>
      </c>
      <c r="C61" s="105" t="s">
        <v>21</v>
      </c>
      <c r="D61" s="44" t="s">
        <v>91</v>
      </c>
      <c r="E61" s="106">
        <v>416</v>
      </c>
      <c r="F61" s="107">
        <v>93</v>
      </c>
      <c r="G61" s="108">
        <v>0.223557692307692</v>
      </c>
      <c r="H61" s="109">
        <v>3710</v>
      </c>
      <c r="I61" s="110">
        <v>833.150971000001</v>
      </c>
      <c r="J61" s="111">
        <v>0.224568994878706</v>
      </c>
      <c r="K61" s="110">
        <v>1425</v>
      </c>
      <c r="L61" s="110">
        <v>244.00930546875</v>
      </c>
      <c r="M61" s="111">
        <v>0.171234600328947</v>
      </c>
      <c r="N61" s="107">
        <v>150</v>
      </c>
      <c r="O61" s="107">
        <v>40</v>
      </c>
      <c r="P61" s="108">
        <v>0.266666666666667</v>
      </c>
      <c r="Q61" s="109">
        <v>1500</v>
      </c>
      <c r="R61" s="110">
        <v>280.838159</v>
      </c>
      <c r="S61" s="111">
        <v>0.187225439333333</v>
      </c>
      <c r="T61" s="112">
        <v>150</v>
      </c>
      <c r="U61" s="113">
        <v>40</v>
      </c>
      <c r="V61" s="114">
        <v>0.266666666666667</v>
      </c>
      <c r="W61" s="115">
        <v>1500</v>
      </c>
      <c r="X61" s="116">
        <v>309.397641</v>
      </c>
      <c r="Y61" s="114">
        <v>0.206265094</v>
      </c>
      <c r="Z61" s="117">
        <v>0</v>
      </c>
      <c r="AA61" s="118">
        <v>0</v>
      </c>
      <c r="AB61" s="118">
        <v>0</v>
      </c>
      <c r="AC61" s="118">
        <v>0</v>
      </c>
      <c r="AD61" s="118">
        <v>0</v>
      </c>
      <c r="AE61" s="118">
        <v>0</v>
      </c>
      <c r="AF61" s="107">
        <v>8</v>
      </c>
      <c r="AG61" s="98" t="s">
        <v>175</v>
      </c>
    </row>
    <row r="62" s="79" customFormat="1" ht="24.95" customHeight="1" spans="1:33">
      <c r="A62" s="104">
        <v>53</v>
      </c>
      <c r="B62" s="104" t="s">
        <v>40</v>
      </c>
      <c r="C62" s="105" t="s">
        <v>21</v>
      </c>
      <c r="D62" s="44" t="s">
        <v>92</v>
      </c>
      <c r="E62" s="106">
        <v>50</v>
      </c>
      <c r="F62" s="107">
        <v>23</v>
      </c>
      <c r="G62" s="108">
        <v>0.46</v>
      </c>
      <c r="H62" s="109">
        <v>700</v>
      </c>
      <c r="I62" s="110">
        <v>471.046961</v>
      </c>
      <c r="J62" s="111">
        <v>0.67292423</v>
      </c>
      <c r="K62" s="110">
        <v>475</v>
      </c>
      <c r="L62" s="110">
        <v>0</v>
      </c>
      <c r="M62" s="111">
        <v>0</v>
      </c>
      <c r="N62" s="107">
        <v>42</v>
      </c>
      <c r="O62" s="107">
        <v>0</v>
      </c>
      <c r="P62" s="108">
        <v>0</v>
      </c>
      <c r="Q62" s="109">
        <v>500</v>
      </c>
      <c r="R62" s="110">
        <v>0</v>
      </c>
      <c r="S62" s="111">
        <v>0</v>
      </c>
      <c r="T62" s="112">
        <v>42</v>
      </c>
      <c r="U62" s="113">
        <v>0</v>
      </c>
      <c r="V62" s="114">
        <v>0</v>
      </c>
      <c r="W62" s="115">
        <v>500</v>
      </c>
      <c r="X62" s="116">
        <v>0</v>
      </c>
      <c r="Y62" s="114">
        <v>0</v>
      </c>
      <c r="Z62" s="117">
        <v>0</v>
      </c>
      <c r="AA62" s="118">
        <v>0</v>
      </c>
      <c r="AB62" s="118">
        <v>0</v>
      </c>
      <c r="AC62" s="118">
        <v>0</v>
      </c>
      <c r="AD62" s="118">
        <v>0</v>
      </c>
      <c r="AE62" s="118">
        <v>0</v>
      </c>
      <c r="AF62" s="107">
        <v>0</v>
      </c>
      <c r="AG62" s="98" t="s">
        <v>173</v>
      </c>
    </row>
    <row r="63" s="79" customFormat="1" ht="24.95" customHeight="1" spans="1:33">
      <c r="A63" s="104">
        <v>54</v>
      </c>
      <c r="B63" s="104" t="s">
        <v>49</v>
      </c>
      <c r="C63" s="105" t="s">
        <v>21</v>
      </c>
      <c r="D63" s="44" t="s">
        <v>93</v>
      </c>
      <c r="E63" s="106">
        <v>81</v>
      </c>
      <c r="F63" s="107">
        <v>25</v>
      </c>
      <c r="G63" s="108">
        <v>0.308641975308642</v>
      </c>
      <c r="H63" s="109">
        <v>700</v>
      </c>
      <c r="I63" s="110">
        <v>299.91474</v>
      </c>
      <c r="J63" s="111">
        <v>0.428449628571428</v>
      </c>
      <c r="K63" s="110">
        <v>285</v>
      </c>
      <c r="L63" s="110">
        <v>64.9380337188721</v>
      </c>
      <c r="M63" s="111">
        <v>0.227852749890779</v>
      </c>
      <c r="N63" s="107">
        <v>42</v>
      </c>
      <c r="O63" s="107">
        <v>11</v>
      </c>
      <c r="P63" s="108">
        <v>0.261904761904762</v>
      </c>
      <c r="Q63" s="109">
        <v>300</v>
      </c>
      <c r="R63" s="110">
        <v>83.238661</v>
      </c>
      <c r="S63" s="111">
        <v>0.277462203333333</v>
      </c>
      <c r="T63" s="112">
        <v>42</v>
      </c>
      <c r="U63" s="113">
        <v>8</v>
      </c>
      <c r="V63" s="114">
        <v>0.19047619047619</v>
      </c>
      <c r="W63" s="115">
        <v>300</v>
      </c>
      <c r="X63" s="116">
        <v>65.929432</v>
      </c>
      <c r="Y63" s="114">
        <v>0.219764773333333</v>
      </c>
      <c r="Z63" s="117">
        <v>0</v>
      </c>
      <c r="AA63" s="118">
        <v>0</v>
      </c>
      <c r="AB63" s="118">
        <v>0</v>
      </c>
      <c r="AC63" s="118">
        <v>0</v>
      </c>
      <c r="AD63" s="118">
        <v>0</v>
      </c>
      <c r="AE63" s="118">
        <v>0</v>
      </c>
      <c r="AF63" s="107">
        <v>1</v>
      </c>
      <c r="AG63" s="98" t="s">
        <v>177</v>
      </c>
    </row>
    <row r="64" s="79" customFormat="1" ht="24.95" customHeight="1" spans="1:33">
      <c r="A64" s="104">
        <v>55</v>
      </c>
      <c r="B64" s="104" t="s">
        <v>40</v>
      </c>
      <c r="C64" s="105" t="s">
        <v>21</v>
      </c>
      <c r="D64" s="44" t="s">
        <v>94</v>
      </c>
      <c r="E64" s="106">
        <v>181</v>
      </c>
      <c r="F64" s="107">
        <v>23</v>
      </c>
      <c r="G64" s="108">
        <v>0.12707182320442</v>
      </c>
      <c r="H64" s="109">
        <v>1680</v>
      </c>
      <c r="I64" s="110">
        <v>367.403942</v>
      </c>
      <c r="J64" s="111">
        <v>0.218692822619048</v>
      </c>
      <c r="K64" s="110">
        <v>665</v>
      </c>
      <c r="L64" s="110">
        <v>41.4733462387085</v>
      </c>
      <c r="M64" s="111">
        <v>0.0623659341935466</v>
      </c>
      <c r="N64" s="107">
        <v>80</v>
      </c>
      <c r="O64" s="107">
        <v>3</v>
      </c>
      <c r="P64" s="108">
        <v>0.0375</v>
      </c>
      <c r="Q64" s="109">
        <v>700</v>
      </c>
      <c r="R64" s="110">
        <v>24.95081</v>
      </c>
      <c r="S64" s="111">
        <v>0.0356440142857143</v>
      </c>
      <c r="T64" s="112">
        <v>80</v>
      </c>
      <c r="U64" s="113">
        <v>8</v>
      </c>
      <c r="V64" s="114">
        <v>0.1</v>
      </c>
      <c r="W64" s="115">
        <v>700</v>
      </c>
      <c r="X64" s="116">
        <v>58.957562</v>
      </c>
      <c r="Y64" s="114">
        <v>0.0842250885714286</v>
      </c>
      <c r="Z64" s="117">
        <v>0</v>
      </c>
      <c r="AA64" s="118">
        <v>0</v>
      </c>
      <c r="AB64" s="118">
        <v>0</v>
      </c>
      <c r="AC64" s="118">
        <v>0</v>
      </c>
      <c r="AD64" s="118">
        <v>0</v>
      </c>
      <c r="AE64" s="118">
        <v>0</v>
      </c>
      <c r="AF64" s="107">
        <v>5</v>
      </c>
      <c r="AG64" s="98" t="s">
        <v>177</v>
      </c>
    </row>
    <row r="65" s="79" customFormat="1" ht="24.95" customHeight="1" spans="1:33">
      <c r="A65" s="104">
        <v>57</v>
      </c>
      <c r="B65" s="104" t="s">
        <v>49</v>
      </c>
      <c r="C65" s="105" t="s">
        <v>21</v>
      </c>
      <c r="D65" s="35" t="s">
        <v>95</v>
      </c>
      <c r="E65" s="106">
        <v>45</v>
      </c>
      <c r="F65" s="107">
        <v>47</v>
      </c>
      <c r="G65" s="108">
        <v>1.04444444444444</v>
      </c>
      <c r="H65" s="109">
        <v>700</v>
      </c>
      <c r="I65" s="110">
        <v>349.804326</v>
      </c>
      <c r="J65" s="111">
        <v>0.499720465714286</v>
      </c>
      <c r="K65" s="110">
        <v>285</v>
      </c>
      <c r="L65" s="110">
        <v>90.9375272216797</v>
      </c>
      <c r="M65" s="111">
        <v>0.319079042883087</v>
      </c>
      <c r="N65" s="107">
        <v>25</v>
      </c>
      <c r="O65" s="107">
        <v>5</v>
      </c>
      <c r="P65" s="108">
        <v>0.2</v>
      </c>
      <c r="Q65" s="109">
        <v>300</v>
      </c>
      <c r="R65" s="110">
        <v>31.70724</v>
      </c>
      <c r="S65" s="111">
        <v>0.1056908</v>
      </c>
      <c r="T65" s="112">
        <v>25</v>
      </c>
      <c r="U65" s="113">
        <v>19</v>
      </c>
      <c r="V65" s="114">
        <v>0.76</v>
      </c>
      <c r="W65" s="115">
        <v>300</v>
      </c>
      <c r="X65" s="116">
        <v>137.90921</v>
      </c>
      <c r="Y65" s="114">
        <v>0.459697366666667</v>
      </c>
      <c r="Z65" s="117">
        <v>0</v>
      </c>
      <c r="AA65" s="118">
        <v>0</v>
      </c>
      <c r="AB65" s="118">
        <v>0</v>
      </c>
      <c r="AC65" s="118">
        <v>0</v>
      </c>
      <c r="AD65" s="118">
        <v>0</v>
      </c>
      <c r="AE65" s="118">
        <v>0</v>
      </c>
      <c r="AF65" s="107">
        <v>17</v>
      </c>
      <c r="AG65" s="98" t="s">
        <v>178</v>
      </c>
    </row>
    <row r="66" s="79" customFormat="1" ht="24.95" customHeight="1" spans="1:33">
      <c r="A66" s="119" t="s">
        <v>96</v>
      </c>
      <c r="B66" s="119"/>
      <c r="C66" s="119"/>
      <c r="D66" s="104"/>
      <c r="E66" s="120">
        <v>2063</v>
      </c>
      <c r="F66" s="120">
        <v>1062</v>
      </c>
      <c r="G66" s="121">
        <v>0.514784294716432</v>
      </c>
      <c r="H66" s="120">
        <v>23240</v>
      </c>
      <c r="I66" s="120">
        <v>11918.856047</v>
      </c>
      <c r="J66" s="121">
        <v>0.512859554518072</v>
      </c>
      <c r="K66" s="120">
        <v>8827.4</v>
      </c>
      <c r="L66" s="120">
        <v>1638.56517835846</v>
      </c>
      <c r="M66" s="121">
        <v>0.18562262708821</v>
      </c>
      <c r="N66" s="120">
        <v>815</v>
      </c>
      <c r="O66" s="120">
        <v>131</v>
      </c>
      <c r="P66" s="121">
        <v>0.160736196319018</v>
      </c>
      <c r="Q66" s="120">
        <v>9292</v>
      </c>
      <c r="R66" s="120">
        <v>1110.525767</v>
      </c>
      <c r="S66" s="121">
        <v>0.119514180693069</v>
      </c>
      <c r="T66" s="120">
        <v>815</v>
      </c>
      <c r="U66" s="120">
        <v>197</v>
      </c>
      <c r="V66" s="121">
        <v>0.241717791411043</v>
      </c>
      <c r="W66" s="120">
        <v>9292</v>
      </c>
      <c r="X66" s="120">
        <v>1605.326774</v>
      </c>
      <c r="Y66" s="121">
        <v>0.172764396685321</v>
      </c>
      <c r="Z66" s="120">
        <v>3</v>
      </c>
      <c r="AA66" s="120">
        <v>8.446326</v>
      </c>
      <c r="AB66" s="120">
        <v>3</v>
      </c>
      <c r="AC66" s="120">
        <v>8.446326</v>
      </c>
      <c r="AD66" s="120">
        <v>3</v>
      </c>
      <c r="AE66" s="120">
        <v>8.446326</v>
      </c>
      <c r="AF66" s="120">
        <v>144</v>
      </c>
      <c r="AG66" s="120" t="s">
        <v>179</v>
      </c>
    </row>
    <row r="67" s="79" customFormat="1" ht="24.95" customHeight="1" spans="1:33">
      <c r="A67" s="104">
        <v>58</v>
      </c>
      <c r="B67" s="104" t="s">
        <v>31</v>
      </c>
      <c r="C67" s="105" t="s">
        <v>22</v>
      </c>
      <c r="D67" s="35" t="s">
        <v>97</v>
      </c>
      <c r="E67" s="106">
        <v>900</v>
      </c>
      <c r="F67" s="107">
        <v>418</v>
      </c>
      <c r="G67" s="108">
        <v>0.464444444444444</v>
      </c>
      <c r="H67" s="109">
        <v>6000</v>
      </c>
      <c r="I67" s="110">
        <v>2716.96358000002</v>
      </c>
      <c r="J67" s="111">
        <v>0.452827263333337</v>
      </c>
      <c r="K67" s="110">
        <v>2470</v>
      </c>
      <c r="L67" s="110">
        <v>136.068972549439</v>
      </c>
      <c r="M67" s="111">
        <v>0.0550886528540237</v>
      </c>
      <c r="N67" s="107">
        <v>400</v>
      </c>
      <c r="O67" s="107">
        <v>1</v>
      </c>
      <c r="P67" s="108">
        <v>0.0025</v>
      </c>
      <c r="Q67" s="109">
        <v>2600</v>
      </c>
      <c r="R67" s="110">
        <v>10.736402</v>
      </c>
      <c r="S67" s="111">
        <v>0.00412938538461538</v>
      </c>
      <c r="T67" s="112">
        <v>400</v>
      </c>
      <c r="U67" s="113">
        <v>2</v>
      </c>
      <c r="V67" s="114">
        <v>0.005</v>
      </c>
      <c r="W67" s="115">
        <v>2600</v>
      </c>
      <c r="X67" s="116">
        <v>16.29336</v>
      </c>
      <c r="Y67" s="114">
        <v>0.00626667692307692</v>
      </c>
      <c r="Z67" s="117">
        <v>0</v>
      </c>
      <c r="AA67" s="118">
        <v>0</v>
      </c>
      <c r="AB67" s="118">
        <v>0</v>
      </c>
      <c r="AC67" s="118">
        <v>0</v>
      </c>
      <c r="AD67" s="118">
        <v>0</v>
      </c>
      <c r="AE67" s="118">
        <v>0</v>
      </c>
      <c r="AF67" s="107">
        <v>494</v>
      </c>
      <c r="AG67" s="98" t="s">
        <v>180</v>
      </c>
    </row>
    <row r="68" s="79" customFormat="1" ht="24.95" customHeight="1" spans="1:33">
      <c r="A68" s="104">
        <v>59</v>
      </c>
      <c r="B68" s="104" t="s">
        <v>49</v>
      </c>
      <c r="C68" s="105" t="s">
        <v>22</v>
      </c>
      <c r="D68" s="35" t="s">
        <v>98</v>
      </c>
      <c r="E68" s="106">
        <v>100</v>
      </c>
      <c r="F68" s="107">
        <v>52</v>
      </c>
      <c r="G68" s="108">
        <v>0.52</v>
      </c>
      <c r="H68" s="109">
        <v>800</v>
      </c>
      <c r="I68" s="110">
        <v>454.826945</v>
      </c>
      <c r="J68" s="111">
        <v>0.56853368125</v>
      </c>
      <c r="K68" s="110">
        <v>285</v>
      </c>
      <c r="L68" s="110">
        <v>79.379475390625</v>
      </c>
      <c r="M68" s="111">
        <v>0.278524475054825</v>
      </c>
      <c r="N68" s="107">
        <v>30</v>
      </c>
      <c r="O68" s="107">
        <v>11</v>
      </c>
      <c r="P68" s="108">
        <v>0.366666666666667</v>
      </c>
      <c r="Q68" s="109">
        <v>300</v>
      </c>
      <c r="R68" s="110">
        <v>121.303309</v>
      </c>
      <c r="S68" s="111">
        <v>0.404344363333333</v>
      </c>
      <c r="T68" s="112">
        <v>30</v>
      </c>
      <c r="U68" s="113">
        <v>1</v>
      </c>
      <c r="V68" s="114">
        <v>0.0333333333333333</v>
      </c>
      <c r="W68" s="115">
        <v>300</v>
      </c>
      <c r="X68" s="116">
        <v>8.21691</v>
      </c>
      <c r="Y68" s="114">
        <v>0.0273897</v>
      </c>
      <c r="Z68" s="117">
        <v>0</v>
      </c>
      <c r="AA68" s="118">
        <v>0</v>
      </c>
      <c r="AB68" s="118">
        <v>0</v>
      </c>
      <c r="AC68" s="118">
        <v>0</v>
      </c>
      <c r="AD68" s="118">
        <v>0</v>
      </c>
      <c r="AE68" s="118">
        <v>0</v>
      </c>
      <c r="AF68" s="107">
        <v>0</v>
      </c>
      <c r="AG68" s="98" t="s">
        <v>181</v>
      </c>
    </row>
    <row r="69" s="79" customFormat="1" ht="24.95" customHeight="1" spans="1:33">
      <c r="A69" s="104">
        <v>60</v>
      </c>
      <c r="B69" s="104" t="s">
        <v>40</v>
      </c>
      <c r="C69" s="105" t="s">
        <v>22</v>
      </c>
      <c r="D69" s="35" t="s">
        <v>99</v>
      </c>
      <c r="E69" s="106">
        <v>101</v>
      </c>
      <c r="F69" s="107">
        <v>77</v>
      </c>
      <c r="G69" s="108">
        <v>0.762376237623762</v>
      </c>
      <c r="H69" s="109">
        <v>980</v>
      </c>
      <c r="I69" s="110">
        <v>727.080319000001</v>
      </c>
      <c r="J69" s="111">
        <v>0.741918692857144</v>
      </c>
      <c r="K69" s="110">
        <v>381.749525320429</v>
      </c>
      <c r="L69" s="110">
        <v>14.6069921386719</v>
      </c>
      <c r="M69" s="111">
        <v>0.0382632882815276</v>
      </c>
      <c r="N69" s="107">
        <v>32.8033963755471</v>
      </c>
      <c r="O69" s="107">
        <v>1</v>
      </c>
      <c r="P69" s="108">
        <v>0.0304846482526254</v>
      </c>
      <c r="Q69" s="109">
        <v>401.841605600452</v>
      </c>
      <c r="R69" s="110">
        <v>8.524588</v>
      </c>
      <c r="S69" s="111">
        <v>0.0212138013615144</v>
      </c>
      <c r="T69" s="112">
        <v>32.8033963755471</v>
      </c>
      <c r="U69" s="113">
        <v>3</v>
      </c>
      <c r="V69" s="114">
        <v>0.0914539447578762</v>
      </c>
      <c r="W69" s="115">
        <v>401.841605600452</v>
      </c>
      <c r="X69" s="116">
        <v>25.259587</v>
      </c>
      <c r="Y69" s="114">
        <v>0.0628595612001297</v>
      </c>
      <c r="Z69" s="117">
        <v>0</v>
      </c>
      <c r="AA69" s="118">
        <v>0</v>
      </c>
      <c r="AB69" s="118">
        <v>0</v>
      </c>
      <c r="AC69" s="118">
        <v>0</v>
      </c>
      <c r="AD69" s="118">
        <v>0</v>
      </c>
      <c r="AE69" s="118">
        <v>0</v>
      </c>
      <c r="AF69" s="107">
        <v>5</v>
      </c>
      <c r="AG69" s="98" t="s">
        <v>182</v>
      </c>
    </row>
    <row r="70" s="79" customFormat="1" ht="24.95" customHeight="1" spans="1:33">
      <c r="A70" s="104">
        <v>61</v>
      </c>
      <c r="B70" s="104" t="s">
        <v>40</v>
      </c>
      <c r="C70" s="105" t="s">
        <v>22</v>
      </c>
      <c r="D70" s="35" t="s">
        <v>100</v>
      </c>
      <c r="E70" s="106">
        <v>100</v>
      </c>
      <c r="F70" s="107">
        <v>43</v>
      </c>
      <c r="G70" s="108">
        <v>0.43</v>
      </c>
      <c r="H70" s="109">
        <v>980</v>
      </c>
      <c r="I70" s="110">
        <v>487.538371</v>
      </c>
      <c r="J70" s="111">
        <v>0.497488133673469</v>
      </c>
      <c r="K70" s="110">
        <v>381.9</v>
      </c>
      <c r="L70" s="110">
        <v>199.402919078064</v>
      </c>
      <c r="M70" s="111">
        <v>0.522133854616559</v>
      </c>
      <c r="N70" s="107">
        <v>32.8163265306122</v>
      </c>
      <c r="O70" s="107">
        <v>28</v>
      </c>
      <c r="P70" s="108">
        <v>0.853233830845772</v>
      </c>
      <c r="Q70" s="109">
        <v>402</v>
      </c>
      <c r="R70" s="110">
        <v>302.716955</v>
      </c>
      <c r="S70" s="111">
        <v>0.753027251243781</v>
      </c>
      <c r="T70" s="112">
        <v>32.8163265306122</v>
      </c>
      <c r="U70" s="113">
        <v>24</v>
      </c>
      <c r="V70" s="114">
        <v>0.731343283582091</v>
      </c>
      <c r="W70" s="115">
        <v>402</v>
      </c>
      <c r="X70" s="116">
        <v>254.183287</v>
      </c>
      <c r="Y70" s="114">
        <v>0.632296733830846</v>
      </c>
      <c r="Z70" s="117">
        <v>3</v>
      </c>
      <c r="AA70" s="118">
        <v>11.224971</v>
      </c>
      <c r="AB70" s="118">
        <v>3</v>
      </c>
      <c r="AC70" s="118">
        <v>11.224971</v>
      </c>
      <c r="AD70" s="118">
        <v>2</v>
      </c>
      <c r="AE70" s="118">
        <v>8.003928</v>
      </c>
      <c r="AF70" s="107">
        <v>4</v>
      </c>
      <c r="AG70" s="98" t="s">
        <v>183</v>
      </c>
    </row>
    <row r="71" s="79" customFormat="1" ht="24.95" customHeight="1" spans="1:33">
      <c r="A71" s="104">
        <v>62</v>
      </c>
      <c r="B71" s="104" t="s">
        <v>49</v>
      </c>
      <c r="C71" s="105" t="s">
        <v>22</v>
      </c>
      <c r="D71" s="35" t="s">
        <v>101</v>
      </c>
      <c r="E71" s="106">
        <v>90</v>
      </c>
      <c r="F71" s="107">
        <v>41</v>
      </c>
      <c r="G71" s="108">
        <v>0.455555555555556</v>
      </c>
      <c r="H71" s="109">
        <v>800</v>
      </c>
      <c r="I71" s="110">
        <v>375.613817</v>
      </c>
      <c r="J71" s="111">
        <v>0.46951727125</v>
      </c>
      <c r="K71" s="110">
        <v>285</v>
      </c>
      <c r="L71" s="110">
        <v>0</v>
      </c>
      <c r="M71" s="111">
        <v>0</v>
      </c>
      <c r="N71" s="107">
        <v>30</v>
      </c>
      <c r="O71" s="107">
        <v>0</v>
      </c>
      <c r="P71" s="108">
        <v>0</v>
      </c>
      <c r="Q71" s="109">
        <v>300</v>
      </c>
      <c r="R71" s="110">
        <v>0</v>
      </c>
      <c r="S71" s="111">
        <v>0</v>
      </c>
      <c r="T71" s="112">
        <v>30</v>
      </c>
      <c r="U71" s="113">
        <v>0</v>
      </c>
      <c r="V71" s="114">
        <v>0</v>
      </c>
      <c r="W71" s="115">
        <v>300</v>
      </c>
      <c r="X71" s="116">
        <v>0</v>
      </c>
      <c r="Y71" s="114">
        <v>0</v>
      </c>
      <c r="Z71" s="117">
        <v>0</v>
      </c>
      <c r="AA71" s="118">
        <v>0</v>
      </c>
      <c r="AB71" s="118">
        <v>0</v>
      </c>
      <c r="AC71" s="118">
        <v>0</v>
      </c>
      <c r="AD71" s="118">
        <v>0</v>
      </c>
      <c r="AE71" s="118">
        <v>0</v>
      </c>
      <c r="AF71" s="107">
        <v>7</v>
      </c>
      <c r="AG71" s="98" t="s">
        <v>184</v>
      </c>
    </row>
    <row r="72" s="79" customFormat="1" ht="24.95" customHeight="1" spans="1:33">
      <c r="A72" s="104">
        <v>63</v>
      </c>
      <c r="B72" s="104" t="s">
        <v>49</v>
      </c>
      <c r="C72" s="105" t="s">
        <v>22</v>
      </c>
      <c r="D72" s="35" t="s">
        <v>102</v>
      </c>
      <c r="E72" s="106">
        <v>90</v>
      </c>
      <c r="F72" s="107">
        <v>31</v>
      </c>
      <c r="G72" s="108">
        <v>0.344444444444444</v>
      </c>
      <c r="H72" s="109">
        <v>800</v>
      </c>
      <c r="I72" s="110">
        <v>403.055116</v>
      </c>
      <c r="J72" s="111">
        <v>0.503818895</v>
      </c>
      <c r="K72" s="110">
        <v>285</v>
      </c>
      <c r="L72" s="110">
        <v>36.477659765625</v>
      </c>
      <c r="M72" s="111">
        <v>0.127991788651316</v>
      </c>
      <c r="N72" s="107">
        <v>30</v>
      </c>
      <c r="O72" s="107">
        <v>2</v>
      </c>
      <c r="P72" s="108">
        <v>0.0666666666666667</v>
      </c>
      <c r="Q72" s="109">
        <v>300</v>
      </c>
      <c r="R72" s="110">
        <v>24.9391</v>
      </c>
      <c r="S72" s="111">
        <v>0.0831303333333333</v>
      </c>
      <c r="T72" s="112">
        <v>30</v>
      </c>
      <c r="U72" s="113">
        <v>3</v>
      </c>
      <c r="V72" s="114">
        <v>0.1</v>
      </c>
      <c r="W72" s="115">
        <v>300</v>
      </c>
      <c r="X72" s="116">
        <v>37.321397</v>
      </c>
      <c r="Y72" s="114">
        <v>0.124404656666667</v>
      </c>
      <c r="Z72" s="117">
        <v>0</v>
      </c>
      <c r="AA72" s="118">
        <v>0</v>
      </c>
      <c r="AB72" s="118">
        <v>0</v>
      </c>
      <c r="AC72" s="118">
        <v>0</v>
      </c>
      <c r="AD72" s="118">
        <v>0</v>
      </c>
      <c r="AE72" s="118">
        <v>0</v>
      </c>
      <c r="AF72" s="107">
        <v>1</v>
      </c>
      <c r="AG72" s="98" t="s">
        <v>185</v>
      </c>
    </row>
    <row r="73" s="79" customFormat="1" ht="24.95" customHeight="1" spans="1:33">
      <c r="A73" s="119" t="s">
        <v>103</v>
      </c>
      <c r="B73" s="119"/>
      <c r="C73" s="119"/>
      <c r="D73" s="104"/>
      <c r="E73" s="120">
        <v>1381</v>
      </c>
      <c r="F73" s="120">
        <v>662</v>
      </c>
      <c r="G73" s="121">
        <v>0.479362780593773</v>
      </c>
      <c r="H73" s="120">
        <v>10360</v>
      </c>
      <c r="I73" s="120">
        <v>5165.07814800002</v>
      </c>
      <c r="J73" s="121">
        <v>0.498559666795369</v>
      </c>
      <c r="K73" s="120">
        <v>4088.64952532043</v>
      </c>
      <c r="L73" s="120">
        <v>465.936018922424</v>
      </c>
      <c r="M73" s="121">
        <v>0.113958414884169</v>
      </c>
      <c r="N73" s="120">
        <v>555.619722906159</v>
      </c>
      <c r="O73" s="120">
        <v>43</v>
      </c>
      <c r="P73" s="121">
        <v>0.077391061237152</v>
      </c>
      <c r="Q73" s="120">
        <v>4303.84160560045</v>
      </c>
      <c r="R73" s="120">
        <v>468.220354</v>
      </c>
      <c r="S73" s="121">
        <v>0.108791260670634</v>
      </c>
      <c r="T73" s="120">
        <v>555.619722906159</v>
      </c>
      <c r="U73" s="120">
        <v>33</v>
      </c>
      <c r="V73" s="121">
        <v>0.0593931400192097</v>
      </c>
      <c r="W73" s="120">
        <v>4303.84160560045</v>
      </c>
      <c r="X73" s="120">
        <v>341.274541</v>
      </c>
      <c r="Y73" s="121">
        <v>0.0792953301431704</v>
      </c>
      <c r="Z73" s="120">
        <v>3</v>
      </c>
      <c r="AA73" s="120">
        <v>11.224971</v>
      </c>
      <c r="AB73" s="120">
        <v>3</v>
      </c>
      <c r="AC73" s="120">
        <v>11.224971</v>
      </c>
      <c r="AD73" s="120">
        <v>2</v>
      </c>
      <c r="AE73" s="120">
        <v>8.003928</v>
      </c>
      <c r="AF73" s="120">
        <v>511</v>
      </c>
      <c r="AG73" s="122" t="s">
        <v>186</v>
      </c>
    </row>
    <row r="74" s="79" customFormat="1" ht="24.95" customHeight="1" spans="1:33">
      <c r="A74" s="104">
        <v>64</v>
      </c>
      <c r="B74" s="104" t="s">
        <v>49</v>
      </c>
      <c r="C74" s="105" t="s">
        <v>23</v>
      </c>
      <c r="D74" s="44" t="s">
        <v>104</v>
      </c>
      <c r="E74" s="106">
        <v>34</v>
      </c>
      <c r="F74" s="107">
        <v>0</v>
      </c>
      <c r="G74" s="108">
        <v>0</v>
      </c>
      <c r="H74" s="109">
        <v>520</v>
      </c>
      <c r="I74" s="110">
        <v>0</v>
      </c>
      <c r="J74" s="111">
        <v>0</v>
      </c>
      <c r="K74" s="110">
        <v>199.5</v>
      </c>
      <c r="L74" s="110">
        <v>0</v>
      </c>
      <c r="M74" s="111">
        <v>0</v>
      </c>
      <c r="N74" s="107">
        <v>15</v>
      </c>
      <c r="O74" s="107">
        <v>0</v>
      </c>
      <c r="P74" s="108">
        <v>0</v>
      </c>
      <c r="Q74" s="109">
        <v>210</v>
      </c>
      <c r="R74" s="110">
        <v>0</v>
      </c>
      <c r="S74" s="111">
        <v>0</v>
      </c>
      <c r="T74" s="112">
        <v>15</v>
      </c>
      <c r="U74" s="113">
        <v>0</v>
      </c>
      <c r="V74" s="114">
        <v>0</v>
      </c>
      <c r="W74" s="115">
        <v>210</v>
      </c>
      <c r="X74" s="116">
        <v>0</v>
      </c>
      <c r="Y74" s="114">
        <v>0</v>
      </c>
      <c r="Z74" s="117">
        <v>0</v>
      </c>
      <c r="AA74" s="118">
        <v>0</v>
      </c>
      <c r="AB74" s="118">
        <v>0</v>
      </c>
      <c r="AC74" s="118">
        <v>0</v>
      </c>
      <c r="AD74" s="118">
        <v>0</v>
      </c>
      <c r="AE74" s="118">
        <v>0</v>
      </c>
      <c r="AF74" s="107">
        <v>0</v>
      </c>
      <c r="AG74" s="98" t="s">
        <v>132</v>
      </c>
    </row>
    <row r="75" s="79" customFormat="1" ht="24.95" customHeight="1" spans="1:33">
      <c r="A75" s="104">
        <v>65</v>
      </c>
      <c r="B75" s="104" t="s">
        <v>49</v>
      </c>
      <c r="C75" s="105" t="s">
        <v>23</v>
      </c>
      <c r="D75" s="44" t="s">
        <v>105</v>
      </c>
      <c r="E75" s="106">
        <v>50</v>
      </c>
      <c r="F75" s="107">
        <v>2</v>
      </c>
      <c r="G75" s="108">
        <v>0.04</v>
      </c>
      <c r="H75" s="109">
        <v>500</v>
      </c>
      <c r="I75" s="110">
        <v>13.644988</v>
      </c>
      <c r="J75" s="111">
        <v>0.027289976</v>
      </c>
      <c r="K75" s="110">
        <v>190.95</v>
      </c>
      <c r="L75" s="110">
        <v>0</v>
      </c>
      <c r="M75" s="111">
        <v>0</v>
      </c>
      <c r="N75" s="107">
        <v>15</v>
      </c>
      <c r="O75" s="107">
        <v>0</v>
      </c>
      <c r="P75" s="108">
        <v>0</v>
      </c>
      <c r="Q75" s="109">
        <v>201</v>
      </c>
      <c r="R75" s="110">
        <v>0</v>
      </c>
      <c r="S75" s="111">
        <v>0</v>
      </c>
      <c r="T75" s="112">
        <v>15</v>
      </c>
      <c r="U75" s="113">
        <v>0</v>
      </c>
      <c r="V75" s="114">
        <v>0</v>
      </c>
      <c r="W75" s="115">
        <v>201</v>
      </c>
      <c r="X75" s="116">
        <v>0</v>
      </c>
      <c r="Y75" s="114">
        <v>0</v>
      </c>
      <c r="Z75" s="117">
        <v>1</v>
      </c>
      <c r="AA75" s="118">
        <v>2.219844</v>
      </c>
      <c r="AB75" s="118">
        <v>1</v>
      </c>
      <c r="AC75" s="118">
        <v>2.219844</v>
      </c>
      <c r="AD75" s="118">
        <v>1</v>
      </c>
      <c r="AE75" s="118">
        <v>2.219844</v>
      </c>
      <c r="AF75" s="107">
        <v>0</v>
      </c>
      <c r="AG75" s="98" t="s">
        <v>187</v>
      </c>
    </row>
    <row r="76" s="79" customFormat="1" ht="24.95" customHeight="1" spans="1:33">
      <c r="A76" s="104">
        <v>66</v>
      </c>
      <c r="B76" s="104" t="s">
        <v>49</v>
      </c>
      <c r="C76" s="105" t="s">
        <v>23</v>
      </c>
      <c r="D76" s="44" t="s">
        <v>106</v>
      </c>
      <c r="E76" s="106">
        <v>34</v>
      </c>
      <c r="F76" s="107">
        <v>0</v>
      </c>
      <c r="G76" s="108">
        <v>0</v>
      </c>
      <c r="H76" s="109">
        <v>520</v>
      </c>
      <c r="I76" s="110">
        <v>0</v>
      </c>
      <c r="J76" s="111">
        <v>0</v>
      </c>
      <c r="K76" s="110">
        <v>199.5</v>
      </c>
      <c r="L76" s="110">
        <v>0</v>
      </c>
      <c r="M76" s="111">
        <v>0</v>
      </c>
      <c r="N76" s="107">
        <v>15</v>
      </c>
      <c r="O76" s="107">
        <v>0</v>
      </c>
      <c r="P76" s="108">
        <v>0</v>
      </c>
      <c r="Q76" s="109">
        <v>210</v>
      </c>
      <c r="R76" s="110">
        <v>0</v>
      </c>
      <c r="S76" s="111">
        <v>0</v>
      </c>
      <c r="T76" s="112">
        <v>15</v>
      </c>
      <c r="U76" s="113">
        <v>0</v>
      </c>
      <c r="V76" s="114">
        <v>0</v>
      </c>
      <c r="W76" s="115">
        <v>210</v>
      </c>
      <c r="X76" s="116">
        <v>0</v>
      </c>
      <c r="Y76" s="114">
        <v>0</v>
      </c>
      <c r="Z76" s="117">
        <v>0</v>
      </c>
      <c r="AA76" s="118">
        <v>0</v>
      </c>
      <c r="AB76" s="118">
        <v>0</v>
      </c>
      <c r="AC76" s="118">
        <v>0</v>
      </c>
      <c r="AD76" s="118">
        <v>0</v>
      </c>
      <c r="AE76" s="118">
        <v>0</v>
      </c>
      <c r="AF76" s="107">
        <v>0</v>
      </c>
      <c r="AG76" s="98" t="s">
        <v>188</v>
      </c>
    </row>
    <row r="77" s="79" customFormat="1" ht="24.95" customHeight="1" spans="1:33">
      <c r="A77" s="119" t="s">
        <v>107</v>
      </c>
      <c r="B77" s="119"/>
      <c r="C77" s="119"/>
      <c r="D77" s="104"/>
      <c r="E77" s="120">
        <v>118</v>
      </c>
      <c r="F77" s="120">
        <v>2</v>
      </c>
      <c r="G77" s="121">
        <v>0.0169491525423729</v>
      </c>
      <c r="H77" s="120">
        <v>1540</v>
      </c>
      <c r="I77" s="120">
        <v>13.644988</v>
      </c>
      <c r="J77" s="121">
        <v>0.00886038181818182</v>
      </c>
      <c r="K77" s="120">
        <v>589.95</v>
      </c>
      <c r="L77" s="120">
        <v>0</v>
      </c>
      <c r="M77" s="121">
        <v>0</v>
      </c>
      <c r="N77" s="120">
        <v>45</v>
      </c>
      <c r="O77" s="120">
        <v>0</v>
      </c>
      <c r="P77" s="121">
        <v>0</v>
      </c>
      <c r="Q77" s="120">
        <v>621</v>
      </c>
      <c r="R77" s="120">
        <v>0</v>
      </c>
      <c r="S77" s="121">
        <v>0</v>
      </c>
      <c r="T77" s="120">
        <v>45</v>
      </c>
      <c r="U77" s="120">
        <v>0</v>
      </c>
      <c r="V77" s="121">
        <v>0</v>
      </c>
      <c r="W77" s="120">
        <v>621</v>
      </c>
      <c r="X77" s="120">
        <v>0</v>
      </c>
      <c r="Y77" s="121">
        <v>0</v>
      </c>
      <c r="Z77" s="120">
        <v>1</v>
      </c>
      <c r="AA77" s="120">
        <v>2.219844</v>
      </c>
      <c r="AB77" s="120">
        <v>1</v>
      </c>
      <c r="AC77" s="120">
        <v>2.219844</v>
      </c>
      <c r="AD77" s="120">
        <v>1</v>
      </c>
      <c r="AE77" s="120">
        <v>2.219844</v>
      </c>
      <c r="AF77" s="120">
        <v>0</v>
      </c>
      <c r="AG77" s="122"/>
    </row>
    <row r="78" s="79" customFormat="1" ht="24.95" customHeight="1" spans="1:33">
      <c r="A78" s="104">
        <v>67</v>
      </c>
      <c r="B78" s="104"/>
      <c r="C78" s="50" t="s">
        <v>24</v>
      </c>
      <c r="D78" s="44" t="s">
        <v>108</v>
      </c>
      <c r="E78" s="106"/>
      <c r="F78" s="107">
        <v>0</v>
      </c>
      <c r="G78" s="108"/>
      <c r="H78" s="109">
        <v>1402</v>
      </c>
      <c r="I78" s="110">
        <v>783.0672470768</v>
      </c>
      <c r="J78" s="111">
        <v>0.558535839569757</v>
      </c>
      <c r="K78" s="110">
        <v>570</v>
      </c>
      <c r="L78" s="110">
        <v>107.86624251</v>
      </c>
      <c r="M78" s="111">
        <v>0.189239021947368</v>
      </c>
      <c r="N78" s="107">
        <v>0</v>
      </c>
      <c r="O78" s="107">
        <v>0</v>
      </c>
      <c r="P78" s="108"/>
      <c r="Q78" s="109">
        <v>600</v>
      </c>
      <c r="R78" s="110">
        <v>47.5519506768</v>
      </c>
      <c r="S78" s="111">
        <v>0.079253251128</v>
      </c>
      <c r="T78" s="112">
        <v>0</v>
      </c>
      <c r="U78" s="113">
        <v>0</v>
      </c>
      <c r="V78" s="114"/>
      <c r="W78" s="115">
        <v>600</v>
      </c>
      <c r="X78" s="116">
        <v>207.8667224368</v>
      </c>
      <c r="Y78" s="114">
        <v>0.346444537394667</v>
      </c>
      <c r="Z78" s="117">
        <v>0</v>
      </c>
      <c r="AA78" s="118">
        <v>0</v>
      </c>
      <c r="AB78" s="118">
        <v>0</v>
      </c>
      <c r="AC78" s="118">
        <v>0</v>
      </c>
      <c r="AD78" s="118">
        <v>0</v>
      </c>
      <c r="AE78" s="118">
        <v>0</v>
      </c>
      <c r="AF78" s="107">
        <v>0</v>
      </c>
      <c r="AG78" s="98" t="s">
        <v>189</v>
      </c>
    </row>
    <row r="79" s="79" customFormat="1" ht="24.95" customHeight="1" spans="1:33">
      <c r="A79" s="104">
        <v>68</v>
      </c>
      <c r="B79" s="104"/>
      <c r="C79" s="50" t="s">
        <v>24</v>
      </c>
      <c r="D79" s="44" t="s">
        <v>109</v>
      </c>
      <c r="E79" s="106"/>
      <c r="F79" s="107">
        <v>0</v>
      </c>
      <c r="G79" s="108"/>
      <c r="H79" s="109">
        <v>720</v>
      </c>
      <c r="I79" s="110">
        <v>143.33</v>
      </c>
      <c r="J79" s="111">
        <v>0.199069444444444</v>
      </c>
      <c r="K79" s="110">
        <v>285</v>
      </c>
      <c r="L79" s="110">
        <v>0</v>
      </c>
      <c r="M79" s="111">
        <v>0</v>
      </c>
      <c r="N79" s="107">
        <v>0</v>
      </c>
      <c r="O79" s="107">
        <v>0</v>
      </c>
      <c r="P79" s="108"/>
      <c r="Q79" s="109">
        <v>300</v>
      </c>
      <c r="R79" s="110">
        <v>0</v>
      </c>
      <c r="S79" s="111">
        <v>0</v>
      </c>
      <c r="T79" s="112">
        <v>0</v>
      </c>
      <c r="U79" s="113">
        <v>0</v>
      </c>
      <c r="V79" s="114"/>
      <c r="W79" s="115">
        <v>300</v>
      </c>
      <c r="X79" s="116">
        <v>0</v>
      </c>
      <c r="Y79" s="114">
        <v>0</v>
      </c>
      <c r="Z79" s="117">
        <v>0</v>
      </c>
      <c r="AA79" s="118">
        <v>0</v>
      </c>
      <c r="AB79" s="118">
        <v>0</v>
      </c>
      <c r="AC79" s="118">
        <v>0</v>
      </c>
      <c r="AD79" s="118">
        <v>0</v>
      </c>
      <c r="AE79" s="118">
        <v>0</v>
      </c>
      <c r="AF79" s="107">
        <v>0</v>
      </c>
      <c r="AG79" s="98" t="s">
        <v>190</v>
      </c>
    </row>
    <row r="80" s="79" customFormat="1" ht="24.95" customHeight="1" spans="1:33">
      <c r="A80" s="104">
        <v>69</v>
      </c>
      <c r="B80" s="104"/>
      <c r="C80" s="50" t="s">
        <v>24</v>
      </c>
      <c r="D80" s="44" t="s">
        <v>110</v>
      </c>
      <c r="E80" s="106"/>
      <c r="F80" s="107">
        <v>0</v>
      </c>
      <c r="G80" s="108"/>
      <c r="H80" s="109">
        <v>720</v>
      </c>
      <c r="I80" s="110">
        <v>314.701725814</v>
      </c>
      <c r="J80" s="111">
        <v>0.437085730297222</v>
      </c>
      <c r="K80" s="110">
        <v>285</v>
      </c>
      <c r="L80" s="110">
        <v>9.1938007195</v>
      </c>
      <c r="M80" s="111">
        <v>0.0322589498929825</v>
      </c>
      <c r="N80" s="107">
        <v>0</v>
      </c>
      <c r="O80" s="107">
        <v>0</v>
      </c>
      <c r="P80" s="108"/>
      <c r="Q80" s="109">
        <v>300</v>
      </c>
      <c r="R80" s="110">
        <v>7.12111644</v>
      </c>
      <c r="S80" s="111">
        <v>0.0237370548</v>
      </c>
      <c r="T80" s="112">
        <v>0</v>
      </c>
      <c r="U80" s="113">
        <v>0</v>
      </c>
      <c r="V80" s="114"/>
      <c r="W80" s="115">
        <v>300</v>
      </c>
      <c r="X80" s="116">
        <v>9.34063396</v>
      </c>
      <c r="Y80" s="114">
        <v>0.0311354465333333</v>
      </c>
      <c r="Z80" s="117">
        <v>0</v>
      </c>
      <c r="AA80" s="118">
        <v>0</v>
      </c>
      <c r="AB80" s="118">
        <v>0</v>
      </c>
      <c r="AC80" s="118">
        <v>0</v>
      </c>
      <c r="AD80" s="118">
        <v>0</v>
      </c>
      <c r="AE80" s="118">
        <v>0</v>
      </c>
      <c r="AF80" s="107">
        <v>0</v>
      </c>
      <c r="AG80" s="98" t="s">
        <v>191</v>
      </c>
    </row>
    <row r="81" s="79" customFormat="1" ht="24.95" customHeight="1" spans="1:33">
      <c r="A81" s="104">
        <v>70</v>
      </c>
      <c r="B81" s="104"/>
      <c r="C81" s="50" t="s">
        <v>24</v>
      </c>
      <c r="D81" s="44" t="s">
        <v>111</v>
      </c>
      <c r="E81" s="106"/>
      <c r="F81" s="107">
        <v>0</v>
      </c>
      <c r="G81" s="108"/>
      <c r="H81" s="109">
        <v>4800</v>
      </c>
      <c r="I81" s="110">
        <v>2237.88266880236</v>
      </c>
      <c r="J81" s="111">
        <v>0.466225556000492</v>
      </c>
      <c r="K81" s="110">
        <v>1900</v>
      </c>
      <c r="L81" s="110">
        <v>613.538922283294</v>
      </c>
      <c r="M81" s="111">
        <v>0.322915222254365</v>
      </c>
      <c r="N81" s="107">
        <v>0</v>
      </c>
      <c r="O81" s="107">
        <v>0</v>
      </c>
      <c r="P81" s="108"/>
      <c r="Q81" s="109">
        <v>2000</v>
      </c>
      <c r="R81" s="110">
        <v>614.79</v>
      </c>
      <c r="S81" s="111">
        <v>0.307395</v>
      </c>
      <c r="T81" s="112">
        <v>0</v>
      </c>
      <c r="U81" s="113">
        <v>0</v>
      </c>
      <c r="V81" s="114"/>
      <c r="W81" s="115">
        <v>2000</v>
      </c>
      <c r="X81" s="116">
        <v>718.78</v>
      </c>
      <c r="Y81" s="114">
        <v>0.35939</v>
      </c>
      <c r="Z81" s="117">
        <v>0</v>
      </c>
      <c r="AA81" s="118">
        <v>0</v>
      </c>
      <c r="AB81" s="118">
        <v>0</v>
      </c>
      <c r="AC81" s="118">
        <v>0</v>
      </c>
      <c r="AD81" s="118">
        <v>0</v>
      </c>
      <c r="AE81" s="118">
        <v>0</v>
      </c>
      <c r="AF81" s="107">
        <v>0</v>
      </c>
      <c r="AG81" s="98" t="s">
        <v>192</v>
      </c>
    </row>
    <row r="82" s="79" customFormat="1" ht="24.95" customHeight="1" spans="1:33">
      <c r="A82" s="104">
        <v>71</v>
      </c>
      <c r="B82" s="104"/>
      <c r="C82" s="50" t="s">
        <v>24</v>
      </c>
      <c r="D82" s="44" t="s">
        <v>112</v>
      </c>
      <c r="E82" s="106"/>
      <c r="F82" s="107">
        <v>0</v>
      </c>
      <c r="G82" s="108"/>
      <c r="H82" s="109">
        <v>2400</v>
      </c>
      <c r="I82" s="110">
        <v>3055.5543527446</v>
      </c>
      <c r="J82" s="111">
        <v>1.27314764697692</v>
      </c>
      <c r="K82" s="110">
        <v>950</v>
      </c>
      <c r="L82" s="110">
        <v>55.9401236</v>
      </c>
      <c r="M82" s="111">
        <v>0.0588843406315789</v>
      </c>
      <c r="N82" s="107">
        <v>0</v>
      </c>
      <c r="O82" s="107">
        <v>0</v>
      </c>
      <c r="P82" s="108"/>
      <c r="Q82" s="109">
        <v>1000</v>
      </c>
      <c r="R82" s="110">
        <v>8.73</v>
      </c>
      <c r="S82" s="111">
        <v>0.00873</v>
      </c>
      <c r="T82" s="112">
        <v>0</v>
      </c>
      <c r="U82" s="113">
        <v>0</v>
      </c>
      <c r="V82" s="114"/>
      <c r="W82" s="115">
        <v>1000</v>
      </c>
      <c r="X82" s="116">
        <v>259.37</v>
      </c>
      <c r="Y82" s="114">
        <v>0.25937</v>
      </c>
      <c r="Z82" s="117">
        <v>0</v>
      </c>
      <c r="AA82" s="118">
        <v>0</v>
      </c>
      <c r="AB82" s="118">
        <v>0</v>
      </c>
      <c r="AC82" s="118">
        <v>0</v>
      </c>
      <c r="AD82" s="118">
        <v>0</v>
      </c>
      <c r="AE82" s="118">
        <v>0</v>
      </c>
      <c r="AF82" s="107">
        <v>0</v>
      </c>
      <c r="AG82" s="98" t="s">
        <v>193</v>
      </c>
    </row>
    <row r="83" s="79" customFormat="1" ht="24.95" customHeight="1" spans="1:33">
      <c r="A83" s="104">
        <v>72</v>
      </c>
      <c r="B83" s="104"/>
      <c r="C83" s="50" t="s">
        <v>24</v>
      </c>
      <c r="D83" s="44" t="s">
        <v>113</v>
      </c>
      <c r="E83" s="106"/>
      <c r="F83" s="107">
        <v>180</v>
      </c>
      <c r="G83" s="108"/>
      <c r="H83" s="109">
        <v>1960</v>
      </c>
      <c r="I83" s="110">
        <v>879.263026</v>
      </c>
      <c r="J83" s="111">
        <v>0.448603584693878</v>
      </c>
      <c r="K83" s="110">
        <v>950</v>
      </c>
      <c r="L83" s="110">
        <v>115.33292481842</v>
      </c>
      <c r="M83" s="111">
        <v>0.121403078756232</v>
      </c>
      <c r="N83" s="107">
        <v>0</v>
      </c>
      <c r="O83" s="107"/>
      <c r="P83" s="108"/>
      <c r="Q83" s="109">
        <v>1000</v>
      </c>
      <c r="R83" s="110">
        <v>249.818348</v>
      </c>
      <c r="S83" s="111">
        <v>0.249818348</v>
      </c>
      <c r="T83" s="112">
        <v>0</v>
      </c>
      <c r="U83" s="113"/>
      <c r="V83" s="114"/>
      <c r="W83" s="115">
        <v>1000</v>
      </c>
      <c r="X83" s="116">
        <v>340.707826</v>
      </c>
      <c r="Y83" s="114">
        <v>0.340707826</v>
      </c>
      <c r="Z83" s="117">
        <v>0</v>
      </c>
      <c r="AA83" s="118">
        <v>0</v>
      </c>
      <c r="AB83" s="118">
        <v>0</v>
      </c>
      <c r="AC83" s="118">
        <v>0</v>
      </c>
      <c r="AD83" s="118">
        <v>0</v>
      </c>
      <c r="AE83" s="118">
        <v>0</v>
      </c>
      <c r="AF83" s="107">
        <v>16</v>
      </c>
      <c r="AG83" s="98" t="s">
        <v>194</v>
      </c>
    </row>
    <row r="84" s="79" customFormat="1" ht="24.95" customHeight="1" spans="1:33">
      <c r="A84" s="124" t="s">
        <v>114</v>
      </c>
      <c r="B84" s="124"/>
      <c r="C84" s="124"/>
      <c r="D84" s="125"/>
      <c r="E84" s="126"/>
      <c r="F84" s="126"/>
      <c r="G84" s="127"/>
      <c r="H84" s="128">
        <v>12002</v>
      </c>
      <c r="I84" s="128">
        <v>7413.79902043776</v>
      </c>
      <c r="J84" s="129">
        <v>0.617713632764353</v>
      </c>
      <c r="K84" s="128">
        <v>4940</v>
      </c>
      <c r="L84" s="128">
        <v>901.872013931214</v>
      </c>
      <c r="M84" s="129">
        <v>0.182565185006319</v>
      </c>
      <c r="N84" s="128">
        <v>0</v>
      </c>
      <c r="O84" s="128">
        <v>0</v>
      </c>
      <c r="P84" s="128">
        <v>0</v>
      </c>
      <c r="Q84" s="128">
        <v>5200</v>
      </c>
      <c r="R84" s="128">
        <v>928.0114151168</v>
      </c>
      <c r="S84" s="129">
        <v>0.178463733676308</v>
      </c>
      <c r="T84" s="128">
        <v>0</v>
      </c>
      <c r="U84" s="128">
        <v>0</v>
      </c>
      <c r="V84" s="128">
        <v>0</v>
      </c>
      <c r="W84" s="128">
        <v>5200</v>
      </c>
      <c r="X84" s="128">
        <v>1536.0651823968</v>
      </c>
      <c r="Y84" s="129">
        <v>0.295397150460923</v>
      </c>
      <c r="Z84" s="128">
        <v>0</v>
      </c>
      <c r="AA84" s="128">
        <v>0</v>
      </c>
      <c r="AB84" s="128">
        <v>0</v>
      </c>
      <c r="AC84" s="128">
        <v>0</v>
      </c>
      <c r="AD84" s="128">
        <v>0</v>
      </c>
      <c r="AE84" s="128">
        <v>0</v>
      </c>
      <c r="AF84" s="128">
        <v>16</v>
      </c>
      <c r="AG84" s="130" t="s">
        <v>195</v>
      </c>
    </row>
    <row r="85" s="81" customFormat="1" ht="24" customHeight="1" spans="1:33">
      <c r="A85" s="131" t="s">
        <v>115</v>
      </c>
      <c r="B85" s="131"/>
      <c r="C85" s="131"/>
      <c r="D85" s="132"/>
      <c r="E85" s="133">
        <v>15930</v>
      </c>
      <c r="F85" s="134">
        <v>7792</v>
      </c>
      <c r="G85" s="135">
        <v>0.489139987445072</v>
      </c>
      <c r="H85" s="134">
        <v>245000.01666655</v>
      </c>
      <c r="I85" s="134">
        <v>127099.487594508</v>
      </c>
      <c r="J85" s="136">
        <v>0.518773383462634</v>
      </c>
      <c r="K85" s="134">
        <v>95000.3930110149</v>
      </c>
      <c r="L85" s="134">
        <v>36141.7555228928</v>
      </c>
      <c r="M85" s="136">
        <v>0.380437957964051</v>
      </c>
      <c r="N85" s="134">
        <v>6499.61972290616</v>
      </c>
      <c r="O85" s="134">
        <v>1961</v>
      </c>
      <c r="P85" s="135">
        <v>0.301709958982521</v>
      </c>
      <c r="Q85" s="134">
        <v>100000.413695805</v>
      </c>
      <c r="R85" s="134">
        <v>34337.4646771168</v>
      </c>
      <c r="S85" s="137">
        <v>0.343373226250535</v>
      </c>
      <c r="T85" s="134">
        <v>6499.61972290616</v>
      </c>
      <c r="U85" s="134">
        <v>2632</v>
      </c>
      <c r="V85" s="136">
        <v>0.404946767996938</v>
      </c>
      <c r="W85" s="134">
        <v>100000.413695805</v>
      </c>
      <c r="X85" s="134">
        <v>43006.7060108068</v>
      </c>
      <c r="Y85" s="137">
        <v>0.430065280946041</v>
      </c>
      <c r="Z85" s="134">
        <v>180</v>
      </c>
      <c r="AA85" s="134">
        <v>879.263026</v>
      </c>
      <c r="AB85" s="134">
        <v>110</v>
      </c>
      <c r="AC85" s="134">
        <v>340.707826</v>
      </c>
      <c r="AD85" s="134">
        <v>42</v>
      </c>
      <c r="AE85" s="134">
        <v>249.818348</v>
      </c>
      <c r="AF85" s="134">
        <v>1735</v>
      </c>
      <c r="AG85" s="134"/>
    </row>
    <row r="86" s="81" customFormat="1" ht="24" hidden="1" customHeight="1" spans="1:33">
      <c r="A86" s="138" t="s">
        <v>116</v>
      </c>
      <c r="B86" s="138"/>
      <c r="C86" s="138"/>
      <c r="D86" s="138"/>
      <c r="E86" s="139"/>
      <c r="F86" s="140"/>
      <c r="G86" s="141"/>
      <c r="H86" s="140"/>
      <c r="I86" s="140">
        <v>416.33424107</v>
      </c>
      <c r="J86" s="142"/>
      <c r="K86" s="140"/>
      <c r="L86" s="140">
        <v>7235.07613779</v>
      </c>
      <c r="M86" s="142"/>
      <c r="N86" s="140"/>
      <c r="O86" s="140"/>
      <c r="P86" s="141"/>
      <c r="Q86" s="140"/>
      <c r="R86" s="140">
        <v>670.6661</v>
      </c>
      <c r="S86" s="143"/>
      <c r="T86" s="140"/>
      <c r="U86" s="140"/>
      <c r="V86" s="142"/>
      <c r="W86" s="140"/>
      <c r="X86" s="140">
        <v>652.47366241</v>
      </c>
      <c r="Y86" s="143"/>
      <c r="Z86" s="140"/>
      <c r="AA86" s="140"/>
      <c r="AB86" s="140"/>
      <c r="AC86" s="140"/>
      <c r="AD86" s="140"/>
      <c r="AE86" s="140"/>
      <c r="AF86" s="140"/>
      <c r="AG86" s="140"/>
    </row>
    <row r="87" s="79" customFormat="1" ht="20" customHeight="1" spans="1:33">
      <c r="E87" s="82"/>
      <c r="F87" s="82"/>
      <c r="H87" s="83"/>
      <c r="I87" s="83"/>
      <c r="K87" s="83"/>
      <c r="L87" s="83"/>
      <c r="N87" s="82"/>
      <c r="O87" s="82"/>
      <c r="Q87" s="83"/>
      <c r="R87" s="83"/>
      <c r="T87" s="82"/>
      <c r="U87" s="82"/>
      <c r="V87" s="144"/>
      <c r="W87" s="145"/>
      <c r="X87" s="145"/>
      <c r="Y87" s="144"/>
      <c r="Z87" s="144"/>
      <c r="AA87" s="144"/>
      <c r="AB87" s="144"/>
      <c r="AC87" s="144"/>
      <c r="AD87" s="144"/>
      <c r="AE87" s="144"/>
      <c r="AF87" s="146"/>
      <c r="AG87" s="144"/>
    </row>
    <row r="88" s="79" customFormat="1" spans="1:33">
      <c r="E88" s="82"/>
      <c r="F88" s="82"/>
      <c r="H88" s="83"/>
      <c r="I88" s="83"/>
      <c r="K88" s="83"/>
      <c r="L88" s="83"/>
      <c r="N88" s="82"/>
      <c r="O88" s="82"/>
      <c r="Q88" s="83"/>
      <c r="R88" s="83"/>
      <c r="T88" s="82"/>
      <c r="U88" s="82"/>
      <c r="V88" s="144"/>
      <c r="W88" s="145"/>
      <c r="X88" s="145"/>
      <c r="Y88" s="144"/>
      <c r="Z88" s="144"/>
      <c r="AA88" s="144"/>
      <c r="AB88" s="144"/>
      <c r="AC88" s="144"/>
      <c r="AD88" s="144"/>
      <c r="AE88" s="144"/>
      <c r="AF88" s="147"/>
      <c r="AG88" s="144"/>
    </row>
  </sheetData>
  <mergeCells count="27">
    <mergeCell ref="A1:AG1"/>
    <mergeCell ref="D2:E2"/>
    <mergeCell ref="E3:G3"/>
    <mergeCell ref="H3:J3"/>
    <mergeCell ref="K3:M3"/>
    <mergeCell ref="N3:P3"/>
    <mergeCell ref="Q3:S3"/>
    <mergeCell ref="T3:V3"/>
    <mergeCell ref="W3:Y3"/>
    <mergeCell ref="Z3:AE3"/>
    <mergeCell ref="A15:D15"/>
    <mergeCell ref="A24:D24"/>
    <mergeCell ref="A34:D34"/>
    <mergeCell ref="A46:D46"/>
    <mergeCell ref="A56:D56"/>
    <mergeCell ref="A66:D66"/>
    <mergeCell ref="A73:D73"/>
    <mergeCell ref="A77:D77"/>
    <mergeCell ref="A84:D84"/>
    <mergeCell ref="A85:D85"/>
    <mergeCell ref="A86:D86"/>
    <mergeCell ref="A3:A4"/>
    <mergeCell ref="B3:B4"/>
    <mergeCell ref="C3:C4"/>
    <mergeCell ref="D3:D4"/>
    <mergeCell ref="AF3:AF4"/>
    <mergeCell ref="AG3:AG4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5"/>
  <sheetViews>
    <sheetView workbookViewId="0">
      <selection activeCell="M26" sqref="M26"/>
    </sheetView>
  </sheetViews>
  <sheetFormatPr defaultColWidth="9" defaultRowHeight="13.5"/>
  <cols>
    <col min="1" max="1" width="16.3833333333333" style="2" customWidth="1"/>
    <col min="2" max="2" width="8.5" style="2" customWidth="1"/>
    <col min="3" max="5" width="9.25" style="2" customWidth="1"/>
    <col min="6" max="6" width="10.75" style="2" hidden="1" customWidth="1"/>
    <col min="7" max="7" width="10.625" style="2" hidden="1" customWidth="1"/>
    <col min="8" max="8" width="8.375" style="2" hidden="1" customWidth="1"/>
    <col min="9" max="9" width="10.375" style="2" hidden="1" customWidth="1"/>
    <col min="10" max="10" width="9.5" style="2" hidden="1" customWidth="1"/>
    <col min="11" max="11" width="10.75" style="2" customWidth="1"/>
    <col min="12" max="13" width="12.125" style="2" customWidth="1"/>
    <col min="14" max="14" width="10.125" style="2" customWidth="1"/>
    <col min="15" max="16" width="9.625" style="2" customWidth="1"/>
    <col min="17" max="17" width="12.625" style="2" customWidth="1"/>
    <col min="18" max="18" width="10.375" style="2" customWidth="1"/>
    <col min="19" max="19" width="9" style="2" customWidth="1"/>
    <col min="20" max="22" width="11.125" style="2" customWidth="1"/>
    <col min="23" max="23" width="10.625" style="2" customWidth="1"/>
    <col min="24" max="25" width="10.75" style="2" customWidth="1"/>
    <col min="26" max="27" width="10.75" style="2" hidden="1" customWidth="1"/>
    <col min="28" max="28" width="9.25" style="2" hidden="1" customWidth="1"/>
    <col min="29" max="29" width="8.125" style="2" hidden="1" customWidth="1"/>
    <col min="30" max="30" width="11.125" style="2" customWidth="1"/>
    <col min="31" max="31" width="9.25" style="2" customWidth="1"/>
    <col min="32" max="32" width="10.375" style="2" customWidth="1"/>
    <col min="33" max="16378" width="9" style="1"/>
  </cols>
  <sheetData>
    <row r="1" ht="18.75" spans="1:32">
      <c r="A1" s="3" t="s">
        <v>196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1"/>
      <c r="U2" s="20"/>
      <c r="V2" s="22"/>
      <c r="W2" s="23"/>
      <c r="X2" s="23"/>
      <c r="Y2" s="24"/>
      <c r="Z2" s="23"/>
      <c r="AA2" s="23"/>
    </row>
    <row r="3" s="1" customFormat="1" spans="1:32">
      <c r="A3" s="25" t="s">
        <v>30</v>
      </c>
      <c r="B3" s="25" t="s">
        <v>197</v>
      </c>
      <c r="C3" s="26" t="s">
        <v>119</v>
      </c>
      <c r="D3" s="27"/>
      <c r="E3" s="28"/>
      <c r="F3" s="26" t="s">
        <v>198</v>
      </c>
      <c r="G3" s="27"/>
      <c r="H3" s="28"/>
      <c r="I3" s="29" t="s">
        <v>199</v>
      </c>
      <c r="J3" s="29"/>
      <c r="K3" s="26" t="s">
        <v>200</v>
      </c>
      <c r="L3" s="27"/>
      <c r="M3" s="27"/>
      <c r="N3" s="26" t="s">
        <v>121</v>
      </c>
      <c r="O3" s="27"/>
      <c r="P3" s="27"/>
      <c r="Q3" s="26" t="s">
        <v>10</v>
      </c>
      <c r="R3" s="27"/>
      <c r="S3" s="28"/>
      <c r="T3" s="30" t="s">
        <v>122</v>
      </c>
      <c r="U3" s="31"/>
      <c r="V3" s="31"/>
      <c r="W3" s="30" t="s">
        <v>8</v>
      </c>
      <c r="X3" s="31"/>
      <c r="Y3" s="32"/>
      <c r="Z3" s="33" t="s">
        <v>6</v>
      </c>
      <c r="AA3" s="33"/>
      <c r="AB3" s="33" t="s">
        <v>201</v>
      </c>
      <c r="AC3" s="33"/>
      <c r="AD3" s="30" t="s">
        <v>202</v>
      </c>
      <c r="AE3" s="31"/>
      <c r="AF3" s="32"/>
    </row>
    <row r="4" s="1" customFormat="1" spans="1:32">
      <c r="A4" s="25"/>
      <c r="B4" s="25"/>
      <c r="C4" s="25">
        <v>2025</v>
      </c>
      <c r="D4" s="25">
        <v>2026</v>
      </c>
      <c r="E4" s="34" t="s">
        <v>203</v>
      </c>
      <c r="F4" s="25">
        <v>2025</v>
      </c>
      <c r="G4" s="25">
        <v>2026</v>
      </c>
      <c r="H4" s="34" t="s">
        <v>203</v>
      </c>
      <c r="I4" s="25">
        <v>2025</v>
      </c>
      <c r="J4" s="34">
        <v>2026</v>
      </c>
      <c r="K4" s="25">
        <v>2025</v>
      </c>
      <c r="L4" s="25">
        <v>2026</v>
      </c>
      <c r="M4" s="34" t="s">
        <v>203</v>
      </c>
      <c r="N4" s="25">
        <v>2025</v>
      </c>
      <c r="O4" s="25">
        <v>2026</v>
      </c>
      <c r="P4" s="34" t="s">
        <v>203</v>
      </c>
      <c r="Q4" s="25">
        <v>2025</v>
      </c>
      <c r="R4" s="25">
        <v>2026</v>
      </c>
      <c r="S4" s="34" t="s">
        <v>203</v>
      </c>
      <c r="T4" s="25">
        <v>2025</v>
      </c>
      <c r="U4" s="25">
        <v>2026</v>
      </c>
      <c r="V4" s="34" t="s">
        <v>203</v>
      </c>
      <c r="W4" s="25">
        <v>2025</v>
      </c>
      <c r="X4" s="25">
        <v>2026</v>
      </c>
      <c r="Y4" s="34" t="s">
        <v>203</v>
      </c>
      <c r="Z4" s="25">
        <v>2025</v>
      </c>
      <c r="AA4" s="34">
        <v>2026</v>
      </c>
      <c r="AB4" s="25">
        <v>2025</v>
      </c>
      <c r="AC4" s="34">
        <v>2026</v>
      </c>
      <c r="AD4" s="25">
        <v>2025</v>
      </c>
      <c r="AE4" s="25">
        <v>2026</v>
      </c>
      <c r="AF4" s="34" t="s">
        <v>203</v>
      </c>
    </row>
    <row r="5" s="1" customFormat="1" spans="1:32">
      <c r="A5" s="35" t="s">
        <v>32</v>
      </c>
      <c r="B5" s="25" t="s">
        <v>31</v>
      </c>
      <c r="C5" s="36">
        <v>714</v>
      </c>
      <c r="D5" s="36">
        <v>611</v>
      </c>
      <c r="E5" s="37">
        <v>-0.144257703081232</v>
      </c>
      <c r="F5" s="36">
        <v>12631.99446</v>
      </c>
      <c r="G5" s="36">
        <v>13962.58</v>
      </c>
      <c r="H5" s="37">
        <v>0.105334556962749</v>
      </c>
      <c r="I5" s="38"/>
      <c r="J5" s="38"/>
      <c r="K5" s="36">
        <v>12631.99446</v>
      </c>
      <c r="L5" s="36">
        <v>13962.58</v>
      </c>
      <c r="M5" s="37">
        <v>0.105334556962749</v>
      </c>
      <c r="N5" s="25">
        <v>371</v>
      </c>
      <c r="O5" s="25">
        <v>399</v>
      </c>
      <c r="P5" s="37">
        <v>0.0754716981132075</v>
      </c>
      <c r="Q5" s="39">
        <v>6707.28036</v>
      </c>
      <c r="R5" s="39">
        <v>7973.99</v>
      </c>
      <c r="S5" s="37">
        <v>0.188855925503612</v>
      </c>
      <c r="T5" s="40">
        <v>223</v>
      </c>
      <c r="U5" s="25">
        <v>358</v>
      </c>
      <c r="V5" s="37">
        <v>0.605381165919282</v>
      </c>
      <c r="W5" s="41">
        <v>4120.0566</v>
      </c>
      <c r="X5" s="41">
        <v>7334.898</v>
      </c>
      <c r="Y5" s="37">
        <v>0.780290591153529</v>
      </c>
      <c r="Z5" s="41">
        <v>5003.16894062499</v>
      </c>
      <c r="AA5" s="41">
        <v>6400.09946077882</v>
      </c>
      <c r="AB5" s="42"/>
      <c r="AC5" s="42"/>
      <c r="AD5" s="43">
        <v>5003.16894062499</v>
      </c>
      <c r="AE5" s="43">
        <v>6400.09946077882</v>
      </c>
      <c r="AF5" s="37">
        <v>0.279209144590533</v>
      </c>
    </row>
    <row r="6" s="1" customFormat="1" spans="1:32">
      <c r="A6" s="44" t="s">
        <v>33</v>
      </c>
      <c r="B6" s="25" t="s">
        <v>31</v>
      </c>
      <c r="C6" s="36">
        <v>500</v>
      </c>
      <c r="D6" s="36">
        <v>668</v>
      </c>
      <c r="E6" s="37">
        <v>0.336</v>
      </c>
      <c r="F6" s="36">
        <v>9367.98654</v>
      </c>
      <c r="G6" s="36">
        <v>16229.59</v>
      </c>
      <c r="H6" s="37">
        <v>0.73245231840395</v>
      </c>
      <c r="I6" s="38"/>
      <c r="J6" s="38"/>
      <c r="K6" s="36">
        <v>9367.98654</v>
      </c>
      <c r="L6" s="36">
        <v>16229.59</v>
      </c>
      <c r="M6" s="37">
        <v>0.73245231840395</v>
      </c>
      <c r="N6" s="25">
        <v>207</v>
      </c>
      <c r="O6" s="25">
        <v>385</v>
      </c>
      <c r="P6" s="37">
        <v>0.859903381642512</v>
      </c>
      <c r="Q6" s="39">
        <v>4230.2512</v>
      </c>
      <c r="R6" s="39">
        <v>6703.44</v>
      </c>
      <c r="S6" s="37">
        <v>0.584643484055982</v>
      </c>
      <c r="T6" s="40">
        <v>121</v>
      </c>
      <c r="U6" s="25">
        <v>292</v>
      </c>
      <c r="V6" s="37">
        <v>1.41322314049587</v>
      </c>
      <c r="W6" s="41">
        <v>2814.2512</v>
      </c>
      <c r="X6" s="41">
        <v>5227.151</v>
      </c>
      <c r="Y6" s="37">
        <v>0.857386078399825</v>
      </c>
      <c r="Z6" s="41">
        <v>3283.8379</v>
      </c>
      <c r="AA6" s="41">
        <v>6460.63484039001</v>
      </c>
      <c r="AB6" s="45"/>
      <c r="AC6" s="45"/>
      <c r="AD6" s="43">
        <v>3283.8379</v>
      </c>
      <c r="AE6" s="43">
        <v>6460.63484039001</v>
      </c>
      <c r="AF6" s="37">
        <v>0.967403701744844</v>
      </c>
    </row>
    <row r="7" s="1" customFormat="1" spans="1:32">
      <c r="A7" s="35" t="s">
        <v>34</v>
      </c>
      <c r="B7" s="25" t="s">
        <v>31</v>
      </c>
      <c r="C7" s="36">
        <v>446</v>
      </c>
      <c r="D7" s="36">
        <v>241</v>
      </c>
      <c r="E7" s="37">
        <v>-0.459641255605381</v>
      </c>
      <c r="F7" s="36">
        <v>6485.9783</v>
      </c>
      <c r="G7" s="36">
        <v>4610.69</v>
      </c>
      <c r="H7" s="37">
        <v>-0.289129598228844</v>
      </c>
      <c r="I7" s="38"/>
      <c r="J7" s="38"/>
      <c r="K7" s="36">
        <v>6485.9783</v>
      </c>
      <c r="L7" s="36">
        <v>4610.69</v>
      </c>
      <c r="M7" s="37">
        <v>-0.289129598228844</v>
      </c>
      <c r="N7" s="25">
        <v>126</v>
      </c>
      <c r="O7" s="25">
        <v>100</v>
      </c>
      <c r="P7" s="37">
        <v>-0.206349206349206</v>
      </c>
      <c r="Q7" s="39">
        <v>1887.3783</v>
      </c>
      <c r="R7" s="39">
        <v>1299.25</v>
      </c>
      <c r="S7" s="37">
        <v>-0.311611244020343</v>
      </c>
      <c r="T7" s="40">
        <v>125</v>
      </c>
      <c r="U7" s="25">
        <v>86</v>
      </c>
      <c r="V7" s="37">
        <v>-0.312</v>
      </c>
      <c r="W7" s="41">
        <v>1964.9378</v>
      </c>
      <c r="X7" s="41">
        <v>1137.01</v>
      </c>
      <c r="Y7" s="37">
        <v>-0.42135064020856</v>
      </c>
      <c r="Z7" s="41">
        <v>2215.7524</v>
      </c>
      <c r="AA7" s="41">
        <v>1241.089525</v>
      </c>
      <c r="AB7" s="42"/>
      <c r="AC7" s="42"/>
      <c r="AD7" s="43">
        <v>2215.7524</v>
      </c>
      <c r="AE7" s="43">
        <v>1241.089525</v>
      </c>
      <c r="AF7" s="37">
        <v>-0.439878966169686</v>
      </c>
    </row>
    <row r="8" s="1" customFormat="1" spans="1:32">
      <c r="A8" s="44" t="s">
        <v>35</v>
      </c>
      <c r="B8" s="25" t="s">
        <v>31</v>
      </c>
      <c r="C8" s="36">
        <v>0</v>
      </c>
      <c r="D8" s="36">
        <v>154</v>
      </c>
      <c r="E8" s="37" t="s">
        <v>25</v>
      </c>
      <c r="F8" s="36">
        <v>0</v>
      </c>
      <c r="G8" s="36">
        <v>2938.51</v>
      </c>
      <c r="H8" s="37" t="s">
        <v>25</v>
      </c>
      <c r="I8" s="38"/>
      <c r="J8" s="38"/>
      <c r="K8" s="36">
        <v>0</v>
      </c>
      <c r="L8" s="36">
        <v>2938.51</v>
      </c>
      <c r="M8" s="37" t="s">
        <v>25</v>
      </c>
      <c r="N8" s="25">
        <v>0</v>
      </c>
      <c r="O8" s="25">
        <v>74</v>
      </c>
      <c r="P8" s="37" t="s">
        <v>25</v>
      </c>
      <c r="Q8" s="39">
        <v>0</v>
      </c>
      <c r="R8" s="39">
        <v>778.22</v>
      </c>
      <c r="S8" s="37" t="s">
        <v>25</v>
      </c>
      <c r="T8" s="40">
        <v>0</v>
      </c>
      <c r="U8" s="25">
        <v>13</v>
      </c>
      <c r="V8" s="37" t="s">
        <v>25</v>
      </c>
      <c r="W8" s="41">
        <v>0</v>
      </c>
      <c r="X8" s="41">
        <v>131.17</v>
      </c>
      <c r="Y8" s="37" t="s">
        <v>25</v>
      </c>
      <c r="Z8" s="41">
        <v>0</v>
      </c>
      <c r="AA8" s="41">
        <v>116.493036914063</v>
      </c>
      <c r="AB8" s="45"/>
      <c r="AC8" s="45"/>
      <c r="AD8" s="43">
        <v>0</v>
      </c>
      <c r="AE8" s="43">
        <v>116.493036914063</v>
      </c>
      <c r="AF8" s="37" t="s">
        <v>25</v>
      </c>
    </row>
    <row r="9" s="1" customFormat="1" spans="1:32">
      <c r="A9" s="35" t="s">
        <v>36</v>
      </c>
      <c r="B9" s="25" t="s">
        <v>31</v>
      </c>
      <c r="C9" s="36">
        <v>0</v>
      </c>
      <c r="D9" s="36">
        <v>209</v>
      </c>
      <c r="E9" s="37" t="s">
        <v>25</v>
      </c>
      <c r="F9" s="36">
        <v>0</v>
      </c>
      <c r="G9" s="36">
        <v>2628.511774</v>
      </c>
      <c r="H9" s="37" t="s">
        <v>25</v>
      </c>
      <c r="I9" s="38"/>
      <c r="J9" s="38"/>
      <c r="K9" s="36">
        <v>0</v>
      </c>
      <c r="L9" s="36">
        <v>2628.511774</v>
      </c>
      <c r="M9" s="37" t="s">
        <v>25</v>
      </c>
      <c r="N9" s="25">
        <v>0</v>
      </c>
      <c r="O9" s="25">
        <v>75</v>
      </c>
      <c r="P9" s="37" t="s">
        <v>25</v>
      </c>
      <c r="Q9" s="39">
        <v>0</v>
      </c>
      <c r="R9" s="39">
        <v>781.541774</v>
      </c>
      <c r="S9" s="37" t="s">
        <v>25</v>
      </c>
      <c r="T9" s="40">
        <v>0</v>
      </c>
      <c r="U9" s="25">
        <v>47</v>
      </c>
      <c r="V9" s="37" t="s">
        <v>25</v>
      </c>
      <c r="W9" s="41">
        <v>0</v>
      </c>
      <c r="X9" s="41">
        <v>501.591774</v>
      </c>
      <c r="Y9" s="37" t="s">
        <v>25</v>
      </c>
      <c r="Z9" s="41">
        <v>0</v>
      </c>
      <c r="AA9" s="41">
        <v>649.660600390625</v>
      </c>
      <c r="AB9" s="42"/>
      <c r="AC9" s="42"/>
      <c r="AD9" s="43">
        <v>0</v>
      </c>
      <c r="AE9" s="43">
        <v>649.660600390625</v>
      </c>
      <c r="AF9" s="37" t="s">
        <v>25</v>
      </c>
    </row>
    <row r="10" s="1" customFormat="1" spans="1:32">
      <c r="A10" s="35" t="s">
        <v>38</v>
      </c>
      <c r="B10" s="25" t="s">
        <v>37</v>
      </c>
      <c r="C10" s="36">
        <v>79</v>
      </c>
      <c r="D10" s="36">
        <v>97</v>
      </c>
      <c r="E10" s="37">
        <v>0.227848101265823</v>
      </c>
      <c r="F10" s="36">
        <v>1044.926</v>
      </c>
      <c r="G10" s="36">
        <v>2073.6762</v>
      </c>
      <c r="H10" s="37">
        <v>0.984519669335436</v>
      </c>
      <c r="I10" s="38"/>
      <c r="J10" s="38"/>
      <c r="K10" s="36">
        <v>1044.926</v>
      </c>
      <c r="L10" s="36">
        <v>2073.6762</v>
      </c>
      <c r="M10" s="37">
        <v>0.984519669335436</v>
      </c>
      <c r="N10" s="25">
        <v>30</v>
      </c>
      <c r="O10" s="25">
        <v>17</v>
      </c>
      <c r="P10" s="37">
        <v>-0.433333333333333</v>
      </c>
      <c r="Q10" s="39">
        <v>487.232</v>
      </c>
      <c r="R10" s="39">
        <v>174.6562</v>
      </c>
      <c r="S10" s="37">
        <v>-0.641533807303297</v>
      </c>
      <c r="T10" s="40">
        <v>36</v>
      </c>
      <c r="U10" s="25">
        <v>21</v>
      </c>
      <c r="V10" s="37">
        <v>-0.416666666666667</v>
      </c>
      <c r="W10" s="41">
        <v>515.132</v>
      </c>
      <c r="X10" s="41">
        <v>233.7584</v>
      </c>
      <c r="Y10" s="37">
        <v>-0.546216503731082</v>
      </c>
      <c r="Z10" s="41">
        <v>545.380607647705</v>
      </c>
      <c r="AA10" s="41">
        <v>210.54</v>
      </c>
      <c r="AB10" s="42"/>
      <c r="AC10" s="42"/>
      <c r="AD10" s="43">
        <v>545.380607647705</v>
      </c>
      <c r="AE10" s="43">
        <v>210.54</v>
      </c>
      <c r="AF10" s="37">
        <v>-0.613957670940877</v>
      </c>
    </row>
    <row r="11" s="1" customFormat="1" spans="1:32">
      <c r="A11" s="35" t="s">
        <v>39</v>
      </c>
      <c r="B11" s="25" t="s">
        <v>37</v>
      </c>
      <c r="C11" s="36">
        <v>415</v>
      </c>
      <c r="D11" s="36">
        <v>168</v>
      </c>
      <c r="E11" s="37">
        <v>-0.595180722891566</v>
      </c>
      <c r="F11" s="36">
        <v>7818.733</v>
      </c>
      <c r="G11" s="36">
        <v>4513.387464</v>
      </c>
      <c r="H11" s="37">
        <v>-0.42274695094461</v>
      </c>
      <c r="I11" s="38"/>
      <c r="J11" s="38"/>
      <c r="K11" s="36">
        <v>7818.733</v>
      </c>
      <c r="L11" s="36">
        <v>4513.387464</v>
      </c>
      <c r="M11" s="37">
        <v>-0.42274695094461</v>
      </c>
      <c r="N11" s="25">
        <v>156</v>
      </c>
      <c r="O11" s="25">
        <v>53</v>
      </c>
      <c r="P11" s="37">
        <v>-0.66025641025641</v>
      </c>
      <c r="Q11" s="39">
        <v>2594.4505</v>
      </c>
      <c r="R11" s="39">
        <v>751.800574</v>
      </c>
      <c r="S11" s="37">
        <v>-0.710227435828897</v>
      </c>
      <c r="T11" s="40">
        <v>108</v>
      </c>
      <c r="U11" s="25">
        <v>28</v>
      </c>
      <c r="V11" s="37">
        <v>-0.740740740740741</v>
      </c>
      <c r="W11" s="41">
        <v>1970.7395</v>
      </c>
      <c r="X11" s="41">
        <v>328.07311</v>
      </c>
      <c r="Y11" s="37">
        <v>-0.833527916804834</v>
      </c>
      <c r="Z11" s="41">
        <v>2067.29189986572</v>
      </c>
      <c r="AA11" s="41">
        <v>543.830781655884</v>
      </c>
      <c r="AB11" s="42"/>
      <c r="AC11" s="42"/>
      <c r="AD11" s="43">
        <v>2067.29189986572</v>
      </c>
      <c r="AE11" s="43">
        <v>543.830781655884</v>
      </c>
      <c r="AF11" s="37">
        <v>-0.736935658824374</v>
      </c>
    </row>
    <row r="12" s="1" customFormat="1" spans="1:32">
      <c r="A12" s="35" t="s">
        <v>41</v>
      </c>
      <c r="B12" s="25" t="s">
        <v>40</v>
      </c>
      <c r="C12" s="36">
        <v>0</v>
      </c>
      <c r="D12" s="36">
        <v>74</v>
      </c>
      <c r="E12" s="37" t="s">
        <v>25</v>
      </c>
      <c r="F12" s="36">
        <v>0</v>
      </c>
      <c r="G12" s="36">
        <v>550.384413</v>
      </c>
      <c r="H12" s="37" t="s">
        <v>25</v>
      </c>
      <c r="I12" s="38"/>
      <c r="J12" s="38"/>
      <c r="K12" s="36">
        <v>0</v>
      </c>
      <c r="L12" s="36">
        <v>550.384413</v>
      </c>
      <c r="M12" s="37" t="s">
        <v>25</v>
      </c>
      <c r="N12" s="25">
        <v>0</v>
      </c>
      <c r="O12" s="25">
        <v>2</v>
      </c>
      <c r="P12" s="37" t="s">
        <v>25</v>
      </c>
      <c r="Q12" s="39">
        <v>0</v>
      </c>
      <c r="R12" s="39">
        <v>22.84</v>
      </c>
      <c r="S12" s="37" t="s">
        <v>25</v>
      </c>
      <c r="T12" s="40">
        <v>0</v>
      </c>
      <c r="U12" s="25">
        <v>2</v>
      </c>
      <c r="V12" s="37" t="s">
        <v>25</v>
      </c>
      <c r="W12" s="41">
        <v>0</v>
      </c>
      <c r="X12" s="41">
        <v>22.84</v>
      </c>
      <c r="Y12" s="37" t="s">
        <v>25</v>
      </c>
      <c r="Z12" s="41">
        <v>0</v>
      </c>
      <c r="AA12" s="41">
        <v>22.84</v>
      </c>
      <c r="AB12" s="42"/>
      <c r="AC12" s="42"/>
      <c r="AD12" s="43">
        <v>0</v>
      </c>
      <c r="AE12" s="43">
        <v>22.84</v>
      </c>
      <c r="AF12" s="37" t="s">
        <v>25</v>
      </c>
    </row>
    <row r="13" s="1" customFormat="1" spans="1:32">
      <c r="A13" s="35" t="s">
        <v>42</v>
      </c>
      <c r="B13" s="25" t="s">
        <v>40</v>
      </c>
      <c r="C13" s="36">
        <v>0</v>
      </c>
      <c r="D13" s="36">
        <v>0</v>
      </c>
      <c r="E13" s="37" t="s">
        <v>25</v>
      </c>
      <c r="F13" s="36">
        <v>0</v>
      </c>
      <c r="G13" s="36">
        <v>0</v>
      </c>
      <c r="H13" s="37" t="s">
        <v>25</v>
      </c>
      <c r="I13" s="38"/>
      <c r="J13" s="38"/>
      <c r="K13" s="36">
        <v>0</v>
      </c>
      <c r="L13" s="36">
        <v>0</v>
      </c>
      <c r="M13" s="37" t="s">
        <v>25</v>
      </c>
      <c r="N13" s="25">
        <v>0</v>
      </c>
      <c r="O13" s="25">
        <v>0</v>
      </c>
      <c r="P13" s="37" t="s">
        <v>25</v>
      </c>
      <c r="Q13" s="39">
        <v>0</v>
      </c>
      <c r="R13" s="39">
        <v>0</v>
      </c>
      <c r="S13" s="37" t="s">
        <v>25</v>
      </c>
      <c r="T13" s="40">
        <v>0</v>
      </c>
      <c r="U13" s="25">
        <v>0</v>
      </c>
      <c r="V13" s="37" t="s">
        <v>25</v>
      </c>
      <c r="W13" s="41">
        <v>0</v>
      </c>
      <c r="X13" s="41">
        <v>0</v>
      </c>
      <c r="Y13" s="37" t="s">
        <v>25</v>
      </c>
      <c r="Z13" s="41">
        <v>0</v>
      </c>
      <c r="AA13" s="41">
        <v>0</v>
      </c>
      <c r="AB13" s="42"/>
      <c r="AC13" s="42"/>
      <c r="AD13" s="43">
        <v>0</v>
      </c>
      <c r="AE13" s="43">
        <v>0</v>
      </c>
      <c r="AF13" s="37" t="s">
        <v>25</v>
      </c>
    </row>
    <row r="14" s="1" customFormat="1" spans="1:32">
      <c r="A14" s="35" t="s">
        <v>43</v>
      </c>
      <c r="B14" s="25" t="s">
        <v>40</v>
      </c>
      <c r="C14" s="36">
        <v>0</v>
      </c>
      <c r="D14" s="36">
        <v>0</v>
      </c>
      <c r="E14" s="37" t="s">
        <v>25</v>
      </c>
      <c r="F14" s="36">
        <v>0</v>
      </c>
      <c r="G14" s="36">
        <v>0</v>
      </c>
      <c r="H14" s="37" t="s">
        <v>25</v>
      </c>
      <c r="I14" s="38"/>
      <c r="J14" s="38"/>
      <c r="K14" s="36">
        <v>0</v>
      </c>
      <c r="L14" s="36">
        <v>0</v>
      </c>
      <c r="M14" s="37" t="s">
        <v>25</v>
      </c>
      <c r="N14" s="25">
        <v>0</v>
      </c>
      <c r="O14" s="25">
        <v>0</v>
      </c>
      <c r="P14" s="37" t="s">
        <v>25</v>
      </c>
      <c r="Q14" s="39">
        <v>0</v>
      </c>
      <c r="R14" s="39">
        <v>0</v>
      </c>
      <c r="S14" s="37" t="s">
        <v>25</v>
      </c>
      <c r="T14" s="40">
        <v>0</v>
      </c>
      <c r="U14" s="25">
        <v>0</v>
      </c>
      <c r="V14" s="37" t="s">
        <v>25</v>
      </c>
      <c r="W14" s="41">
        <v>0</v>
      </c>
      <c r="X14" s="41">
        <v>0</v>
      </c>
      <c r="Y14" s="37" t="s">
        <v>25</v>
      </c>
      <c r="Z14" s="41">
        <v>0</v>
      </c>
      <c r="AA14" s="41">
        <v>0</v>
      </c>
      <c r="AB14" s="42"/>
      <c r="AC14" s="42"/>
      <c r="AD14" s="43">
        <v>0</v>
      </c>
      <c r="AE14" s="43">
        <v>0</v>
      </c>
      <c r="AF14" s="37" t="s">
        <v>25</v>
      </c>
    </row>
    <row r="15" s="1" customFormat="1" spans="1:32">
      <c r="A15" s="46" t="s">
        <v>44</v>
      </c>
      <c r="B15" s="47"/>
      <c r="C15" s="48">
        <v>2154</v>
      </c>
      <c r="D15" s="48">
        <v>2222</v>
      </c>
      <c r="E15" s="49">
        <v>0.031569173630455</v>
      </c>
      <c r="F15" s="48">
        <v>37349.6183</v>
      </c>
      <c r="G15" s="48">
        <v>47507.329851</v>
      </c>
      <c r="H15" s="49">
        <v>0.27196292795849</v>
      </c>
      <c r="I15" s="48">
        <v>0</v>
      </c>
      <c r="J15" s="48">
        <v>0</v>
      </c>
      <c r="K15" s="48">
        <v>37349.6183</v>
      </c>
      <c r="L15" s="48">
        <v>47507.329851</v>
      </c>
      <c r="M15" s="49">
        <v>0.27196292795849</v>
      </c>
      <c r="N15" s="48">
        <v>890</v>
      </c>
      <c r="O15" s="48">
        <v>1105</v>
      </c>
      <c r="P15" s="49">
        <v>0.241573033707865</v>
      </c>
      <c r="Q15" s="48">
        <v>15906.59236</v>
      </c>
      <c r="R15" s="48">
        <v>18485.738548</v>
      </c>
      <c r="S15" s="49">
        <v>0.162143225250792</v>
      </c>
      <c r="T15" s="48">
        <v>613</v>
      </c>
      <c r="U15" s="48">
        <v>847</v>
      </c>
      <c r="V15" s="49">
        <v>0.381729200652529</v>
      </c>
      <c r="W15" s="48">
        <v>11385.1171</v>
      </c>
      <c r="X15" s="48">
        <v>14916.492284</v>
      </c>
      <c r="Y15" s="49">
        <v>0.31017469148385</v>
      </c>
      <c r="Z15" s="48">
        <v>13115.4317481384</v>
      </c>
      <c r="AA15" s="48">
        <v>15645.1882451294</v>
      </c>
      <c r="AB15" s="48">
        <v>0</v>
      </c>
      <c r="AC15" s="48">
        <v>0</v>
      </c>
      <c r="AD15" s="48">
        <v>13115.4317481384</v>
      </c>
      <c r="AE15" s="48">
        <v>15645.1882451294</v>
      </c>
      <c r="AF15" s="49">
        <v>0.192883966427568</v>
      </c>
    </row>
    <row r="16" spans="1:32">
      <c r="A16" s="35" t="s">
        <v>45</v>
      </c>
      <c r="B16" s="25" t="s">
        <v>40</v>
      </c>
      <c r="C16" s="36">
        <v>73</v>
      </c>
      <c r="D16" s="36">
        <v>120</v>
      </c>
      <c r="E16" s="37">
        <v>0.643835616438356</v>
      </c>
      <c r="F16" s="36">
        <v>800.212968</v>
      </c>
      <c r="G16" s="36">
        <v>1146.345654</v>
      </c>
      <c r="H16" s="37">
        <v>0.432550708175975</v>
      </c>
      <c r="I16" s="38"/>
      <c r="J16" s="38"/>
      <c r="K16" s="36">
        <v>800.212968</v>
      </c>
      <c r="L16" s="36">
        <v>1146.345654</v>
      </c>
      <c r="M16" s="37">
        <v>0.432550708175975</v>
      </c>
      <c r="N16" s="25">
        <v>15</v>
      </c>
      <c r="O16" s="25">
        <v>11</v>
      </c>
      <c r="P16" s="37">
        <v>-0.266666666666667</v>
      </c>
      <c r="Q16" s="39">
        <v>187.86056</v>
      </c>
      <c r="R16" s="39">
        <v>141.800303</v>
      </c>
      <c r="S16" s="37">
        <v>-0.245183219937171</v>
      </c>
      <c r="T16" s="40">
        <v>10</v>
      </c>
      <c r="U16" s="25">
        <v>7</v>
      </c>
      <c r="V16" s="37">
        <v>-0.3</v>
      </c>
      <c r="W16" s="41">
        <v>152.329161</v>
      </c>
      <c r="X16" s="41">
        <v>103.028143</v>
      </c>
      <c r="Y16" s="37">
        <v>-0.32364793238768</v>
      </c>
      <c r="Z16" s="41">
        <v>183.927343945312</v>
      </c>
      <c r="AA16" s="41">
        <v>141.254189453125</v>
      </c>
      <c r="AB16" s="42"/>
      <c r="AC16" s="42"/>
      <c r="AD16" s="43">
        <v>183.927343945312</v>
      </c>
      <c r="AE16" s="43">
        <v>141.254189453125</v>
      </c>
      <c r="AF16" s="37">
        <v>-0.232010932017131</v>
      </c>
    </row>
    <row r="17" s="1" customFormat="1" spans="1:32">
      <c r="A17" s="44" t="s">
        <v>46</v>
      </c>
      <c r="B17" s="25" t="s">
        <v>31</v>
      </c>
      <c r="C17" s="36">
        <v>155</v>
      </c>
      <c r="D17" s="36">
        <v>333</v>
      </c>
      <c r="E17" s="37">
        <v>1.14838709677419</v>
      </c>
      <c r="F17" s="36">
        <v>1270.468435</v>
      </c>
      <c r="G17" s="36">
        <v>2673.478933</v>
      </c>
      <c r="H17" s="37">
        <v>1.1043253490985</v>
      </c>
      <c r="I17" s="38"/>
      <c r="J17" s="38"/>
      <c r="K17" s="36">
        <v>1270.468435</v>
      </c>
      <c r="L17" s="36">
        <v>2673.478933</v>
      </c>
      <c r="M17" s="37">
        <v>1.1043253490985</v>
      </c>
      <c r="N17" s="25">
        <v>55</v>
      </c>
      <c r="O17" s="25">
        <v>127</v>
      </c>
      <c r="P17" s="37">
        <v>1.30909090909091</v>
      </c>
      <c r="Q17" s="39">
        <v>530.297692</v>
      </c>
      <c r="R17" s="39">
        <v>1179.804987</v>
      </c>
      <c r="S17" s="37">
        <v>1.22479751429882</v>
      </c>
      <c r="T17" s="40">
        <v>48</v>
      </c>
      <c r="U17" s="25">
        <v>76</v>
      </c>
      <c r="V17" s="37">
        <v>0.583333333333333</v>
      </c>
      <c r="W17" s="41">
        <v>502.430665</v>
      </c>
      <c r="X17" s="41">
        <v>710.990814</v>
      </c>
      <c r="Y17" s="37">
        <v>0.415102348500166</v>
      </c>
      <c r="Z17" s="41">
        <v>509.929719042969</v>
      </c>
      <c r="AA17" s="41">
        <v>878.687745001221</v>
      </c>
      <c r="AB17" s="42"/>
      <c r="AC17" s="42"/>
      <c r="AD17" s="43">
        <v>509.929719042969</v>
      </c>
      <c r="AE17" s="43">
        <v>878.687745001221</v>
      </c>
      <c r="AF17" s="37">
        <v>0.723154607757188</v>
      </c>
    </row>
    <row r="18" s="1" customFormat="1" spans="1:32">
      <c r="A18" s="50" t="s">
        <v>47</v>
      </c>
      <c r="B18" s="25" t="s">
        <v>37</v>
      </c>
      <c r="C18" s="36">
        <v>210</v>
      </c>
      <c r="D18" s="36">
        <v>190</v>
      </c>
      <c r="E18" s="37">
        <v>-0.0952380952380952</v>
      </c>
      <c r="F18" s="36">
        <v>2098.854998</v>
      </c>
      <c r="G18" s="36">
        <v>1489.262733</v>
      </c>
      <c r="H18" s="37">
        <v>-0.29044039039423</v>
      </c>
      <c r="I18" s="38"/>
      <c r="J18" s="38"/>
      <c r="K18" s="36">
        <v>2098.854998</v>
      </c>
      <c r="L18" s="36">
        <v>1489.262733</v>
      </c>
      <c r="M18" s="37">
        <v>-0.29044039039423</v>
      </c>
      <c r="N18" s="51">
        <v>36</v>
      </c>
      <c r="O18" s="25">
        <v>55</v>
      </c>
      <c r="P18" s="37">
        <v>0.527777777777778</v>
      </c>
      <c r="Q18" s="39">
        <v>317.427131</v>
      </c>
      <c r="R18" s="39">
        <v>377.966388</v>
      </c>
      <c r="S18" s="37">
        <v>0.190718596766702</v>
      </c>
      <c r="T18" s="40">
        <v>29</v>
      </c>
      <c r="U18" s="25">
        <v>28</v>
      </c>
      <c r="V18" s="37">
        <v>-0.0344827586206897</v>
      </c>
      <c r="W18" s="41">
        <v>276.050576</v>
      </c>
      <c r="X18" s="41">
        <v>205.507095</v>
      </c>
      <c r="Y18" s="37">
        <v>-0.255545494677758</v>
      </c>
      <c r="Z18" s="41">
        <v>290.394461280823</v>
      </c>
      <c r="AA18" s="41">
        <v>216.725000650787</v>
      </c>
      <c r="AB18" s="42"/>
      <c r="AC18" s="42"/>
      <c r="AD18" s="43">
        <v>290.394461280823</v>
      </c>
      <c r="AE18" s="43">
        <v>216.725000650787</v>
      </c>
      <c r="AF18" s="37">
        <v>-0.253687554180981</v>
      </c>
    </row>
    <row r="19" s="1" customFormat="1" spans="1:32">
      <c r="A19" s="44" t="s">
        <v>48</v>
      </c>
      <c r="B19" s="25" t="s">
        <v>40</v>
      </c>
      <c r="C19" s="36">
        <v>0</v>
      </c>
      <c r="D19" s="36">
        <v>94</v>
      </c>
      <c r="E19" s="37" t="s">
        <v>25</v>
      </c>
      <c r="F19" s="36">
        <v>0</v>
      </c>
      <c r="G19" s="36">
        <v>640.206475999999</v>
      </c>
      <c r="H19" s="37" t="s">
        <v>25</v>
      </c>
      <c r="I19" s="38"/>
      <c r="J19" s="38"/>
      <c r="K19" s="36">
        <v>0</v>
      </c>
      <c r="L19" s="36">
        <v>640.206475999999</v>
      </c>
      <c r="M19" s="37" t="s">
        <v>25</v>
      </c>
      <c r="N19" s="25">
        <v>0</v>
      </c>
      <c r="O19" s="25">
        <v>23</v>
      </c>
      <c r="P19" s="37" t="s">
        <v>25</v>
      </c>
      <c r="Q19" s="39">
        <v>0</v>
      </c>
      <c r="R19" s="39">
        <v>151.082596</v>
      </c>
      <c r="S19" s="37" t="s">
        <v>25</v>
      </c>
      <c r="T19" s="40">
        <v>0</v>
      </c>
      <c r="U19" s="25">
        <v>14</v>
      </c>
      <c r="V19" s="37" t="s">
        <v>25</v>
      </c>
      <c r="W19" s="41">
        <v>0</v>
      </c>
      <c r="X19" s="41">
        <v>92.894521</v>
      </c>
      <c r="Y19" s="37" t="s">
        <v>25</v>
      </c>
      <c r="Z19" s="41">
        <v>0</v>
      </c>
      <c r="AA19" s="41">
        <v>145.367398813629</v>
      </c>
      <c r="AB19" s="42"/>
      <c r="AC19" s="42"/>
      <c r="AD19" s="43">
        <v>0</v>
      </c>
      <c r="AE19" s="43">
        <v>145.367398813629</v>
      </c>
      <c r="AF19" s="37" t="s">
        <v>25</v>
      </c>
    </row>
    <row r="20" s="1" customFormat="1" spans="1:32">
      <c r="A20" s="44" t="s">
        <v>50</v>
      </c>
      <c r="B20" s="25" t="s">
        <v>49</v>
      </c>
      <c r="C20" s="36">
        <v>138</v>
      </c>
      <c r="D20" s="36">
        <v>63</v>
      </c>
      <c r="E20" s="37">
        <v>-0.543478260869565</v>
      </c>
      <c r="F20" s="36">
        <v>1844.210639</v>
      </c>
      <c r="G20" s="36">
        <v>440.842395</v>
      </c>
      <c r="H20" s="37">
        <v>-0.760958761609227</v>
      </c>
      <c r="I20" s="38"/>
      <c r="J20" s="38"/>
      <c r="K20" s="36">
        <v>1844.210639</v>
      </c>
      <c r="L20" s="36">
        <v>440.842395</v>
      </c>
      <c r="M20" s="37">
        <v>-0.760958761609227</v>
      </c>
      <c r="N20" s="25">
        <v>2</v>
      </c>
      <c r="O20" s="25">
        <v>23</v>
      </c>
      <c r="P20" s="37">
        <v>10.5</v>
      </c>
      <c r="Q20" s="39">
        <v>14.660022</v>
      </c>
      <c r="R20" s="39">
        <v>138.677718</v>
      </c>
      <c r="S20" s="37">
        <v>8.45958457633966</v>
      </c>
      <c r="T20" s="40">
        <v>1</v>
      </c>
      <c r="U20" s="25">
        <v>15</v>
      </c>
      <c r="V20" s="37">
        <v>14</v>
      </c>
      <c r="W20" s="41">
        <v>6.739142</v>
      </c>
      <c r="X20" s="41">
        <v>130.544984</v>
      </c>
      <c r="Y20" s="37">
        <v>18.371157930787</v>
      </c>
      <c r="Z20" s="41">
        <v>17.8499407635689</v>
      </c>
      <c r="AA20" s="41">
        <v>106.225368108082</v>
      </c>
      <c r="AB20" s="42"/>
      <c r="AC20" s="42"/>
      <c r="AD20" s="43">
        <v>17.8499407635689</v>
      </c>
      <c r="AE20" s="43">
        <v>106.225368108082</v>
      </c>
      <c r="AF20" s="37">
        <v>4.95102076332288</v>
      </c>
    </row>
    <row r="21" s="1" customFormat="1" spans="1:32">
      <c r="A21" s="44" t="s">
        <v>51</v>
      </c>
      <c r="B21" s="25" t="s">
        <v>49</v>
      </c>
      <c r="C21" s="36">
        <v>0</v>
      </c>
      <c r="D21" s="36">
        <v>102</v>
      </c>
      <c r="E21" s="37" t="s">
        <v>25</v>
      </c>
      <c r="F21" s="36">
        <v>0</v>
      </c>
      <c r="G21" s="36">
        <v>827.415095</v>
      </c>
      <c r="H21" s="37" t="s">
        <v>25</v>
      </c>
      <c r="I21" s="38"/>
      <c r="J21" s="38"/>
      <c r="K21" s="36">
        <v>0</v>
      </c>
      <c r="L21" s="36">
        <v>827.415095</v>
      </c>
      <c r="M21" s="37" t="s">
        <v>25</v>
      </c>
      <c r="N21" s="25">
        <v>0</v>
      </c>
      <c r="O21" s="25">
        <v>44</v>
      </c>
      <c r="P21" s="37" t="s">
        <v>25</v>
      </c>
      <c r="Q21" s="39">
        <v>0</v>
      </c>
      <c r="R21" s="39">
        <v>316.305293</v>
      </c>
      <c r="S21" s="37" t="s">
        <v>25</v>
      </c>
      <c r="T21" s="40">
        <v>0</v>
      </c>
      <c r="U21" s="25">
        <v>34</v>
      </c>
      <c r="V21" s="37" t="s">
        <v>25</v>
      </c>
      <c r="W21" s="41">
        <v>0</v>
      </c>
      <c r="X21" s="41">
        <v>230.805293</v>
      </c>
      <c r="Y21" s="37" t="s">
        <v>25</v>
      </c>
      <c r="Z21" s="41">
        <v>0</v>
      </c>
      <c r="AA21" s="41">
        <v>263.336003320313</v>
      </c>
      <c r="AB21" s="52"/>
      <c r="AC21" s="52"/>
      <c r="AD21" s="43">
        <v>0</v>
      </c>
      <c r="AE21" s="43">
        <v>263.336003320313</v>
      </c>
      <c r="AF21" s="37" t="s">
        <v>25</v>
      </c>
    </row>
    <row r="22" s="1" customFormat="1" spans="1:32">
      <c r="A22" s="44" t="s">
        <v>52</v>
      </c>
      <c r="B22" s="25" t="s">
        <v>40</v>
      </c>
      <c r="C22" s="36">
        <v>57</v>
      </c>
      <c r="D22" s="36">
        <v>106</v>
      </c>
      <c r="E22" s="37">
        <v>0.859649122807018</v>
      </c>
      <c r="F22" s="36">
        <v>430.011455</v>
      </c>
      <c r="G22" s="36">
        <v>650.044039</v>
      </c>
      <c r="H22" s="37">
        <v>0.511690052535925</v>
      </c>
      <c r="I22" s="38"/>
      <c r="J22" s="38"/>
      <c r="K22" s="36">
        <v>430.011455</v>
      </c>
      <c r="L22" s="36">
        <v>650.044039</v>
      </c>
      <c r="M22" s="37">
        <v>0.511690052535925</v>
      </c>
      <c r="N22" s="25">
        <v>2</v>
      </c>
      <c r="O22" s="25">
        <v>68</v>
      </c>
      <c r="P22" s="37" t="s">
        <v>25</v>
      </c>
      <c r="Q22" s="39">
        <v>19.154128</v>
      </c>
      <c r="R22" s="39">
        <v>367.831441</v>
      </c>
      <c r="S22" s="37">
        <v>18.2037685557912</v>
      </c>
      <c r="T22" s="40">
        <v>0</v>
      </c>
      <c r="U22" s="25">
        <v>28</v>
      </c>
      <c r="V22" s="37" t="e">
        <v>#DIV/0!</v>
      </c>
      <c r="W22" s="41">
        <v>0</v>
      </c>
      <c r="X22" s="41">
        <v>182.944513</v>
      </c>
      <c r="Y22" s="37" t="e">
        <v>#DIV/0!</v>
      </c>
      <c r="Z22" s="41">
        <v>19.978638671875</v>
      </c>
      <c r="AA22" s="41">
        <v>181.594922898102</v>
      </c>
      <c r="AB22" s="42"/>
      <c r="AC22" s="42"/>
      <c r="AD22" s="43">
        <v>19.978638671875</v>
      </c>
      <c r="AE22" s="43">
        <v>181.594922898102</v>
      </c>
      <c r="AF22" s="37">
        <v>8.08945428567877</v>
      </c>
    </row>
    <row r="23" s="1" customFormat="1" spans="1:32">
      <c r="A23" s="35" t="s">
        <v>53</v>
      </c>
      <c r="B23" s="25" t="s">
        <v>49</v>
      </c>
      <c r="C23" s="36">
        <v>0</v>
      </c>
      <c r="D23" s="36">
        <v>0</v>
      </c>
      <c r="E23" s="37" t="s">
        <v>25</v>
      </c>
      <c r="F23" s="36">
        <v>0</v>
      </c>
      <c r="G23" s="36">
        <v>0</v>
      </c>
      <c r="H23" s="37" t="s">
        <v>25</v>
      </c>
      <c r="I23" s="38"/>
      <c r="J23" s="38"/>
      <c r="K23" s="36">
        <v>0</v>
      </c>
      <c r="L23" s="36">
        <v>0</v>
      </c>
      <c r="M23" s="37" t="s">
        <v>25</v>
      </c>
      <c r="N23" s="25">
        <v>0</v>
      </c>
      <c r="O23" s="25">
        <v>0</v>
      </c>
      <c r="P23" s="37" t="s">
        <v>25</v>
      </c>
      <c r="Q23" s="39">
        <v>0</v>
      </c>
      <c r="R23" s="39">
        <v>0</v>
      </c>
      <c r="S23" s="37" t="s">
        <v>25</v>
      </c>
      <c r="T23" s="40">
        <v>0</v>
      </c>
      <c r="U23" s="25">
        <v>0</v>
      </c>
      <c r="V23" s="37" t="s">
        <v>25</v>
      </c>
      <c r="W23" s="41">
        <v>0</v>
      </c>
      <c r="X23" s="41">
        <v>0</v>
      </c>
      <c r="Y23" s="37" t="s">
        <v>25</v>
      </c>
      <c r="Z23" s="41">
        <v>0</v>
      </c>
      <c r="AA23" s="41">
        <v>0</v>
      </c>
      <c r="AB23" s="42"/>
      <c r="AC23" s="42"/>
      <c r="AD23" s="43">
        <v>0</v>
      </c>
      <c r="AE23" s="43">
        <v>0</v>
      </c>
      <c r="AF23" s="37" t="s">
        <v>25</v>
      </c>
    </row>
    <row r="24" s="1" customFormat="1" spans="1:32">
      <c r="A24" s="46" t="s">
        <v>54</v>
      </c>
      <c r="B24" s="47"/>
      <c r="C24" s="48">
        <v>633</v>
      </c>
      <c r="D24" s="48">
        <v>1008</v>
      </c>
      <c r="E24" s="49">
        <v>0.592417061611374</v>
      </c>
      <c r="F24" s="48">
        <v>6443.758495</v>
      </c>
      <c r="G24" s="48">
        <v>7867.595325</v>
      </c>
      <c r="H24" s="49">
        <v>0.220963717231926</v>
      </c>
      <c r="I24" s="48">
        <v>0</v>
      </c>
      <c r="J24" s="48">
        <v>0</v>
      </c>
      <c r="K24" s="48">
        <v>6443.758495</v>
      </c>
      <c r="L24" s="48">
        <v>7867.595325</v>
      </c>
      <c r="M24" s="49">
        <v>0.220963717231926</v>
      </c>
      <c r="N24" s="48">
        <v>110</v>
      </c>
      <c r="O24" s="48">
        <v>351</v>
      </c>
      <c r="P24" s="49">
        <v>2.19090909090909</v>
      </c>
      <c r="Q24" s="48">
        <v>1069.399533</v>
      </c>
      <c r="R24" s="48">
        <v>2673.468726</v>
      </c>
      <c r="S24" s="49">
        <v>1.49997184728526</v>
      </c>
      <c r="T24" s="48">
        <v>88</v>
      </c>
      <c r="U24" s="48">
        <v>202</v>
      </c>
      <c r="V24" s="49">
        <v>1.29545454545455</v>
      </c>
      <c r="W24" s="48">
        <v>937.549544</v>
      </c>
      <c r="X24" s="48">
        <v>1656.715363</v>
      </c>
      <c r="Y24" s="49">
        <v>0.767069669653639</v>
      </c>
      <c r="Z24" s="48">
        <v>1022.08010370455</v>
      </c>
      <c r="AA24" s="48">
        <v>1933.19062824526</v>
      </c>
      <c r="AB24" s="48">
        <v>0</v>
      </c>
      <c r="AC24" s="48">
        <v>0</v>
      </c>
      <c r="AD24" s="48">
        <v>1022.08010370455</v>
      </c>
      <c r="AE24" s="48">
        <v>1933.19062824526</v>
      </c>
      <c r="AF24" s="49">
        <v>0.891427708296418</v>
      </c>
    </row>
    <row r="25" spans="1:32">
      <c r="A25" s="35" t="s">
        <v>55</v>
      </c>
      <c r="B25" s="25" t="s">
        <v>49</v>
      </c>
      <c r="C25" s="36">
        <v>35</v>
      </c>
      <c r="D25" s="36">
        <v>34</v>
      </c>
      <c r="E25" s="37">
        <v>-0.0285714285714286</v>
      </c>
      <c r="F25" s="36">
        <v>287.19</v>
      </c>
      <c r="G25" s="36">
        <v>293.5572</v>
      </c>
      <c r="H25" s="37">
        <v>0.0221706883944428</v>
      </c>
      <c r="I25" s="38"/>
      <c r="J25" s="38"/>
      <c r="K25" s="36">
        <v>287.19</v>
      </c>
      <c r="L25" s="36">
        <v>293.5572</v>
      </c>
      <c r="M25" s="37">
        <v>0.0221706883944428</v>
      </c>
      <c r="N25" s="25">
        <v>1</v>
      </c>
      <c r="O25" s="25">
        <v>4</v>
      </c>
      <c r="P25" s="37">
        <v>3</v>
      </c>
      <c r="Q25" s="39">
        <v>7.6</v>
      </c>
      <c r="R25" s="39">
        <v>36.2572</v>
      </c>
      <c r="S25" s="37">
        <v>3.77068421052632</v>
      </c>
      <c r="T25" s="40">
        <v>1</v>
      </c>
      <c r="U25" s="25">
        <v>6</v>
      </c>
      <c r="V25" s="37">
        <v>5</v>
      </c>
      <c r="W25" s="41">
        <v>7.6</v>
      </c>
      <c r="X25" s="41">
        <v>55.4871</v>
      </c>
      <c r="Y25" s="37">
        <v>6.30093421052632</v>
      </c>
      <c r="Z25" s="41">
        <v>7.6</v>
      </c>
      <c r="AA25" s="41">
        <v>40.617</v>
      </c>
      <c r="AB25" s="42"/>
      <c r="AC25" s="42"/>
      <c r="AD25" s="43">
        <v>7.6</v>
      </c>
      <c r="AE25" s="43">
        <v>40.617</v>
      </c>
      <c r="AF25" s="37">
        <v>4.34434210526316</v>
      </c>
    </row>
    <row r="26" s="1" customFormat="1" spans="1:32">
      <c r="A26" s="44" t="s">
        <v>56</v>
      </c>
      <c r="B26" s="25" t="s">
        <v>31</v>
      </c>
      <c r="C26" s="36">
        <v>196</v>
      </c>
      <c r="D26" s="36">
        <v>139</v>
      </c>
      <c r="E26" s="37">
        <v>-0.290816326530612</v>
      </c>
      <c r="F26" s="36">
        <v>4135.48047100001</v>
      </c>
      <c r="G26" s="36">
        <v>3814.770913</v>
      </c>
      <c r="H26" s="37">
        <v>-0.0775507369092857</v>
      </c>
      <c r="I26" s="53">
        <v>771.146718784</v>
      </c>
      <c r="J26" s="38">
        <v>214.7436</v>
      </c>
      <c r="K26" s="36">
        <v>4906.62718978401</v>
      </c>
      <c r="L26" s="36">
        <v>4029.514513</v>
      </c>
      <c r="M26" s="37">
        <v>-0.178760815292882</v>
      </c>
      <c r="N26" s="25">
        <v>77</v>
      </c>
      <c r="O26" s="25">
        <v>4</v>
      </c>
      <c r="P26" s="37">
        <v>-0.948051948051948</v>
      </c>
      <c r="Q26" s="39">
        <v>1809.057244</v>
      </c>
      <c r="R26" s="39">
        <v>82.68604288</v>
      </c>
      <c r="S26" s="37">
        <v>-0.954293296602835</v>
      </c>
      <c r="T26" s="54">
        <v>25</v>
      </c>
      <c r="U26" s="25">
        <v>41</v>
      </c>
      <c r="V26" s="37">
        <v>0.64</v>
      </c>
      <c r="W26" s="55">
        <v>629.430541</v>
      </c>
      <c r="X26" s="55">
        <v>859.121188</v>
      </c>
      <c r="Y26" s="37">
        <v>0.364918179272143</v>
      </c>
      <c r="Z26" s="55">
        <v>0</v>
      </c>
      <c r="AA26" s="55">
        <v>9.7036796875</v>
      </c>
      <c r="AB26" s="52">
        <v>1573.001792128</v>
      </c>
      <c r="AC26" s="52">
        <v>7033.38</v>
      </c>
      <c r="AD26" s="43">
        <v>1573.001792128</v>
      </c>
      <c r="AE26" s="43">
        <v>7043.0836796875</v>
      </c>
      <c r="AF26" s="37">
        <v>3.47747975554397</v>
      </c>
    </row>
    <row r="27" s="1" customFormat="1" spans="1:32">
      <c r="A27" s="35" t="s">
        <v>57</v>
      </c>
      <c r="B27" s="25" t="s">
        <v>31</v>
      </c>
      <c r="C27" s="36">
        <v>260</v>
      </c>
      <c r="D27" s="36">
        <v>407</v>
      </c>
      <c r="E27" s="37">
        <v>0.565384615384615</v>
      </c>
      <c r="F27" s="36">
        <v>5925.60401799999</v>
      </c>
      <c r="G27" s="36">
        <v>11786.294293</v>
      </c>
      <c r="H27" s="37">
        <v>0.989045210783107</v>
      </c>
      <c r="I27" s="56">
        <v>0</v>
      </c>
      <c r="J27" s="36">
        <v>0</v>
      </c>
      <c r="K27" s="36">
        <v>5925.60401799999</v>
      </c>
      <c r="L27" s="36">
        <v>11786.294293</v>
      </c>
      <c r="M27" s="37">
        <v>0.989045210783107</v>
      </c>
      <c r="N27" s="25">
        <v>106</v>
      </c>
      <c r="O27" s="25">
        <v>202</v>
      </c>
      <c r="P27" s="37">
        <v>0.905660377358491</v>
      </c>
      <c r="Q27" s="39">
        <v>4183.118729</v>
      </c>
      <c r="R27" s="39">
        <v>9410.61429753001</v>
      </c>
      <c r="S27" s="37">
        <v>1.24966464190694</v>
      </c>
      <c r="T27" s="54">
        <v>10</v>
      </c>
      <c r="U27" s="25">
        <v>172</v>
      </c>
      <c r="V27" s="37">
        <v>16.2</v>
      </c>
      <c r="W27" s="55">
        <v>405.518926</v>
      </c>
      <c r="X27" s="55">
        <v>7959.482402</v>
      </c>
      <c r="Y27" s="37">
        <v>18.6278937718433</v>
      </c>
      <c r="Z27" s="55">
        <v>15.19781328125</v>
      </c>
      <c r="AA27" s="55">
        <v>34.7496656982422</v>
      </c>
      <c r="AB27" s="52"/>
      <c r="AC27" s="52"/>
      <c r="AD27" s="43">
        <v>15.19781328125</v>
      </c>
      <c r="AE27" s="43">
        <v>34.7496656982422</v>
      </c>
      <c r="AF27" s="37">
        <v>1.28649115864016</v>
      </c>
    </row>
    <row r="28" s="1" customFormat="1" spans="1:32">
      <c r="A28" s="35" t="s">
        <v>58</v>
      </c>
      <c r="B28" s="25" t="s">
        <v>49</v>
      </c>
      <c r="C28" s="36">
        <v>52</v>
      </c>
      <c r="D28" s="36">
        <v>31</v>
      </c>
      <c r="E28" s="37">
        <v>-0.403846153846154</v>
      </c>
      <c r="F28" s="36">
        <v>517.468123</v>
      </c>
      <c r="G28" s="36">
        <v>403.515069</v>
      </c>
      <c r="H28" s="37">
        <v>-0.220212702841214</v>
      </c>
      <c r="I28" s="36"/>
      <c r="J28" s="36"/>
      <c r="K28" s="36">
        <v>517.468123</v>
      </c>
      <c r="L28" s="36">
        <v>403.515069</v>
      </c>
      <c r="M28" s="37">
        <v>-0.220212702841214</v>
      </c>
      <c r="N28" s="25">
        <v>26</v>
      </c>
      <c r="O28" s="25">
        <v>7</v>
      </c>
      <c r="P28" s="37">
        <v>-0.730769230769231</v>
      </c>
      <c r="Q28" s="39">
        <v>239.827829</v>
      </c>
      <c r="R28" s="39">
        <v>85.253351</v>
      </c>
      <c r="S28" s="37">
        <v>-0.644522692151794</v>
      </c>
      <c r="T28" s="40">
        <v>25</v>
      </c>
      <c r="U28" s="25">
        <v>6</v>
      </c>
      <c r="V28" s="37">
        <v>-0.76</v>
      </c>
      <c r="W28" s="41">
        <v>233.589129</v>
      </c>
      <c r="X28" s="41">
        <v>71.395715</v>
      </c>
      <c r="Y28" s="37">
        <v>-0.694353434572719</v>
      </c>
      <c r="Z28" s="41">
        <v>283.500551847839</v>
      </c>
      <c r="AA28" s="41">
        <v>82.4431489593506</v>
      </c>
      <c r="AB28" s="57"/>
      <c r="AC28" s="42"/>
      <c r="AD28" s="43">
        <v>283.500551847839</v>
      </c>
      <c r="AE28" s="43">
        <v>82.4431489593506</v>
      </c>
      <c r="AF28" s="37">
        <v>-0.709195807831797</v>
      </c>
    </row>
    <row r="29" s="1" customFormat="1" spans="1:32">
      <c r="A29" s="44" t="s">
        <v>59</v>
      </c>
      <c r="B29" s="25" t="s">
        <v>49</v>
      </c>
      <c r="C29" s="36">
        <v>0</v>
      </c>
      <c r="D29" s="36">
        <v>84</v>
      </c>
      <c r="E29" s="37" t="s">
        <v>25</v>
      </c>
      <c r="F29" s="36">
        <v>0</v>
      </c>
      <c r="G29" s="36">
        <v>788.4147</v>
      </c>
      <c r="H29" s="37" t="s">
        <v>25</v>
      </c>
      <c r="I29" s="36"/>
      <c r="J29" s="36"/>
      <c r="K29" s="36">
        <v>0</v>
      </c>
      <c r="L29" s="36">
        <v>788.4147</v>
      </c>
      <c r="M29" s="37" t="s">
        <v>25</v>
      </c>
      <c r="N29" s="25">
        <v>0</v>
      </c>
      <c r="O29" s="25">
        <v>25</v>
      </c>
      <c r="P29" s="37" t="s">
        <v>25</v>
      </c>
      <c r="Q29" s="39">
        <v>0</v>
      </c>
      <c r="R29" s="39">
        <v>200.5847</v>
      </c>
      <c r="S29" s="37" t="s">
        <v>25</v>
      </c>
      <c r="T29" s="40">
        <v>0</v>
      </c>
      <c r="U29" s="25">
        <v>14</v>
      </c>
      <c r="V29" s="37" t="s">
        <v>25</v>
      </c>
      <c r="W29" s="41">
        <v>0</v>
      </c>
      <c r="X29" s="41">
        <v>112.02</v>
      </c>
      <c r="Y29" s="37" t="s">
        <v>25</v>
      </c>
      <c r="Z29" s="41">
        <v>0</v>
      </c>
      <c r="AA29" s="41">
        <v>141.106999921799</v>
      </c>
      <c r="AB29" s="42"/>
      <c r="AC29" s="42"/>
      <c r="AD29" s="43">
        <v>0</v>
      </c>
      <c r="AE29" s="43">
        <v>141.106999921799</v>
      </c>
      <c r="AF29" s="37" t="s">
        <v>25</v>
      </c>
    </row>
    <row r="30" s="1" customFormat="1" spans="1:32">
      <c r="A30" s="35" t="s">
        <v>60</v>
      </c>
      <c r="B30" s="25" t="s">
        <v>49</v>
      </c>
      <c r="C30" s="36">
        <v>94</v>
      </c>
      <c r="D30" s="36">
        <v>14</v>
      </c>
      <c r="E30" s="37">
        <v>-0.851063829787234</v>
      </c>
      <c r="F30" s="36">
        <v>1146.336677</v>
      </c>
      <c r="G30" s="36">
        <v>112.9114</v>
      </c>
      <c r="H30" s="37">
        <v>-0.901502410011435</v>
      </c>
      <c r="I30" s="38"/>
      <c r="J30" s="38"/>
      <c r="K30" s="36">
        <v>1146.336677</v>
      </c>
      <c r="L30" s="36">
        <v>112.9114</v>
      </c>
      <c r="M30" s="37">
        <v>-0.901502410011435</v>
      </c>
      <c r="N30" s="25">
        <v>0</v>
      </c>
      <c r="O30" s="25">
        <v>0</v>
      </c>
      <c r="P30" s="37" t="s">
        <v>25</v>
      </c>
      <c r="Q30" s="39">
        <v>0</v>
      </c>
      <c r="R30" s="39">
        <v>0</v>
      </c>
      <c r="S30" s="37" t="e">
        <v>#DIV/0!</v>
      </c>
      <c r="T30" s="40">
        <v>0</v>
      </c>
      <c r="U30" s="25">
        <v>0</v>
      </c>
      <c r="V30" s="37" t="e">
        <v>#DIV/0!</v>
      </c>
      <c r="W30" s="41">
        <v>0</v>
      </c>
      <c r="X30" s="41">
        <v>0</v>
      </c>
      <c r="Y30" s="37" t="e">
        <v>#DIV/0!</v>
      </c>
      <c r="Z30" s="41">
        <v>0</v>
      </c>
      <c r="AA30" s="41">
        <v>0</v>
      </c>
      <c r="AB30" s="42"/>
      <c r="AC30" s="42"/>
      <c r="AD30" s="43">
        <v>0</v>
      </c>
      <c r="AE30" s="43">
        <v>0</v>
      </c>
      <c r="AF30" s="37" t="e">
        <v>#DIV/0!</v>
      </c>
    </row>
    <row r="31" s="1" customFormat="1" spans="1:32">
      <c r="A31" s="35" t="s">
        <v>61</v>
      </c>
      <c r="B31" s="25" t="s">
        <v>37</v>
      </c>
      <c r="C31" s="36">
        <v>66</v>
      </c>
      <c r="D31" s="36">
        <v>53</v>
      </c>
      <c r="E31" s="37">
        <v>-0.196969696969697</v>
      </c>
      <c r="F31" s="36">
        <v>1463.75</v>
      </c>
      <c r="G31" s="36">
        <v>865.4601</v>
      </c>
      <c r="H31" s="37">
        <v>-0.408737762596072</v>
      </c>
      <c r="I31" s="38"/>
      <c r="J31" s="38"/>
      <c r="K31" s="36">
        <v>1463.75</v>
      </c>
      <c r="L31" s="36">
        <v>865.4601</v>
      </c>
      <c r="M31" s="37">
        <v>-0.408737762596072</v>
      </c>
      <c r="N31" s="25">
        <v>16</v>
      </c>
      <c r="O31" s="25">
        <v>29</v>
      </c>
      <c r="P31" s="37">
        <v>0.8125</v>
      </c>
      <c r="Q31" s="39">
        <v>132.085</v>
      </c>
      <c r="R31" s="39">
        <v>624.5801</v>
      </c>
      <c r="S31" s="37">
        <v>3.7286224779498</v>
      </c>
      <c r="T31" s="40">
        <v>17</v>
      </c>
      <c r="U31" s="25">
        <v>22</v>
      </c>
      <c r="V31" s="37">
        <v>0.294117647058824</v>
      </c>
      <c r="W31" s="41">
        <v>140.475</v>
      </c>
      <c r="X31" s="41">
        <v>455.1201</v>
      </c>
      <c r="Y31" s="37">
        <v>2.23986545648692</v>
      </c>
      <c r="Z31" s="41">
        <v>225.573031640625</v>
      </c>
      <c r="AA31" s="41">
        <v>230.094579882813</v>
      </c>
      <c r="AB31" s="42"/>
      <c r="AC31" s="42"/>
      <c r="AD31" s="43">
        <v>225.573031640625</v>
      </c>
      <c r="AE31" s="43">
        <v>230.094579882813</v>
      </c>
      <c r="AF31" s="37">
        <v>0.0200447199264101</v>
      </c>
    </row>
    <row r="32" s="1" customFormat="1" spans="1:32">
      <c r="A32" s="35" t="s">
        <v>62</v>
      </c>
      <c r="B32" s="25" t="s">
        <v>49</v>
      </c>
      <c r="C32" s="36">
        <v>37</v>
      </c>
      <c r="D32" s="36">
        <v>32</v>
      </c>
      <c r="E32" s="37">
        <v>-0.135135135135135</v>
      </c>
      <c r="F32" s="36">
        <v>543.862924</v>
      </c>
      <c r="G32" s="36">
        <v>385.904166</v>
      </c>
      <c r="H32" s="37">
        <v>-0.290438548077971</v>
      </c>
      <c r="I32" s="38"/>
      <c r="J32" s="38"/>
      <c r="K32" s="36">
        <v>543.862924</v>
      </c>
      <c r="L32" s="36">
        <v>385.904166</v>
      </c>
      <c r="M32" s="37">
        <v>-0.290438548077971</v>
      </c>
      <c r="N32" s="25">
        <v>7</v>
      </c>
      <c r="O32" s="25">
        <v>6</v>
      </c>
      <c r="P32" s="37">
        <v>-0.142857142857143</v>
      </c>
      <c r="Q32" s="39">
        <v>96.411317</v>
      </c>
      <c r="R32" s="39">
        <v>61.235375</v>
      </c>
      <c r="S32" s="37">
        <v>-0.364852831540513</v>
      </c>
      <c r="T32" s="40">
        <v>16</v>
      </c>
      <c r="U32" s="25">
        <v>4</v>
      </c>
      <c r="V32" s="37">
        <v>-0.75</v>
      </c>
      <c r="W32" s="41">
        <v>3354.155959</v>
      </c>
      <c r="X32" s="41">
        <v>42.769084</v>
      </c>
      <c r="Y32" s="37">
        <v>-0.987248928039485</v>
      </c>
      <c r="Z32" s="41">
        <v>3983.15950769767</v>
      </c>
      <c r="AA32" s="41">
        <v>1506.73532404785</v>
      </c>
      <c r="AB32" s="42"/>
      <c r="AC32" s="42"/>
      <c r="AD32" s="43">
        <v>3983.15950769767</v>
      </c>
      <c r="AE32" s="43">
        <v>1506.73532404785</v>
      </c>
      <c r="AF32" s="37">
        <v>-0.621723578697764</v>
      </c>
    </row>
    <row r="33" s="1" customFormat="1" spans="1:32">
      <c r="A33" s="35" t="s">
        <v>63</v>
      </c>
      <c r="B33" s="25" t="s">
        <v>49</v>
      </c>
      <c r="C33" s="36">
        <v>0</v>
      </c>
      <c r="D33" s="36">
        <v>18</v>
      </c>
      <c r="E33" s="37" t="s">
        <v>25</v>
      </c>
      <c r="F33" s="36">
        <v>0</v>
      </c>
      <c r="G33" s="36">
        <v>108.08</v>
      </c>
      <c r="H33" s="37" t="s">
        <v>25</v>
      </c>
      <c r="I33" s="38"/>
      <c r="J33" s="38"/>
      <c r="K33" s="36">
        <v>0</v>
      </c>
      <c r="L33" s="36">
        <v>108.08</v>
      </c>
      <c r="M33" s="37" t="s">
        <v>25</v>
      </c>
      <c r="N33" s="25">
        <v>0</v>
      </c>
      <c r="O33" s="25">
        <v>0</v>
      </c>
      <c r="P33" s="37" t="s">
        <v>25</v>
      </c>
      <c r="Q33" s="39">
        <v>0</v>
      </c>
      <c r="R33" s="39">
        <v>0</v>
      </c>
      <c r="S33" s="37" t="s">
        <v>25</v>
      </c>
      <c r="T33" s="40">
        <v>0</v>
      </c>
      <c r="U33" s="25">
        <v>0</v>
      </c>
      <c r="V33" s="37" t="s">
        <v>25</v>
      </c>
      <c r="W33" s="41">
        <v>0</v>
      </c>
      <c r="X33" s="41">
        <v>0</v>
      </c>
      <c r="Y33" s="37" t="s">
        <v>25</v>
      </c>
      <c r="Z33" s="41">
        <v>0</v>
      </c>
      <c r="AA33" s="41">
        <v>0</v>
      </c>
      <c r="AB33" s="42"/>
      <c r="AC33" s="42"/>
      <c r="AD33" s="43">
        <v>0</v>
      </c>
      <c r="AE33" s="43">
        <v>0</v>
      </c>
      <c r="AF33" s="37" t="s">
        <v>25</v>
      </c>
    </row>
    <row r="34" s="1" customFormat="1" spans="1:32">
      <c r="A34" s="58" t="s">
        <v>64</v>
      </c>
      <c r="B34" s="59"/>
      <c r="C34" s="48">
        <v>740</v>
      </c>
      <c r="D34" s="48">
        <v>812</v>
      </c>
      <c r="E34" s="49">
        <v>0.0972972972972973</v>
      </c>
      <c r="F34" s="48">
        <v>14019.692213</v>
      </c>
      <c r="G34" s="48">
        <v>18558.907841</v>
      </c>
      <c r="H34" s="49">
        <v>0.323774271149188</v>
      </c>
      <c r="I34" s="48">
        <v>771.146718784</v>
      </c>
      <c r="J34" s="48">
        <v>214.7436</v>
      </c>
      <c r="K34" s="48">
        <v>14790.838931784</v>
      </c>
      <c r="L34" s="48">
        <v>18773.651441</v>
      </c>
      <c r="M34" s="49">
        <v>0.269275632544234</v>
      </c>
      <c r="N34" s="48">
        <v>233</v>
      </c>
      <c r="O34" s="48">
        <v>277</v>
      </c>
      <c r="P34" s="49">
        <v>0.188841201716738</v>
      </c>
      <c r="Q34" s="48">
        <v>6468.100119</v>
      </c>
      <c r="R34" s="48">
        <v>10501.21106641</v>
      </c>
      <c r="S34" s="49">
        <v>0.623538732117453</v>
      </c>
      <c r="T34" s="48">
        <v>94</v>
      </c>
      <c r="U34" s="48">
        <v>265</v>
      </c>
      <c r="V34" s="49">
        <v>1.81914893617021</v>
      </c>
      <c r="W34" s="48">
        <v>4770.769555</v>
      </c>
      <c r="X34" s="48">
        <v>9555.395589</v>
      </c>
      <c r="Y34" s="49">
        <v>1.00290445364008</v>
      </c>
      <c r="Z34" s="48">
        <v>4515.03090446739</v>
      </c>
      <c r="AA34" s="48">
        <v>2045.45039819756</v>
      </c>
      <c r="AB34" s="48">
        <v>1573.001792128</v>
      </c>
      <c r="AC34" s="48">
        <v>7033.38</v>
      </c>
      <c r="AD34" s="48">
        <v>6088.03269659539</v>
      </c>
      <c r="AE34" s="48">
        <v>9078.83039819756</v>
      </c>
      <c r="AF34" s="49">
        <v>0.491258482116023</v>
      </c>
    </row>
    <row r="35" s="1" customFormat="1" spans="1:32">
      <c r="A35" s="35" t="s">
        <v>65</v>
      </c>
      <c r="B35" s="25" t="s">
        <v>40</v>
      </c>
      <c r="C35" s="36">
        <v>52</v>
      </c>
      <c r="D35" s="36">
        <v>113</v>
      </c>
      <c r="E35" s="37">
        <v>1.17307692307692</v>
      </c>
      <c r="F35" s="36">
        <v>393.58625</v>
      </c>
      <c r="G35" s="36">
        <v>900.555620999999</v>
      </c>
      <c r="H35" s="37">
        <v>1.28807693612264</v>
      </c>
      <c r="I35" s="38"/>
      <c r="J35" s="38"/>
      <c r="K35" s="36">
        <v>393.58625</v>
      </c>
      <c r="L35" s="36">
        <v>900.555620999999</v>
      </c>
      <c r="M35" s="37">
        <v>1.28807693612264</v>
      </c>
      <c r="N35" s="25">
        <v>22</v>
      </c>
      <c r="O35" s="25">
        <v>13</v>
      </c>
      <c r="P35" s="37">
        <v>-0.409090909090909</v>
      </c>
      <c r="Q35" s="39">
        <v>178.457292</v>
      </c>
      <c r="R35" s="39">
        <v>70.881715</v>
      </c>
      <c r="S35" s="37">
        <v>-0.602808525190442</v>
      </c>
      <c r="T35" s="40">
        <v>29</v>
      </c>
      <c r="U35" s="25">
        <v>16</v>
      </c>
      <c r="V35" s="37">
        <v>-0.448275862068966</v>
      </c>
      <c r="W35" s="41">
        <v>228.723334</v>
      </c>
      <c r="X35" s="41">
        <v>103.030161</v>
      </c>
      <c r="Y35" s="37">
        <v>-0.549542413543167</v>
      </c>
      <c r="Z35" s="41">
        <v>218.190910264969</v>
      </c>
      <c r="AA35" s="41">
        <v>80.8128183105469</v>
      </c>
      <c r="AB35" s="45"/>
      <c r="AC35" s="45"/>
      <c r="AD35" s="43">
        <v>218.190910264969</v>
      </c>
      <c r="AE35" s="43">
        <v>80.8128183105469</v>
      </c>
      <c r="AF35" s="37">
        <v>-0.629623350430095</v>
      </c>
    </row>
    <row r="36" s="1" customFormat="1" spans="1:32">
      <c r="A36" s="44" t="s">
        <v>66</v>
      </c>
      <c r="B36" s="25" t="s">
        <v>37</v>
      </c>
      <c r="C36" s="36">
        <v>23</v>
      </c>
      <c r="D36" s="36">
        <v>22</v>
      </c>
      <c r="E36" s="37">
        <v>-0.0434782608695652</v>
      </c>
      <c r="F36" s="36">
        <v>773.878965</v>
      </c>
      <c r="G36" s="36">
        <v>354.27323</v>
      </c>
      <c r="H36" s="37">
        <v>-0.542211061389942</v>
      </c>
      <c r="I36" s="38">
        <v>433.16359372</v>
      </c>
      <c r="J36" s="38">
        <v>201.59064107</v>
      </c>
      <c r="K36" s="36">
        <v>1207.04255872</v>
      </c>
      <c r="L36" s="36">
        <v>555.86387107</v>
      </c>
      <c r="M36" s="37">
        <v>-0.53948279035044</v>
      </c>
      <c r="N36" s="25">
        <v>3</v>
      </c>
      <c r="O36" s="25">
        <v>15</v>
      </c>
      <c r="P36" s="37">
        <v>4</v>
      </c>
      <c r="Q36" s="39">
        <v>44.012007</v>
      </c>
      <c r="R36" s="39">
        <v>162.733611</v>
      </c>
      <c r="S36" s="37">
        <v>2.69748216662785</v>
      </c>
      <c r="T36" s="54">
        <v>0</v>
      </c>
      <c r="U36" s="25">
        <v>5</v>
      </c>
      <c r="V36" s="37" t="e">
        <v>#DIV/0!</v>
      </c>
      <c r="W36" s="55">
        <v>0</v>
      </c>
      <c r="X36" s="55">
        <v>78.485348</v>
      </c>
      <c r="Y36" s="37" t="e">
        <v>#DIV/0!</v>
      </c>
      <c r="Z36" s="55">
        <v>919.50944296875</v>
      </c>
      <c r="AA36" s="55">
        <v>435.623304467773</v>
      </c>
      <c r="AB36" s="52">
        <v>435.33384972</v>
      </c>
      <c r="AC36" s="52">
        <v>201.69613779</v>
      </c>
      <c r="AD36" s="43">
        <v>1354.84329268875</v>
      </c>
      <c r="AE36" s="43">
        <v>637.319442257773</v>
      </c>
      <c r="AF36" s="37">
        <v>-0.529599145748448</v>
      </c>
    </row>
    <row r="37" s="1" customFormat="1" spans="1:32">
      <c r="A37" s="44" t="s">
        <v>67</v>
      </c>
      <c r="B37" s="25" t="s">
        <v>49</v>
      </c>
      <c r="C37" s="36">
        <v>8</v>
      </c>
      <c r="D37" s="36">
        <v>32</v>
      </c>
      <c r="E37" s="37" t="s">
        <v>25</v>
      </c>
      <c r="F37" s="36">
        <v>74.024224</v>
      </c>
      <c r="G37" s="36">
        <v>255.135846</v>
      </c>
      <c r="H37" s="37" t="s">
        <v>25</v>
      </c>
      <c r="I37" s="38"/>
      <c r="J37" s="38"/>
      <c r="K37" s="36">
        <v>74.024224</v>
      </c>
      <c r="L37" s="36">
        <v>255.135846</v>
      </c>
      <c r="M37" s="37" t="s">
        <v>25</v>
      </c>
      <c r="N37" s="25">
        <v>2</v>
      </c>
      <c r="O37" s="25">
        <v>4</v>
      </c>
      <c r="P37" s="37" t="s">
        <v>25</v>
      </c>
      <c r="Q37" s="39">
        <v>6.912768</v>
      </c>
      <c r="R37" s="39">
        <v>23.250354</v>
      </c>
      <c r="S37" s="37" t="s">
        <v>25</v>
      </c>
      <c r="T37" s="40">
        <v>0</v>
      </c>
      <c r="U37" s="25">
        <v>6</v>
      </c>
      <c r="V37" s="37" t="s">
        <v>25</v>
      </c>
      <c r="W37" s="41">
        <v>0</v>
      </c>
      <c r="X37" s="41">
        <v>45.71685</v>
      </c>
      <c r="Y37" s="37" t="s">
        <v>25</v>
      </c>
      <c r="Z37" s="41">
        <v>0</v>
      </c>
      <c r="AA37" s="41">
        <v>21.3623609375</v>
      </c>
      <c r="AB37" s="45"/>
      <c r="AC37" s="45"/>
      <c r="AD37" s="43">
        <v>0</v>
      </c>
      <c r="AE37" s="43">
        <v>21.3623609375</v>
      </c>
      <c r="AF37" s="37" t="s">
        <v>25</v>
      </c>
    </row>
    <row r="38" s="1" customFormat="1" spans="1:32">
      <c r="A38" s="44" t="s">
        <v>68</v>
      </c>
      <c r="B38" s="25" t="s">
        <v>37</v>
      </c>
      <c r="C38" s="36">
        <v>128</v>
      </c>
      <c r="D38" s="36">
        <v>85</v>
      </c>
      <c r="E38" s="37">
        <v>-0.3359375</v>
      </c>
      <c r="F38" s="36">
        <v>1268.912469</v>
      </c>
      <c r="G38" s="36">
        <v>935.889094</v>
      </c>
      <c r="H38" s="37">
        <v>-0.262447870232096</v>
      </c>
      <c r="I38" s="38"/>
      <c r="J38" s="38"/>
      <c r="K38" s="36">
        <v>1268.912469</v>
      </c>
      <c r="L38" s="36">
        <v>935.889094</v>
      </c>
      <c r="M38" s="37">
        <v>-0.262447870232096</v>
      </c>
      <c r="N38" s="25">
        <v>27</v>
      </c>
      <c r="O38" s="25">
        <v>22</v>
      </c>
      <c r="P38" s="37">
        <v>-0.185185185185185</v>
      </c>
      <c r="Q38" s="39">
        <v>224.145533</v>
      </c>
      <c r="R38" s="39">
        <v>176.671835</v>
      </c>
      <c r="S38" s="37">
        <v>-0.211798546081219</v>
      </c>
      <c r="T38" s="40">
        <v>20</v>
      </c>
      <c r="U38" s="25">
        <v>20</v>
      </c>
      <c r="V38" s="37">
        <v>0</v>
      </c>
      <c r="W38" s="41">
        <v>167.867653</v>
      </c>
      <c r="X38" s="41">
        <v>159.104546</v>
      </c>
      <c r="Y38" s="37">
        <v>-0.052202475243995</v>
      </c>
      <c r="Z38" s="41">
        <v>153.926020207405</v>
      </c>
      <c r="AA38" s="41">
        <v>232.650673165083</v>
      </c>
      <c r="AB38" s="42"/>
      <c r="AC38" s="42"/>
      <c r="AD38" s="43">
        <v>153.926020207405</v>
      </c>
      <c r="AE38" s="43">
        <v>232.650673165083</v>
      </c>
      <c r="AF38" s="37">
        <v>0.511444737228973</v>
      </c>
    </row>
    <row r="39" s="1" customFormat="1" spans="1:32">
      <c r="A39" s="44" t="s">
        <v>69</v>
      </c>
      <c r="B39" s="25" t="s">
        <v>40</v>
      </c>
      <c r="C39" s="36">
        <v>39</v>
      </c>
      <c r="D39" s="36">
        <v>37</v>
      </c>
      <c r="E39" s="37">
        <v>-0.0512820512820513</v>
      </c>
      <c r="F39" s="36">
        <v>592.248553</v>
      </c>
      <c r="G39" s="36">
        <v>504.769577</v>
      </c>
      <c r="H39" s="37">
        <v>-0.147706525506699</v>
      </c>
      <c r="I39" s="38"/>
      <c r="J39" s="38"/>
      <c r="K39" s="36">
        <v>592.248553</v>
      </c>
      <c r="L39" s="36">
        <v>504.769577</v>
      </c>
      <c r="M39" s="37">
        <v>-0.147706525506699</v>
      </c>
      <c r="N39" s="25">
        <v>2</v>
      </c>
      <c r="O39" s="25">
        <v>16</v>
      </c>
      <c r="P39" s="37">
        <v>7</v>
      </c>
      <c r="Q39" s="39">
        <v>29.534539</v>
      </c>
      <c r="R39" s="39">
        <v>157.776715</v>
      </c>
      <c r="S39" s="37">
        <v>4.34210860714636</v>
      </c>
      <c r="T39" s="40">
        <v>9</v>
      </c>
      <c r="U39" s="25">
        <v>8</v>
      </c>
      <c r="V39" s="37">
        <v>-0.111111111111111</v>
      </c>
      <c r="W39" s="41">
        <v>179.539712</v>
      </c>
      <c r="X39" s="41">
        <v>88.302307</v>
      </c>
      <c r="Y39" s="37">
        <v>-0.508173952066939</v>
      </c>
      <c r="Z39" s="41">
        <v>245.620055331421</v>
      </c>
      <c r="AA39" s="41">
        <v>120.109423742676</v>
      </c>
      <c r="AB39" s="45"/>
      <c r="AC39" s="45"/>
      <c r="AD39" s="43">
        <v>245.620055331421</v>
      </c>
      <c r="AE39" s="43">
        <v>120.109423742676</v>
      </c>
      <c r="AF39" s="37">
        <v>-0.510995046472857</v>
      </c>
    </row>
    <row r="40" s="1" customFormat="1" spans="1:32">
      <c r="A40" s="44" t="s">
        <v>70</v>
      </c>
      <c r="B40" s="25" t="s">
        <v>40</v>
      </c>
      <c r="C40" s="36">
        <v>0</v>
      </c>
      <c r="D40" s="36">
        <v>46</v>
      </c>
      <c r="E40" s="37" t="s">
        <v>25</v>
      </c>
      <c r="F40" s="36">
        <v>0</v>
      </c>
      <c r="G40" s="36">
        <v>420.22447</v>
      </c>
      <c r="H40" s="37" t="s">
        <v>25</v>
      </c>
      <c r="I40" s="38"/>
      <c r="J40" s="38"/>
      <c r="K40" s="36">
        <v>0</v>
      </c>
      <c r="L40" s="36">
        <v>420.22447</v>
      </c>
      <c r="M40" s="37" t="s">
        <v>25</v>
      </c>
      <c r="N40" s="25">
        <v>0</v>
      </c>
      <c r="O40" s="25">
        <v>0</v>
      </c>
      <c r="P40" s="37" t="s">
        <v>25</v>
      </c>
      <c r="Q40" s="39">
        <v>0</v>
      </c>
      <c r="R40" s="39">
        <v>0</v>
      </c>
      <c r="S40" s="37" t="s">
        <v>25</v>
      </c>
      <c r="T40" s="40">
        <v>0</v>
      </c>
      <c r="U40" s="25">
        <v>0</v>
      </c>
      <c r="V40" s="37" t="s">
        <v>25</v>
      </c>
      <c r="W40" s="41">
        <v>0</v>
      </c>
      <c r="X40" s="41">
        <v>0</v>
      </c>
      <c r="Y40" s="37" t="s">
        <v>25</v>
      </c>
      <c r="Z40" s="41">
        <v>0</v>
      </c>
      <c r="AA40" s="41">
        <v>0</v>
      </c>
      <c r="AB40" s="42"/>
      <c r="AC40" s="42"/>
      <c r="AD40" s="43">
        <v>0</v>
      </c>
      <c r="AE40" s="43">
        <v>0</v>
      </c>
      <c r="AF40" s="37" t="s">
        <v>25</v>
      </c>
    </row>
    <row r="41" s="1" customFormat="1" spans="1:32">
      <c r="A41" s="44" t="s">
        <v>71</v>
      </c>
      <c r="B41" s="25" t="s">
        <v>40</v>
      </c>
      <c r="C41" s="36">
        <v>97</v>
      </c>
      <c r="D41" s="36">
        <v>79</v>
      </c>
      <c r="E41" s="37">
        <v>-0.185567010309278</v>
      </c>
      <c r="F41" s="36">
        <v>1049.80866</v>
      </c>
      <c r="G41" s="36">
        <v>816.907674</v>
      </c>
      <c r="H41" s="37">
        <v>-0.221850890427977</v>
      </c>
      <c r="I41" s="36"/>
      <c r="J41" s="36"/>
      <c r="K41" s="36">
        <v>1049.80866</v>
      </c>
      <c r="L41" s="36">
        <v>816.907674</v>
      </c>
      <c r="M41" s="37">
        <v>-0.221850890427977</v>
      </c>
      <c r="N41" s="25">
        <v>1</v>
      </c>
      <c r="O41" s="25">
        <v>9</v>
      </c>
      <c r="P41" s="37">
        <v>8</v>
      </c>
      <c r="Q41" s="39">
        <v>7.43</v>
      </c>
      <c r="R41" s="39">
        <v>84.250264</v>
      </c>
      <c r="S41" s="37">
        <v>10.339201076716</v>
      </c>
      <c r="T41" s="40">
        <v>1</v>
      </c>
      <c r="U41" s="25">
        <v>8</v>
      </c>
      <c r="V41" s="37">
        <v>7</v>
      </c>
      <c r="W41" s="41">
        <v>7.43</v>
      </c>
      <c r="X41" s="41">
        <v>77.59975</v>
      </c>
      <c r="Y41" s="37">
        <v>9.44411170928668</v>
      </c>
      <c r="Z41" s="41">
        <v>15.433404296875</v>
      </c>
      <c r="AA41" s="41">
        <v>77.7710213134766</v>
      </c>
      <c r="AB41" s="45"/>
      <c r="AC41" s="45"/>
      <c r="AD41" s="43">
        <v>15.433404296875</v>
      </c>
      <c r="AE41" s="43">
        <v>77.7710213134766</v>
      </c>
      <c r="AF41" s="37">
        <v>4.03913587809164</v>
      </c>
    </row>
    <row r="42" s="1" customFormat="1" spans="1:32">
      <c r="A42" s="35" t="s">
        <v>72</v>
      </c>
      <c r="B42" s="25" t="s">
        <v>37</v>
      </c>
      <c r="C42" s="36">
        <v>10</v>
      </c>
      <c r="D42" s="36">
        <v>67</v>
      </c>
      <c r="E42" s="37">
        <v>5.7</v>
      </c>
      <c r="F42" s="36">
        <v>106.425487</v>
      </c>
      <c r="G42" s="36">
        <v>762.662076999999</v>
      </c>
      <c r="H42" s="37">
        <v>6.16616008531866</v>
      </c>
      <c r="I42" s="38"/>
      <c r="J42" s="38"/>
      <c r="K42" s="36">
        <v>106.425487</v>
      </c>
      <c r="L42" s="36">
        <v>762.662076999999</v>
      </c>
      <c r="M42" s="37">
        <v>6.16616008531866</v>
      </c>
      <c r="N42" s="25">
        <v>1</v>
      </c>
      <c r="O42" s="25">
        <v>14</v>
      </c>
      <c r="P42" s="37">
        <v>13</v>
      </c>
      <c r="Q42" s="39">
        <v>7.56084</v>
      </c>
      <c r="R42" s="39">
        <v>109.905272</v>
      </c>
      <c r="S42" s="37">
        <v>13.5361192671714</v>
      </c>
      <c r="T42" s="40">
        <v>0</v>
      </c>
      <c r="U42" s="25">
        <v>10</v>
      </c>
      <c r="V42" s="37" t="e">
        <v>#DIV/0!</v>
      </c>
      <c r="W42" s="41">
        <v>0</v>
      </c>
      <c r="X42" s="41">
        <v>74.216801</v>
      </c>
      <c r="Y42" s="37" t="e">
        <v>#DIV/0!</v>
      </c>
      <c r="Z42" s="41">
        <v>2.18910390625</v>
      </c>
      <c r="AA42" s="41">
        <v>77.5395807006836</v>
      </c>
      <c r="AB42" s="45"/>
      <c r="AC42" s="45"/>
      <c r="AD42" s="43">
        <v>2.18910390625</v>
      </c>
      <c r="AE42" s="43">
        <v>77.5395807006836</v>
      </c>
      <c r="AF42" s="37">
        <v>34.4206945039494</v>
      </c>
    </row>
    <row r="43" s="1" customFormat="1" spans="1:32">
      <c r="A43" s="44" t="s">
        <v>73</v>
      </c>
      <c r="B43" s="25" t="s">
        <v>31</v>
      </c>
      <c r="C43" s="36">
        <v>110</v>
      </c>
      <c r="D43" s="36">
        <v>165</v>
      </c>
      <c r="E43" s="37">
        <v>0.5</v>
      </c>
      <c r="F43" s="36">
        <v>1592.682772</v>
      </c>
      <c r="G43" s="36">
        <v>1764.861957</v>
      </c>
      <c r="H43" s="37">
        <v>0.108106390065228</v>
      </c>
      <c r="I43" s="60"/>
      <c r="J43" s="61"/>
      <c r="K43" s="36">
        <v>1592.682772</v>
      </c>
      <c r="L43" s="36">
        <v>1764.861957</v>
      </c>
      <c r="M43" s="37">
        <v>0.108106390065228</v>
      </c>
      <c r="N43" s="25">
        <v>30</v>
      </c>
      <c r="O43" s="25">
        <v>52</v>
      </c>
      <c r="P43" s="37">
        <v>0.733333333333333</v>
      </c>
      <c r="Q43" s="39">
        <v>723.492464</v>
      </c>
      <c r="R43" s="39">
        <v>642.605337</v>
      </c>
      <c r="S43" s="37">
        <v>-0.111800925406736</v>
      </c>
      <c r="T43" s="40">
        <v>19</v>
      </c>
      <c r="U43" s="25">
        <v>10</v>
      </c>
      <c r="V43" s="37">
        <v>-0.473684210526316</v>
      </c>
      <c r="W43" s="41">
        <v>329.728671</v>
      </c>
      <c r="X43" s="41">
        <v>110.754958</v>
      </c>
      <c r="Y43" s="37">
        <v>-0.664102737368568</v>
      </c>
      <c r="Z43" s="41">
        <v>534.080122080994</v>
      </c>
      <c r="AA43" s="41">
        <v>271.229190881348</v>
      </c>
      <c r="AB43" s="42"/>
      <c r="AC43" s="42"/>
      <c r="AD43" s="43">
        <v>534.080122080994</v>
      </c>
      <c r="AE43" s="43">
        <v>271.229190881348</v>
      </c>
      <c r="AF43" s="37">
        <v>-0.49215636443362</v>
      </c>
    </row>
    <row r="44" s="1" customFormat="1" spans="1:32">
      <c r="A44" s="50" t="s">
        <v>74</v>
      </c>
      <c r="B44" s="25" t="s">
        <v>40</v>
      </c>
      <c r="C44" s="36">
        <v>0</v>
      </c>
      <c r="D44" s="36">
        <v>67</v>
      </c>
      <c r="E44" s="37" t="s">
        <v>25</v>
      </c>
      <c r="F44" s="36">
        <v>0</v>
      </c>
      <c r="G44" s="36">
        <v>572.997678</v>
      </c>
      <c r="H44" s="37" t="s">
        <v>25</v>
      </c>
      <c r="I44" s="62"/>
      <c r="J44" s="62"/>
      <c r="K44" s="36">
        <v>0</v>
      </c>
      <c r="L44" s="36">
        <v>572.997678</v>
      </c>
      <c r="M44" s="37" t="s">
        <v>25</v>
      </c>
      <c r="N44" s="25">
        <v>0</v>
      </c>
      <c r="O44" s="25">
        <v>1</v>
      </c>
      <c r="P44" s="37" t="s">
        <v>25</v>
      </c>
      <c r="Q44" s="39">
        <v>0</v>
      </c>
      <c r="R44" s="39">
        <v>16.98015</v>
      </c>
      <c r="S44" s="37" t="s">
        <v>25</v>
      </c>
      <c r="T44" s="40">
        <v>0</v>
      </c>
      <c r="U44" s="25">
        <v>1</v>
      </c>
      <c r="V44" s="37" t="s">
        <v>25</v>
      </c>
      <c r="W44" s="41">
        <v>0</v>
      </c>
      <c r="X44" s="41">
        <v>16.98015</v>
      </c>
      <c r="Y44" s="37" t="s">
        <v>25</v>
      </c>
      <c r="Z44" s="41">
        <v>0</v>
      </c>
      <c r="AA44" s="41">
        <v>16.8840703063965</v>
      </c>
      <c r="AB44" s="42"/>
      <c r="AC44" s="42"/>
      <c r="AD44" s="43">
        <v>0</v>
      </c>
      <c r="AE44" s="43">
        <v>16.8840703063965</v>
      </c>
      <c r="AF44" s="37" t="s">
        <v>25</v>
      </c>
    </row>
    <row r="45" s="1" customFormat="1" spans="1:32">
      <c r="A45" s="35" t="s">
        <v>75</v>
      </c>
      <c r="B45" s="25" t="s">
        <v>40</v>
      </c>
      <c r="C45" s="36">
        <v>0</v>
      </c>
      <c r="D45" s="36">
        <v>73</v>
      </c>
      <c r="E45" s="37" t="s">
        <v>25</v>
      </c>
      <c r="F45" s="36">
        <v>0</v>
      </c>
      <c r="G45" s="36">
        <v>736.087019</v>
      </c>
      <c r="H45" s="37" t="s">
        <v>25</v>
      </c>
      <c r="I45" s="38"/>
      <c r="J45" s="38"/>
      <c r="K45" s="36">
        <v>0</v>
      </c>
      <c r="L45" s="36">
        <v>736.087019</v>
      </c>
      <c r="M45" s="37" t="s">
        <v>25</v>
      </c>
      <c r="N45" s="25">
        <v>0</v>
      </c>
      <c r="O45" s="25">
        <v>0</v>
      </c>
      <c r="P45" s="37" t="s">
        <v>25</v>
      </c>
      <c r="Q45" s="39">
        <v>0</v>
      </c>
      <c r="R45" s="39">
        <v>0</v>
      </c>
      <c r="S45" s="37" t="s">
        <v>25</v>
      </c>
      <c r="T45" s="40">
        <v>0</v>
      </c>
      <c r="U45" s="25">
        <v>0</v>
      </c>
      <c r="V45" s="37" t="s">
        <v>25</v>
      </c>
      <c r="W45" s="41">
        <v>0</v>
      </c>
      <c r="X45" s="41">
        <v>0</v>
      </c>
      <c r="Y45" s="37" t="s">
        <v>25</v>
      </c>
      <c r="Z45" s="41">
        <v>0</v>
      </c>
      <c r="AA45" s="41">
        <v>0</v>
      </c>
      <c r="AB45" s="42"/>
      <c r="AC45" s="42"/>
      <c r="AD45" s="43">
        <v>0</v>
      </c>
      <c r="AE45" s="43">
        <v>0</v>
      </c>
      <c r="AF45" s="37" t="s">
        <v>25</v>
      </c>
    </row>
    <row r="46" s="1" customFormat="1" spans="1:32">
      <c r="A46" s="46" t="s">
        <v>76</v>
      </c>
      <c r="B46" s="47"/>
      <c r="C46" s="48">
        <v>467</v>
      </c>
      <c r="D46" s="48">
        <v>786</v>
      </c>
      <c r="E46" s="49">
        <v>0.683083511777302</v>
      </c>
      <c r="F46" s="48">
        <v>5851.56738</v>
      </c>
      <c r="G46" s="48">
        <v>8024.364243</v>
      </c>
      <c r="H46" s="49">
        <v>0.371318780405122</v>
      </c>
      <c r="I46" s="48">
        <v>433.16359372</v>
      </c>
      <c r="J46" s="48">
        <v>201.59064107</v>
      </c>
      <c r="K46" s="48">
        <v>6284.73097372</v>
      </c>
      <c r="L46" s="48">
        <v>8225.95488407</v>
      </c>
      <c r="M46" s="49">
        <v>0.308879396503581</v>
      </c>
      <c r="N46" s="48">
        <v>88</v>
      </c>
      <c r="O46" s="48">
        <v>146</v>
      </c>
      <c r="P46" s="49">
        <v>0.659090909090909</v>
      </c>
      <c r="Q46" s="48">
        <v>1221.545443</v>
      </c>
      <c r="R46" s="48">
        <v>1445.055253</v>
      </c>
      <c r="S46" s="49">
        <v>0.182972980072752</v>
      </c>
      <c r="T46" s="48">
        <v>78</v>
      </c>
      <c r="U46" s="48">
        <v>84</v>
      </c>
      <c r="V46" s="49">
        <v>0.0769230769230769</v>
      </c>
      <c r="W46" s="48">
        <v>913.28937</v>
      </c>
      <c r="X46" s="48">
        <v>754.190871</v>
      </c>
      <c r="Y46" s="49">
        <v>-0.174203822168652</v>
      </c>
      <c r="Z46" s="48">
        <v>2088.94905905666</v>
      </c>
      <c r="AA46" s="48">
        <v>1333.98244382548</v>
      </c>
      <c r="AB46" s="48">
        <v>435.33384972</v>
      </c>
      <c r="AC46" s="48">
        <v>201.69613779</v>
      </c>
      <c r="AD46" s="48">
        <v>2524.28290877666</v>
      </c>
      <c r="AE46" s="48">
        <v>1535.67858161548</v>
      </c>
      <c r="AF46" s="49">
        <v>-0.391637689945096</v>
      </c>
    </row>
    <row r="47" s="1" customFormat="1" spans="1:32">
      <c r="A47" s="44" t="s">
        <v>77</v>
      </c>
      <c r="B47" s="25" t="s">
        <v>31</v>
      </c>
      <c r="C47" s="36">
        <v>205</v>
      </c>
      <c r="D47" s="36">
        <v>189</v>
      </c>
      <c r="E47" s="37">
        <v>-0.0780487804878049</v>
      </c>
      <c r="F47" s="36">
        <v>3027.865916</v>
      </c>
      <c r="G47" s="36">
        <v>3703.716701</v>
      </c>
      <c r="H47" s="37">
        <v>0.223210275405075</v>
      </c>
      <c r="I47" s="38"/>
      <c r="J47" s="38"/>
      <c r="K47" s="36">
        <v>3027.865916</v>
      </c>
      <c r="L47" s="36">
        <v>3703.716701</v>
      </c>
      <c r="M47" s="37">
        <v>0.223210275405075</v>
      </c>
      <c r="N47" s="25">
        <v>61</v>
      </c>
      <c r="O47" s="25">
        <v>120</v>
      </c>
      <c r="P47" s="37">
        <v>0.967213114754098</v>
      </c>
      <c r="Q47" s="39">
        <v>919.331719</v>
      </c>
      <c r="R47" s="39">
        <v>1806.219876</v>
      </c>
      <c r="S47" s="37">
        <v>0.964709624035064</v>
      </c>
      <c r="T47" s="40">
        <v>38</v>
      </c>
      <c r="U47" s="25">
        <v>100</v>
      </c>
      <c r="V47" s="37">
        <v>1.63157894736842</v>
      </c>
      <c r="W47" s="41">
        <v>490.773108</v>
      </c>
      <c r="X47" s="41">
        <v>1481.65251</v>
      </c>
      <c r="Y47" s="37">
        <v>2.01901731339362</v>
      </c>
      <c r="Z47" s="41">
        <v>603.531708706665</v>
      </c>
      <c r="AA47" s="41">
        <v>1361.02866261461</v>
      </c>
      <c r="AB47" s="42"/>
      <c r="AC47" s="42"/>
      <c r="AD47" s="43">
        <v>603.531708706665</v>
      </c>
      <c r="AE47" s="43">
        <v>1361.02866261461</v>
      </c>
      <c r="AF47" s="37">
        <v>1.25510713518469</v>
      </c>
    </row>
    <row r="48" s="1" customFormat="1" spans="1:32">
      <c r="A48" s="63" t="s">
        <v>78</v>
      </c>
      <c r="B48" s="25" t="s">
        <v>31</v>
      </c>
      <c r="C48" s="36">
        <v>210</v>
      </c>
      <c r="D48" s="36">
        <v>199</v>
      </c>
      <c r="E48" s="37">
        <v>-0.0523809523809524</v>
      </c>
      <c r="F48" s="36">
        <v>4171.503895</v>
      </c>
      <c r="G48" s="36">
        <v>3802.00713</v>
      </c>
      <c r="H48" s="37">
        <v>-0.0885763921838547</v>
      </c>
      <c r="I48" s="38"/>
      <c r="J48" s="38"/>
      <c r="K48" s="36">
        <v>4171.503895</v>
      </c>
      <c r="L48" s="36">
        <v>3802.00713</v>
      </c>
      <c r="M48" s="37">
        <v>-0.0885763921838547</v>
      </c>
      <c r="N48" s="25">
        <v>90</v>
      </c>
      <c r="O48" s="25">
        <v>127</v>
      </c>
      <c r="P48" s="37">
        <v>0.411111111111111</v>
      </c>
      <c r="Q48" s="39">
        <v>1491.445758</v>
      </c>
      <c r="R48" s="39">
        <v>1818.493729</v>
      </c>
      <c r="S48" s="37">
        <v>0.21928251111094</v>
      </c>
      <c r="T48" s="40">
        <v>67</v>
      </c>
      <c r="U48" s="25">
        <v>106</v>
      </c>
      <c r="V48" s="37">
        <v>0.582089552238806</v>
      </c>
      <c r="W48" s="41">
        <v>931.405964</v>
      </c>
      <c r="X48" s="41">
        <v>1398.317529</v>
      </c>
      <c r="Y48" s="37">
        <v>0.501297589930398</v>
      </c>
      <c r="Z48" s="41">
        <v>968.512392328262</v>
      </c>
      <c r="AA48" s="41">
        <v>1129.56292733307</v>
      </c>
      <c r="AB48" s="42"/>
      <c r="AC48" s="42"/>
      <c r="AD48" s="43">
        <v>968.512392328262</v>
      </c>
      <c r="AE48" s="43">
        <v>1129.56292733307</v>
      </c>
      <c r="AF48" s="37">
        <v>0.166286499047936</v>
      </c>
    </row>
    <row r="49" s="1" customFormat="1" spans="1:32">
      <c r="A49" s="35" t="s">
        <v>79</v>
      </c>
      <c r="B49" s="25" t="s">
        <v>40</v>
      </c>
      <c r="C49" s="36">
        <v>40</v>
      </c>
      <c r="D49" s="36">
        <v>64</v>
      </c>
      <c r="E49" s="37">
        <v>0.6</v>
      </c>
      <c r="F49" s="36">
        <v>715.240905</v>
      </c>
      <c r="G49" s="36">
        <v>771.49994</v>
      </c>
      <c r="H49" s="37">
        <v>0.0786574629704661</v>
      </c>
      <c r="I49" s="38"/>
      <c r="J49" s="38"/>
      <c r="K49" s="36">
        <v>715.240905</v>
      </c>
      <c r="L49" s="36">
        <v>771.49994</v>
      </c>
      <c r="M49" s="37">
        <v>0.0786574629704661</v>
      </c>
      <c r="N49" s="25">
        <v>1</v>
      </c>
      <c r="O49" s="25">
        <v>10</v>
      </c>
      <c r="P49" s="37" t="s">
        <v>25</v>
      </c>
      <c r="Q49" s="39">
        <v>9.18336</v>
      </c>
      <c r="R49" s="39">
        <v>116.394605</v>
      </c>
      <c r="S49" s="37">
        <v>11.6745118344484</v>
      </c>
      <c r="T49" s="40">
        <v>1</v>
      </c>
      <c r="U49" s="25">
        <v>2</v>
      </c>
      <c r="V49" s="37">
        <v>1</v>
      </c>
      <c r="W49" s="41">
        <v>16.065436</v>
      </c>
      <c r="X49" s="41">
        <v>26.889612</v>
      </c>
      <c r="Y49" s="37">
        <v>0.673755508409483</v>
      </c>
      <c r="Z49" s="41">
        <v>242.491009960938</v>
      </c>
      <c r="AA49" s="41">
        <v>76.4643786132813</v>
      </c>
      <c r="AB49" s="42"/>
      <c r="AC49" s="42"/>
      <c r="AD49" s="43">
        <v>242.491009960938</v>
      </c>
      <c r="AE49" s="43">
        <v>76.4643786132813</v>
      </c>
      <c r="AF49" s="37">
        <v>-0.684671284821657</v>
      </c>
    </row>
    <row r="50" s="1" customFormat="1" spans="1:32">
      <c r="A50" s="44" t="s">
        <v>80</v>
      </c>
      <c r="B50" s="25" t="s">
        <v>40</v>
      </c>
      <c r="C50" s="36">
        <v>60</v>
      </c>
      <c r="D50" s="36">
        <v>66</v>
      </c>
      <c r="E50" s="37">
        <v>0.1</v>
      </c>
      <c r="F50" s="36">
        <v>872.937385</v>
      </c>
      <c r="G50" s="36">
        <v>985.839419</v>
      </c>
      <c r="H50" s="37">
        <v>0.129335775898749</v>
      </c>
      <c r="I50" s="38"/>
      <c r="J50" s="38"/>
      <c r="K50" s="36">
        <v>872.937385</v>
      </c>
      <c r="L50" s="36">
        <v>985.839419</v>
      </c>
      <c r="M50" s="37">
        <v>0.129335775898749</v>
      </c>
      <c r="N50" s="25">
        <v>5</v>
      </c>
      <c r="O50" s="25">
        <v>20</v>
      </c>
      <c r="P50" s="37">
        <v>3</v>
      </c>
      <c r="Q50" s="39">
        <v>50.763554</v>
      </c>
      <c r="R50" s="39">
        <v>271.502199</v>
      </c>
      <c r="S50" s="37">
        <v>4.34836861501068</v>
      </c>
      <c r="T50" s="40">
        <v>7</v>
      </c>
      <c r="U50" s="25">
        <v>17</v>
      </c>
      <c r="V50" s="37">
        <v>1.42857142857143</v>
      </c>
      <c r="W50" s="41">
        <v>73.763804</v>
      </c>
      <c r="X50" s="41">
        <v>257.998415</v>
      </c>
      <c r="Y50" s="37">
        <v>2.49762893193523</v>
      </c>
      <c r="Z50" s="41">
        <v>62.87622578125</v>
      </c>
      <c r="AA50" s="41">
        <v>263.789848828125</v>
      </c>
      <c r="AB50" s="42"/>
      <c r="AC50" s="42"/>
      <c r="AD50" s="43">
        <v>62.87622578125</v>
      </c>
      <c r="AE50" s="43">
        <v>263.789848828125</v>
      </c>
      <c r="AF50" s="37">
        <v>3.19538300129313</v>
      </c>
    </row>
    <row r="51" s="1" customFormat="1" spans="1:32">
      <c r="A51" s="44" t="s">
        <v>81</v>
      </c>
      <c r="B51" s="25" t="s">
        <v>31</v>
      </c>
      <c r="C51" s="36">
        <v>271</v>
      </c>
      <c r="D51" s="36">
        <v>333</v>
      </c>
      <c r="E51" s="37">
        <v>0.228782287822878</v>
      </c>
      <c r="F51" s="36">
        <v>3201.19566599999</v>
      </c>
      <c r="G51" s="36">
        <v>4046.48402200001</v>
      </c>
      <c r="H51" s="37">
        <v>0.26405394864733</v>
      </c>
      <c r="I51" s="38"/>
      <c r="J51" s="38"/>
      <c r="K51" s="36">
        <v>3201.19566599999</v>
      </c>
      <c r="L51" s="36">
        <v>4046.48402200001</v>
      </c>
      <c r="M51" s="37">
        <v>0.26405394864733</v>
      </c>
      <c r="N51" s="25">
        <v>85</v>
      </c>
      <c r="O51" s="25">
        <v>113</v>
      </c>
      <c r="P51" s="37">
        <v>0.329411764705882</v>
      </c>
      <c r="Q51" s="39">
        <v>925.647373</v>
      </c>
      <c r="R51" s="39">
        <v>1066.339715</v>
      </c>
      <c r="S51" s="37">
        <v>0.151993454639232</v>
      </c>
      <c r="T51" s="40">
        <v>75</v>
      </c>
      <c r="U51" s="25">
        <v>67</v>
      </c>
      <c r="V51" s="37">
        <v>-0.106666666666667</v>
      </c>
      <c r="W51" s="41">
        <v>819.695265</v>
      </c>
      <c r="X51" s="41">
        <v>657.507735</v>
      </c>
      <c r="Y51" s="37">
        <v>-0.197863202247484</v>
      </c>
      <c r="Z51" s="41">
        <v>874.085403900147</v>
      </c>
      <c r="AA51" s="41">
        <v>769.898103517723</v>
      </c>
      <c r="AB51" s="42"/>
      <c r="AC51" s="42"/>
      <c r="AD51" s="43">
        <v>874.085403900147</v>
      </c>
      <c r="AE51" s="43">
        <v>769.898103517723</v>
      </c>
      <c r="AF51" s="37">
        <v>-0.119195790156823</v>
      </c>
    </row>
    <row r="52" s="1" customFormat="1" spans="1:32">
      <c r="A52" s="44" t="s">
        <v>82</v>
      </c>
      <c r="B52" s="25" t="s">
        <v>40</v>
      </c>
      <c r="C52" s="36">
        <v>0</v>
      </c>
      <c r="D52" s="36">
        <v>24</v>
      </c>
      <c r="E52" s="37" t="s">
        <v>25</v>
      </c>
      <c r="F52" s="36">
        <v>0</v>
      </c>
      <c r="G52" s="36">
        <v>200.360525</v>
      </c>
      <c r="H52" s="37" t="s">
        <v>25</v>
      </c>
      <c r="I52" s="38"/>
      <c r="J52" s="38"/>
      <c r="K52" s="36">
        <v>0</v>
      </c>
      <c r="L52" s="36">
        <v>200.360525</v>
      </c>
      <c r="M52" s="37" t="s">
        <v>25</v>
      </c>
      <c r="N52" s="25">
        <v>0</v>
      </c>
      <c r="O52" s="25">
        <v>1</v>
      </c>
      <c r="P52" s="37" t="s">
        <v>25</v>
      </c>
      <c r="Q52" s="39">
        <v>0</v>
      </c>
      <c r="R52" s="39">
        <v>13.156231</v>
      </c>
      <c r="S52" s="37" t="s">
        <v>25</v>
      </c>
      <c r="T52" s="40">
        <v>0</v>
      </c>
      <c r="U52" s="25">
        <v>0</v>
      </c>
      <c r="V52" s="37" t="s">
        <v>25</v>
      </c>
      <c r="W52" s="41">
        <v>0</v>
      </c>
      <c r="X52" s="41">
        <v>0</v>
      </c>
      <c r="Y52" s="37" t="s">
        <v>25</v>
      </c>
      <c r="Z52" s="41">
        <v>0</v>
      </c>
      <c r="AA52" s="41">
        <v>3.92318359375</v>
      </c>
      <c r="AB52" s="42"/>
      <c r="AC52" s="42"/>
      <c r="AD52" s="43">
        <v>0</v>
      </c>
      <c r="AE52" s="43">
        <v>3.92318359375</v>
      </c>
      <c r="AF52" s="37" t="s">
        <v>25</v>
      </c>
    </row>
    <row r="53" s="1" customFormat="1" spans="1:32">
      <c r="A53" s="35" t="s">
        <v>83</v>
      </c>
      <c r="B53" s="25" t="s">
        <v>31</v>
      </c>
      <c r="C53" s="36">
        <v>326</v>
      </c>
      <c r="D53" s="36">
        <v>355</v>
      </c>
      <c r="E53" s="37">
        <v>0.0889570552147239</v>
      </c>
      <c r="F53" s="36">
        <v>3941.709069</v>
      </c>
      <c r="G53" s="36">
        <v>6602.23765700001</v>
      </c>
      <c r="H53" s="37">
        <v>0.674968279349692</v>
      </c>
      <c r="I53" s="38"/>
      <c r="J53" s="38"/>
      <c r="K53" s="36">
        <v>3941.709069</v>
      </c>
      <c r="L53" s="36">
        <v>6602.23765700001</v>
      </c>
      <c r="M53" s="37">
        <v>0.674968279349692</v>
      </c>
      <c r="N53" s="25">
        <v>135</v>
      </c>
      <c r="O53" s="25">
        <v>132</v>
      </c>
      <c r="P53" s="37">
        <v>-0.0222222222222222</v>
      </c>
      <c r="Q53" s="39">
        <v>1488.884333</v>
      </c>
      <c r="R53" s="39">
        <v>1326.459565</v>
      </c>
      <c r="S53" s="37">
        <v>-0.109091595901695</v>
      </c>
      <c r="T53" s="40">
        <v>110</v>
      </c>
      <c r="U53" s="25">
        <v>97</v>
      </c>
      <c r="V53" s="37">
        <v>-0.118181818181818</v>
      </c>
      <c r="W53" s="41">
        <v>1188.587968</v>
      </c>
      <c r="X53" s="41">
        <v>1125.547233</v>
      </c>
      <c r="Y53" s="37">
        <v>-0.0530383418789588</v>
      </c>
      <c r="Z53" s="41">
        <v>1539.29634257088</v>
      </c>
      <c r="AA53" s="41">
        <v>1337.82735399246</v>
      </c>
      <c r="AB53" s="42"/>
      <c r="AC53" s="42"/>
      <c r="AD53" s="43">
        <v>1539.29634257088</v>
      </c>
      <c r="AE53" s="43">
        <v>1337.82735399246</v>
      </c>
      <c r="AF53" s="37">
        <v>-0.13088382204685</v>
      </c>
    </row>
    <row r="54" s="1" customFormat="1" spans="1:32">
      <c r="A54" s="35" t="s">
        <v>84</v>
      </c>
      <c r="B54" s="25" t="s">
        <v>49</v>
      </c>
      <c r="C54" s="36">
        <v>0</v>
      </c>
      <c r="D54" s="36">
        <v>0</v>
      </c>
      <c r="E54" s="37" t="s">
        <v>25</v>
      </c>
      <c r="F54" s="36">
        <v>0</v>
      </c>
      <c r="G54" s="36">
        <v>0</v>
      </c>
      <c r="H54" s="37" t="s">
        <v>25</v>
      </c>
      <c r="I54" s="38"/>
      <c r="J54" s="38"/>
      <c r="K54" s="36">
        <v>0</v>
      </c>
      <c r="L54" s="36">
        <v>0</v>
      </c>
      <c r="M54" s="37" t="s">
        <v>25</v>
      </c>
      <c r="N54" s="25">
        <v>0</v>
      </c>
      <c r="O54" s="25">
        <v>0</v>
      </c>
      <c r="P54" s="37" t="s">
        <v>25</v>
      </c>
      <c r="Q54" s="39">
        <v>0</v>
      </c>
      <c r="R54" s="39">
        <v>0</v>
      </c>
      <c r="S54" s="37" t="s">
        <v>25</v>
      </c>
      <c r="T54" s="40">
        <v>0</v>
      </c>
      <c r="U54" s="25">
        <v>0</v>
      </c>
      <c r="V54" s="37" t="s">
        <v>25</v>
      </c>
      <c r="W54" s="41">
        <v>0</v>
      </c>
      <c r="X54" s="41">
        <v>0</v>
      </c>
      <c r="Y54" s="37" t="s">
        <v>25</v>
      </c>
      <c r="Z54" s="41">
        <v>0</v>
      </c>
      <c r="AA54" s="41">
        <v>0</v>
      </c>
      <c r="AB54" s="42"/>
      <c r="AC54" s="42"/>
      <c r="AD54" s="43">
        <v>0</v>
      </c>
      <c r="AE54" s="43">
        <v>0</v>
      </c>
      <c r="AF54" s="37" t="s">
        <v>25</v>
      </c>
    </row>
    <row r="55" s="1" customFormat="1" spans="1:32">
      <c r="A55" s="35" t="s">
        <v>85</v>
      </c>
      <c r="B55" s="25" t="s">
        <v>49</v>
      </c>
      <c r="C55" s="36">
        <v>0</v>
      </c>
      <c r="D55" s="36">
        <v>8</v>
      </c>
      <c r="E55" s="37" t="s">
        <v>25</v>
      </c>
      <c r="F55" s="36">
        <v>0</v>
      </c>
      <c r="G55" s="36">
        <v>101.432496</v>
      </c>
      <c r="H55" s="37" t="s">
        <v>25</v>
      </c>
      <c r="I55" s="38"/>
      <c r="J55" s="38"/>
      <c r="K55" s="36">
        <v>0</v>
      </c>
      <c r="L55" s="36">
        <v>101.432496</v>
      </c>
      <c r="M55" s="37" t="s">
        <v>25</v>
      </c>
      <c r="N55" s="25">
        <v>0</v>
      </c>
      <c r="O55" s="25">
        <v>0</v>
      </c>
      <c r="P55" s="37" t="s">
        <v>25</v>
      </c>
      <c r="Q55" s="39">
        <v>0</v>
      </c>
      <c r="R55" s="39">
        <v>0</v>
      </c>
      <c r="S55" s="37" t="s">
        <v>25</v>
      </c>
      <c r="T55" s="40">
        <v>0</v>
      </c>
      <c r="U55" s="25">
        <v>0</v>
      </c>
      <c r="V55" s="37" t="s">
        <v>25</v>
      </c>
      <c r="W55" s="41">
        <v>0</v>
      </c>
      <c r="X55" s="41">
        <v>0</v>
      </c>
      <c r="Y55" s="37" t="s">
        <v>25</v>
      </c>
      <c r="Z55" s="41">
        <v>0</v>
      </c>
      <c r="AA55" s="41">
        <v>0</v>
      </c>
      <c r="AB55" s="42"/>
      <c r="AC55" s="42"/>
      <c r="AD55" s="43">
        <v>0</v>
      </c>
      <c r="AE55" s="43">
        <v>0</v>
      </c>
      <c r="AF55" s="37" t="s">
        <v>25</v>
      </c>
    </row>
    <row r="56" s="1" customFormat="1" spans="1:32">
      <c r="A56" s="46" t="s">
        <v>86</v>
      </c>
      <c r="B56" s="47"/>
      <c r="C56" s="48">
        <v>1112</v>
      </c>
      <c r="D56" s="48">
        <v>1238</v>
      </c>
      <c r="E56" s="49">
        <v>0.113309352517986</v>
      </c>
      <c r="F56" s="48">
        <v>15930.452836</v>
      </c>
      <c r="G56" s="48">
        <v>20213.57789</v>
      </c>
      <c r="H56" s="49">
        <v>0.268863986359567</v>
      </c>
      <c r="I56" s="48">
        <v>0</v>
      </c>
      <c r="J56" s="48">
        <v>0</v>
      </c>
      <c r="K56" s="48">
        <v>15930.452836</v>
      </c>
      <c r="L56" s="48">
        <v>20213.57789</v>
      </c>
      <c r="M56" s="49">
        <v>0.268863986359567</v>
      </c>
      <c r="N56" s="48">
        <v>377</v>
      </c>
      <c r="O56" s="48">
        <v>523</v>
      </c>
      <c r="P56" s="49">
        <v>0.387267904509284</v>
      </c>
      <c r="Q56" s="48">
        <v>4885.256097</v>
      </c>
      <c r="R56" s="48">
        <v>6418.56592</v>
      </c>
      <c r="S56" s="49">
        <v>0.3138647785408</v>
      </c>
      <c r="T56" s="48">
        <v>298</v>
      </c>
      <c r="U56" s="48">
        <v>389</v>
      </c>
      <c r="V56" s="49">
        <v>0.305369127516779</v>
      </c>
      <c r="W56" s="48">
        <v>3520.291545</v>
      </c>
      <c r="X56" s="48">
        <v>4947.913034</v>
      </c>
      <c r="Y56" s="49">
        <v>0.405540697624236</v>
      </c>
      <c r="Z56" s="48">
        <v>4290.79308324814</v>
      </c>
      <c r="AA56" s="48">
        <v>4942.49445849302</v>
      </c>
      <c r="AB56" s="48">
        <v>0</v>
      </c>
      <c r="AC56" s="48">
        <v>0</v>
      </c>
      <c r="AD56" s="48">
        <v>4290.79308324814</v>
      </c>
      <c r="AE56" s="48">
        <v>4942.49445849302</v>
      </c>
      <c r="AF56" s="49">
        <v>0.151883664068822</v>
      </c>
    </row>
    <row r="57" s="1" customFormat="1" spans="1:32">
      <c r="A57" s="35" t="s">
        <v>87</v>
      </c>
      <c r="B57" s="25" t="s">
        <v>37</v>
      </c>
      <c r="C57" s="36">
        <v>42</v>
      </c>
      <c r="D57" s="36">
        <v>125</v>
      </c>
      <c r="E57" s="37">
        <v>1.97619047619048</v>
      </c>
      <c r="F57" s="36">
        <v>1049.785567</v>
      </c>
      <c r="G57" s="36">
        <v>1619.632112</v>
      </c>
      <c r="H57" s="37">
        <v>0.542821851350525</v>
      </c>
      <c r="I57" s="57"/>
      <c r="J57" s="57"/>
      <c r="K57" s="36">
        <v>1049.785567</v>
      </c>
      <c r="L57" s="36">
        <v>1619.632112</v>
      </c>
      <c r="M57" s="37">
        <v>0.542821851350525</v>
      </c>
      <c r="N57" s="25">
        <v>27</v>
      </c>
      <c r="O57" s="25">
        <v>5</v>
      </c>
      <c r="P57" s="37">
        <v>-0.814814814814815</v>
      </c>
      <c r="Q57" s="39">
        <v>913.934257</v>
      </c>
      <c r="R57" s="39">
        <v>55.939306</v>
      </c>
      <c r="S57" s="37">
        <v>-0.938792855644101</v>
      </c>
      <c r="T57" s="40">
        <v>26</v>
      </c>
      <c r="U57" s="25">
        <v>1</v>
      </c>
      <c r="V57" s="37">
        <v>-0.961538461538462</v>
      </c>
      <c r="W57" s="41">
        <v>895.74992</v>
      </c>
      <c r="X57" s="41">
        <v>26.676143</v>
      </c>
      <c r="Y57" s="37">
        <v>-0.970219206941152</v>
      </c>
      <c r="Z57" s="41">
        <v>460.536146582032</v>
      </c>
      <c r="AA57" s="41">
        <v>31.2410927734375</v>
      </c>
      <c r="AB57" s="42"/>
      <c r="AC57" s="64"/>
      <c r="AD57" s="43">
        <v>460.536146582032</v>
      </c>
      <c r="AE57" s="43">
        <v>31.2410927734375</v>
      </c>
      <c r="AF57" s="37">
        <v>-0.932163646642506</v>
      </c>
    </row>
    <row r="58" s="1" customFormat="1" spans="1:32">
      <c r="A58" s="44" t="s">
        <v>88</v>
      </c>
      <c r="B58" s="25" t="s">
        <v>31</v>
      </c>
      <c r="C58" s="36">
        <v>860</v>
      </c>
      <c r="D58" s="36">
        <v>273</v>
      </c>
      <c r="E58" s="37">
        <v>-0.682558139534884</v>
      </c>
      <c r="F58" s="36">
        <v>7680.87607099994</v>
      </c>
      <c r="G58" s="36">
        <v>2865.950985</v>
      </c>
      <c r="H58" s="37">
        <v>-0.626871862205831</v>
      </c>
      <c r="I58" s="36"/>
      <c r="J58" s="36"/>
      <c r="K58" s="36">
        <v>7680.87607099994</v>
      </c>
      <c r="L58" s="36">
        <v>2865.950985</v>
      </c>
      <c r="M58" s="37">
        <v>-0.626871862205831</v>
      </c>
      <c r="N58" s="25">
        <v>115</v>
      </c>
      <c r="O58" s="25">
        <v>31</v>
      </c>
      <c r="P58" s="37">
        <v>-0.730434782608696</v>
      </c>
      <c r="Q58" s="39">
        <v>999.505706000001</v>
      </c>
      <c r="R58" s="39">
        <v>268.55853</v>
      </c>
      <c r="S58" s="37">
        <v>-0.731308657481541</v>
      </c>
      <c r="T58" s="40">
        <v>132</v>
      </c>
      <c r="U58" s="25">
        <v>31</v>
      </c>
      <c r="V58" s="37">
        <v>-0.765151515151515</v>
      </c>
      <c r="W58" s="41">
        <v>1132.296588</v>
      </c>
      <c r="X58" s="41">
        <v>268.55853</v>
      </c>
      <c r="Y58" s="37">
        <v>-0.762819624428648</v>
      </c>
      <c r="Z58" s="41">
        <v>831.132969458008</v>
      </c>
      <c r="AA58" s="41">
        <v>810.473709020998</v>
      </c>
      <c r="AB58" s="42"/>
      <c r="AC58" s="42"/>
      <c r="AD58" s="43">
        <v>831.132969458008</v>
      </c>
      <c r="AE58" s="43">
        <v>810.473709020998</v>
      </c>
      <c r="AF58" s="37">
        <v>-0.0248567451854089</v>
      </c>
    </row>
    <row r="59" s="1" customFormat="1" spans="1:32">
      <c r="A59" s="44" t="s">
        <v>89</v>
      </c>
      <c r="B59" s="25" t="s">
        <v>31</v>
      </c>
      <c r="C59" s="36">
        <v>380</v>
      </c>
      <c r="D59" s="36">
        <v>410</v>
      </c>
      <c r="E59" s="37">
        <v>0.0789473684210526</v>
      </c>
      <c r="F59" s="36">
        <v>2999.3153</v>
      </c>
      <c r="G59" s="36">
        <v>4272.48705399999</v>
      </c>
      <c r="H59" s="37">
        <v>0.424487466856182</v>
      </c>
      <c r="I59" s="36"/>
      <c r="J59" s="36"/>
      <c r="K59" s="36">
        <v>2999.3153</v>
      </c>
      <c r="L59" s="36">
        <v>4272.48705399999</v>
      </c>
      <c r="M59" s="37">
        <v>0.424487466856182</v>
      </c>
      <c r="N59" s="25">
        <v>18</v>
      </c>
      <c r="O59" s="25">
        <v>86</v>
      </c>
      <c r="P59" s="37">
        <v>3.77777777777778</v>
      </c>
      <c r="Q59" s="39">
        <v>244.929965</v>
      </c>
      <c r="R59" s="39">
        <v>708.635093</v>
      </c>
      <c r="S59" s="37">
        <v>1.89321518091917</v>
      </c>
      <c r="T59" s="40">
        <v>22</v>
      </c>
      <c r="U59" s="25">
        <v>31</v>
      </c>
      <c r="V59" s="37">
        <v>0.409090909090909</v>
      </c>
      <c r="W59" s="41">
        <v>262.43406</v>
      </c>
      <c r="X59" s="41">
        <v>307.471285</v>
      </c>
      <c r="Y59" s="37">
        <v>0.171613490261135</v>
      </c>
      <c r="Z59" s="41">
        <v>661.690195703126</v>
      </c>
      <c r="AA59" s="41">
        <v>240.714943164062</v>
      </c>
      <c r="AB59" s="42"/>
      <c r="AC59" s="42"/>
      <c r="AD59" s="43">
        <v>661.690195703126</v>
      </c>
      <c r="AE59" s="43">
        <v>240.714943164062</v>
      </c>
      <c r="AF59" s="37">
        <v>-0.636212014735576</v>
      </c>
    </row>
    <row r="60" s="1" customFormat="1" spans="1:32">
      <c r="A60" s="44" t="s">
        <v>90</v>
      </c>
      <c r="B60" s="25" t="s">
        <v>40</v>
      </c>
      <c r="C60" s="36">
        <v>77</v>
      </c>
      <c r="D60" s="36">
        <v>43</v>
      </c>
      <c r="E60" s="37">
        <v>-0.441558441558442</v>
      </c>
      <c r="F60" s="36">
        <v>1017.15803</v>
      </c>
      <c r="G60" s="36">
        <v>839.464956</v>
      </c>
      <c r="H60" s="37">
        <v>-0.174695640951682</v>
      </c>
      <c r="I60" s="36"/>
      <c r="J60" s="36"/>
      <c r="K60" s="36">
        <v>1017.15803</v>
      </c>
      <c r="L60" s="36">
        <v>839.464956</v>
      </c>
      <c r="M60" s="37">
        <v>-0.174695640951682</v>
      </c>
      <c r="N60" s="25">
        <v>11</v>
      </c>
      <c r="O60" s="25">
        <v>0</v>
      </c>
      <c r="P60" s="37">
        <v>-1</v>
      </c>
      <c r="Q60" s="39">
        <v>126.799567</v>
      </c>
      <c r="R60" s="39">
        <v>0</v>
      </c>
      <c r="S60" s="37">
        <v>-1</v>
      </c>
      <c r="T60" s="40">
        <v>12</v>
      </c>
      <c r="U60" s="25">
        <v>9</v>
      </c>
      <c r="V60" s="37">
        <v>-0.25</v>
      </c>
      <c r="W60" s="41">
        <v>134.827745</v>
      </c>
      <c r="X60" s="41">
        <v>87.084939</v>
      </c>
      <c r="Y60" s="37">
        <v>-0.354102236153249</v>
      </c>
      <c r="Z60" s="41">
        <v>203.584023292542</v>
      </c>
      <c r="AA60" s="41">
        <v>114.777220751953</v>
      </c>
      <c r="AB60" s="42"/>
      <c r="AC60" s="42"/>
      <c r="AD60" s="43">
        <v>203.584023292542</v>
      </c>
      <c r="AE60" s="43">
        <v>114.777220751953</v>
      </c>
      <c r="AF60" s="37">
        <v>-0.436216954082771</v>
      </c>
    </row>
    <row r="61" s="1" customFormat="1" spans="1:32">
      <c r="A61" s="44" t="s">
        <v>91</v>
      </c>
      <c r="B61" s="25" t="s">
        <v>31</v>
      </c>
      <c r="C61" s="36">
        <v>404</v>
      </c>
      <c r="D61" s="36">
        <v>93</v>
      </c>
      <c r="E61" s="37">
        <v>-0.76980198019802</v>
      </c>
      <c r="F61" s="36">
        <v>3426.458329</v>
      </c>
      <c r="G61" s="36">
        <v>833.150971000001</v>
      </c>
      <c r="H61" s="37">
        <v>-0.756847773705991</v>
      </c>
      <c r="I61" s="36"/>
      <c r="J61" s="36"/>
      <c r="K61" s="36">
        <v>3426.458329</v>
      </c>
      <c r="L61" s="36">
        <v>833.150971000001</v>
      </c>
      <c r="M61" s="37">
        <v>-0.756847773705991</v>
      </c>
      <c r="N61" s="25">
        <v>63</v>
      </c>
      <c r="O61" s="25">
        <v>40</v>
      </c>
      <c r="P61" s="37">
        <v>-0.365079365079365</v>
      </c>
      <c r="Q61" s="39">
        <v>500.027661</v>
      </c>
      <c r="R61" s="39">
        <v>309.397641</v>
      </c>
      <c r="S61" s="37">
        <v>-0.381238949098858</v>
      </c>
      <c r="T61" s="40">
        <v>52</v>
      </c>
      <c r="U61" s="25">
        <v>40</v>
      </c>
      <c r="V61" s="37">
        <v>-0.230769230769231</v>
      </c>
      <c r="W61" s="41">
        <v>388.011577</v>
      </c>
      <c r="X61" s="41">
        <v>280.838159</v>
      </c>
      <c r="Y61" s="37">
        <v>-0.276211907976138</v>
      </c>
      <c r="Z61" s="41">
        <v>537.836110302735</v>
      </c>
      <c r="AA61" s="41">
        <v>244.00930546875</v>
      </c>
      <c r="AB61" s="45"/>
      <c r="AC61" s="45"/>
      <c r="AD61" s="43">
        <v>537.836110302735</v>
      </c>
      <c r="AE61" s="43">
        <v>244.00930546875</v>
      </c>
      <c r="AF61" s="37">
        <v>-0.546312899423203</v>
      </c>
    </row>
    <row r="62" s="1" customFormat="1" spans="1:32">
      <c r="A62" s="35" t="s">
        <v>92</v>
      </c>
      <c r="B62" s="25" t="s">
        <v>40</v>
      </c>
      <c r="C62" s="36">
        <v>0</v>
      </c>
      <c r="D62" s="36">
        <v>23</v>
      </c>
      <c r="E62" s="37" t="s">
        <v>25</v>
      </c>
      <c r="F62" s="36">
        <v>0</v>
      </c>
      <c r="G62" s="36">
        <v>471.046961</v>
      </c>
      <c r="H62" s="37" t="s">
        <v>25</v>
      </c>
      <c r="I62" s="38"/>
      <c r="J62" s="38"/>
      <c r="K62" s="36">
        <v>0</v>
      </c>
      <c r="L62" s="36">
        <v>471.046961</v>
      </c>
      <c r="M62" s="37" t="s">
        <v>25</v>
      </c>
      <c r="N62" s="25">
        <v>0</v>
      </c>
      <c r="O62" s="25">
        <v>0</v>
      </c>
      <c r="P62" s="37" t="s">
        <v>25</v>
      </c>
      <c r="Q62" s="39">
        <v>0</v>
      </c>
      <c r="R62" s="39">
        <v>0</v>
      </c>
      <c r="S62" s="37" t="s">
        <v>25</v>
      </c>
      <c r="T62" s="40">
        <v>0</v>
      </c>
      <c r="U62" s="25">
        <v>0</v>
      </c>
      <c r="V62" s="37" t="s">
        <v>25</v>
      </c>
      <c r="W62" s="41">
        <v>0</v>
      </c>
      <c r="X62" s="41">
        <v>0</v>
      </c>
      <c r="Y62" s="37" t="s">
        <v>25</v>
      </c>
      <c r="Z62" s="41">
        <v>0</v>
      </c>
      <c r="AA62" s="41">
        <v>0</v>
      </c>
      <c r="AB62" s="42"/>
      <c r="AC62" s="42"/>
      <c r="AD62" s="43">
        <v>0</v>
      </c>
      <c r="AE62" s="43">
        <v>0</v>
      </c>
      <c r="AF62" s="37" t="s">
        <v>25</v>
      </c>
    </row>
    <row r="63" s="1" customFormat="1" spans="1:32">
      <c r="A63" s="35" t="s">
        <v>93</v>
      </c>
      <c r="B63" s="25" t="s">
        <v>49</v>
      </c>
      <c r="C63" s="36">
        <v>53</v>
      </c>
      <c r="D63" s="36">
        <v>25</v>
      </c>
      <c r="E63" s="37">
        <v>-0.528301886792453</v>
      </c>
      <c r="F63" s="36">
        <v>592.638616</v>
      </c>
      <c r="G63" s="36">
        <v>299.91474</v>
      </c>
      <c r="H63" s="37">
        <v>-0.493933179676567</v>
      </c>
      <c r="I63" s="38"/>
      <c r="J63" s="38"/>
      <c r="K63" s="36">
        <v>592.638616</v>
      </c>
      <c r="L63" s="36">
        <v>299.91474</v>
      </c>
      <c r="M63" s="37">
        <v>-0.493933179676567</v>
      </c>
      <c r="N63" s="25">
        <v>8</v>
      </c>
      <c r="O63" s="25">
        <v>8</v>
      </c>
      <c r="P63" s="37">
        <v>0</v>
      </c>
      <c r="Q63" s="39">
        <v>61.438507</v>
      </c>
      <c r="R63" s="39">
        <v>65.929432</v>
      </c>
      <c r="S63" s="37">
        <v>0.0730962586704784</v>
      </c>
      <c r="T63" s="40">
        <v>8</v>
      </c>
      <c r="U63" s="25">
        <v>11</v>
      </c>
      <c r="V63" s="37">
        <v>0.375</v>
      </c>
      <c r="W63" s="41">
        <v>61.438507</v>
      </c>
      <c r="X63" s="41">
        <v>83.238661</v>
      </c>
      <c r="Y63" s="37">
        <v>0.354828837230696</v>
      </c>
      <c r="Z63" s="41">
        <v>82.1950830078125</v>
      </c>
      <c r="AA63" s="41">
        <v>64.9380337188721</v>
      </c>
      <c r="AB63" s="42"/>
      <c r="AC63" s="42"/>
      <c r="AD63" s="43">
        <v>82.1950830078125</v>
      </c>
      <c r="AE63" s="43">
        <v>64.9380337188721</v>
      </c>
      <c r="AF63" s="37">
        <v>-0.209952331178985</v>
      </c>
    </row>
    <row r="64" s="1" customFormat="1" spans="1:32">
      <c r="A64" s="35" t="s">
        <v>94</v>
      </c>
      <c r="B64" s="25" t="s">
        <v>40</v>
      </c>
      <c r="C64" s="36">
        <v>0</v>
      </c>
      <c r="D64" s="36">
        <v>23</v>
      </c>
      <c r="E64" s="37" t="s">
        <v>25</v>
      </c>
      <c r="F64" s="36">
        <v>0</v>
      </c>
      <c r="G64" s="36">
        <v>367.403942</v>
      </c>
      <c r="H64" s="37" t="s">
        <v>25</v>
      </c>
      <c r="I64" s="38">
        <v>0</v>
      </c>
      <c r="J64" s="38">
        <v>0</v>
      </c>
      <c r="K64" s="36">
        <v>0</v>
      </c>
      <c r="L64" s="36">
        <v>367.403942</v>
      </c>
      <c r="M64" s="37" t="s">
        <v>25</v>
      </c>
      <c r="N64" s="25">
        <v>0</v>
      </c>
      <c r="O64" s="25">
        <v>8</v>
      </c>
      <c r="P64" s="37" t="s">
        <v>25</v>
      </c>
      <c r="Q64" s="39">
        <v>0</v>
      </c>
      <c r="R64" s="39">
        <v>58.957562</v>
      </c>
      <c r="S64" s="37" t="s">
        <v>25</v>
      </c>
      <c r="T64" s="40">
        <v>0</v>
      </c>
      <c r="U64" s="25">
        <v>3</v>
      </c>
      <c r="V64" s="37" t="s">
        <v>25</v>
      </c>
      <c r="W64" s="41">
        <v>0</v>
      </c>
      <c r="X64" s="41">
        <v>24.95081</v>
      </c>
      <c r="Y64" s="37" t="s">
        <v>25</v>
      </c>
      <c r="Z64" s="41">
        <v>0</v>
      </c>
      <c r="AA64" s="41">
        <v>41.4733462387085</v>
      </c>
      <c r="AB64" s="42"/>
      <c r="AC64" s="42"/>
      <c r="AD64" s="43">
        <v>0</v>
      </c>
      <c r="AE64" s="43">
        <v>41.4733462387085</v>
      </c>
      <c r="AF64" s="37" t="s">
        <v>25</v>
      </c>
    </row>
    <row r="65" s="1" customFormat="1" spans="1:32">
      <c r="A65" s="35" t="s">
        <v>95</v>
      </c>
      <c r="B65" s="25" t="s">
        <v>49</v>
      </c>
      <c r="C65" s="36">
        <v>92</v>
      </c>
      <c r="D65" s="36">
        <v>47</v>
      </c>
      <c r="E65" s="37">
        <v>-0.489130434782609</v>
      </c>
      <c r="F65" s="36">
        <v>1001.540992</v>
      </c>
      <c r="G65" s="36">
        <v>349.804326</v>
      </c>
      <c r="H65" s="37">
        <v>-0.650733890280948</v>
      </c>
      <c r="I65" s="38"/>
      <c r="J65" s="38"/>
      <c r="K65" s="36">
        <v>1001.540992</v>
      </c>
      <c r="L65" s="36">
        <v>349.804326</v>
      </c>
      <c r="M65" s="37">
        <v>-0.650733890280948</v>
      </c>
      <c r="N65" s="25">
        <v>20</v>
      </c>
      <c r="O65" s="25">
        <v>19</v>
      </c>
      <c r="P65" s="37">
        <v>-0.05</v>
      </c>
      <c r="Q65" s="39">
        <v>200.807132</v>
      </c>
      <c r="R65" s="39">
        <v>137.90921</v>
      </c>
      <c r="S65" s="37">
        <v>-0.313225538224409</v>
      </c>
      <c r="T65" s="40">
        <v>15</v>
      </c>
      <c r="U65" s="25">
        <v>5</v>
      </c>
      <c r="V65" s="37">
        <v>-0.666666666666667</v>
      </c>
      <c r="W65" s="41">
        <v>137.579124</v>
      </c>
      <c r="X65" s="41">
        <v>31.70724</v>
      </c>
      <c r="Y65" s="37">
        <v>-0.769534511645822</v>
      </c>
      <c r="Z65" s="41">
        <v>168.956737670898</v>
      </c>
      <c r="AA65" s="41">
        <v>90.9375272216797</v>
      </c>
      <c r="AB65" s="42"/>
      <c r="AC65" s="42"/>
      <c r="AD65" s="43">
        <v>168.956737670898</v>
      </c>
      <c r="AE65" s="43">
        <v>90.9375272216797</v>
      </c>
      <c r="AF65" s="37">
        <v>-0.461770341477521</v>
      </c>
    </row>
    <row r="66" s="1" customFormat="1" spans="1:32">
      <c r="A66" s="46" t="s">
        <v>96</v>
      </c>
      <c r="B66" s="47"/>
      <c r="C66" s="48">
        <v>1908</v>
      </c>
      <c r="D66" s="48">
        <v>1062</v>
      </c>
      <c r="E66" s="49">
        <v>-0.443396226415094</v>
      </c>
      <c r="F66" s="48">
        <v>17767.7729049999</v>
      </c>
      <c r="G66" s="48">
        <v>11918.856047</v>
      </c>
      <c r="H66" s="49">
        <v>-0.329186831083035</v>
      </c>
      <c r="I66" s="48">
        <v>0</v>
      </c>
      <c r="J66" s="48">
        <v>0</v>
      </c>
      <c r="K66" s="48">
        <v>17767.7729049999</v>
      </c>
      <c r="L66" s="48">
        <v>11918.856047</v>
      </c>
      <c r="M66" s="49">
        <v>-0.329186831083035</v>
      </c>
      <c r="N66" s="48">
        <v>262</v>
      </c>
      <c r="O66" s="48">
        <v>197</v>
      </c>
      <c r="P66" s="49">
        <v>-0.248091603053435</v>
      </c>
      <c r="Q66" s="48">
        <v>3047.442795</v>
      </c>
      <c r="R66" s="48">
        <v>1605.326774</v>
      </c>
      <c r="S66" s="49">
        <v>-0.4732216871687</v>
      </c>
      <c r="T66" s="48">
        <v>267</v>
      </c>
      <c r="U66" s="48">
        <v>131</v>
      </c>
      <c r="V66" s="49">
        <v>-0.50936329588015</v>
      </c>
      <c r="W66" s="48">
        <v>3012.337521</v>
      </c>
      <c r="X66" s="48">
        <v>1110.525767</v>
      </c>
      <c r="Y66" s="49">
        <v>-0.631340857636915</v>
      </c>
      <c r="Z66" s="48">
        <v>2945.93126601715</v>
      </c>
      <c r="AA66" s="48">
        <v>1638.56517835846</v>
      </c>
      <c r="AB66" s="48">
        <v>0</v>
      </c>
      <c r="AC66" s="48">
        <v>0</v>
      </c>
      <c r="AD66" s="48">
        <v>2945.93126601715</v>
      </c>
      <c r="AE66" s="48">
        <v>1638.56517835846</v>
      </c>
      <c r="AF66" s="49">
        <v>-0.443787030179502</v>
      </c>
    </row>
    <row r="67" s="1" customFormat="1" spans="1:32">
      <c r="A67" s="35" t="s">
        <v>97</v>
      </c>
      <c r="B67" s="25" t="s">
        <v>31</v>
      </c>
      <c r="C67" s="36">
        <v>469</v>
      </c>
      <c r="D67" s="36">
        <v>418</v>
      </c>
      <c r="E67" s="37">
        <v>-0.108742004264392</v>
      </c>
      <c r="F67" s="36">
        <v>6870.23698899999</v>
      </c>
      <c r="G67" s="36">
        <v>2716.96358000002</v>
      </c>
      <c r="H67" s="37">
        <v>-0.604531316117598</v>
      </c>
      <c r="I67" s="38"/>
      <c r="J67" s="38"/>
      <c r="K67" s="36">
        <v>6870.23698899999</v>
      </c>
      <c r="L67" s="36">
        <v>2716.96358000002</v>
      </c>
      <c r="M67" s="37">
        <v>-0.604531316117598</v>
      </c>
      <c r="N67" s="25">
        <v>406</v>
      </c>
      <c r="O67" s="25">
        <v>2</v>
      </c>
      <c r="P67" s="37">
        <v>-0.995073891625616</v>
      </c>
      <c r="Q67" s="39">
        <v>2397.89588799999</v>
      </c>
      <c r="R67" s="39">
        <v>16.29336</v>
      </c>
      <c r="S67" s="37">
        <v>-0.993205142858146</v>
      </c>
      <c r="T67" s="40">
        <v>6</v>
      </c>
      <c r="U67" s="25">
        <v>1</v>
      </c>
      <c r="V67" s="37">
        <v>-0.833333333333333</v>
      </c>
      <c r="W67" s="41">
        <v>57.934756</v>
      </c>
      <c r="X67" s="41">
        <v>10.736402</v>
      </c>
      <c r="Y67" s="37">
        <v>-0.814681156161251</v>
      </c>
      <c r="Z67" s="41">
        <v>190.393570043943</v>
      </c>
      <c r="AA67" s="41">
        <v>136.068972549439</v>
      </c>
      <c r="AB67" s="45"/>
      <c r="AC67" s="45"/>
      <c r="AD67" s="43">
        <v>190.393570043943</v>
      </c>
      <c r="AE67" s="43">
        <v>136.068972549439</v>
      </c>
      <c r="AF67" s="37">
        <v>-0.285327899896864</v>
      </c>
    </row>
    <row r="68" s="1" customFormat="1" spans="1:32">
      <c r="A68" s="35" t="s">
        <v>98</v>
      </c>
      <c r="B68" s="25" t="s">
        <v>49</v>
      </c>
      <c r="C68" s="36">
        <v>151</v>
      </c>
      <c r="D68" s="36">
        <v>52</v>
      </c>
      <c r="E68" s="37">
        <v>-0.655629139072848</v>
      </c>
      <c r="F68" s="36">
        <v>1673.999971</v>
      </c>
      <c r="G68" s="36">
        <v>454.826945</v>
      </c>
      <c r="H68" s="37">
        <v>-0.728299311302677</v>
      </c>
      <c r="I68" s="38"/>
      <c r="J68" s="38"/>
      <c r="K68" s="36">
        <v>1673.999971</v>
      </c>
      <c r="L68" s="36">
        <v>454.826945</v>
      </c>
      <c r="M68" s="37">
        <v>-0.728299311302677</v>
      </c>
      <c r="N68" s="25">
        <v>7</v>
      </c>
      <c r="O68" s="25">
        <v>1</v>
      </c>
      <c r="P68" s="37">
        <v>-0.857142857142857</v>
      </c>
      <c r="Q68" s="39">
        <v>57.4368</v>
      </c>
      <c r="R68" s="39">
        <v>8.21691</v>
      </c>
      <c r="S68" s="37">
        <v>-0.856939975764667</v>
      </c>
      <c r="T68" s="40">
        <v>21</v>
      </c>
      <c r="U68" s="25">
        <v>11</v>
      </c>
      <c r="V68" s="37">
        <v>-0.476190476190476</v>
      </c>
      <c r="W68" s="41">
        <v>165.823134</v>
      </c>
      <c r="X68" s="41">
        <v>121.303309</v>
      </c>
      <c r="Y68" s="37">
        <v>-0.268477768608571</v>
      </c>
      <c r="Z68" s="41">
        <v>739.496787908556</v>
      </c>
      <c r="AA68" s="41">
        <v>79.379475390625</v>
      </c>
      <c r="AB68" s="45"/>
      <c r="AC68" s="45"/>
      <c r="AD68" s="43">
        <v>739.496787908556</v>
      </c>
      <c r="AE68" s="43">
        <v>79.379475390625</v>
      </c>
      <c r="AF68" s="37">
        <v>-0.892657443969262</v>
      </c>
    </row>
    <row r="69" s="1" customFormat="1" spans="1:32">
      <c r="A69" s="35" t="s">
        <v>99</v>
      </c>
      <c r="B69" s="25" t="s">
        <v>40</v>
      </c>
      <c r="C69" s="36">
        <v>39</v>
      </c>
      <c r="D69" s="36">
        <v>77</v>
      </c>
      <c r="E69" s="37">
        <v>0.974358974358974</v>
      </c>
      <c r="F69" s="36">
        <v>652.637225</v>
      </c>
      <c r="G69" s="36">
        <v>727.080319000001</v>
      </c>
      <c r="H69" s="37">
        <v>0.114065044328418</v>
      </c>
      <c r="I69" s="38"/>
      <c r="J69" s="38"/>
      <c r="K69" s="36">
        <v>652.637225</v>
      </c>
      <c r="L69" s="36">
        <v>727.080319000001</v>
      </c>
      <c r="M69" s="37">
        <v>0.114065044328418</v>
      </c>
      <c r="N69" s="25">
        <v>0</v>
      </c>
      <c r="O69" s="25">
        <v>3</v>
      </c>
      <c r="P69" s="37" t="s">
        <v>25</v>
      </c>
      <c r="Q69" s="39">
        <v>0</v>
      </c>
      <c r="R69" s="39">
        <v>25.259587</v>
      </c>
      <c r="S69" s="37" t="e">
        <v>#DIV/0!</v>
      </c>
      <c r="T69" s="40">
        <v>1</v>
      </c>
      <c r="U69" s="25">
        <v>1</v>
      </c>
      <c r="V69" s="37">
        <v>0</v>
      </c>
      <c r="W69" s="41">
        <v>13.23111</v>
      </c>
      <c r="X69" s="41">
        <v>8.524588</v>
      </c>
      <c r="Y69" s="37">
        <v>-0.355716338236172</v>
      </c>
      <c r="Z69" s="41">
        <v>9.2725203125</v>
      </c>
      <c r="AA69" s="41">
        <v>14.6069921386719</v>
      </c>
      <c r="AB69" s="45"/>
      <c r="AC69" s="45"/>
      <c r="AD69" s="43">
        <v>9.2725203125</v>
      </c>
      <c r="AE69" s="43">
        <v>14.6069921386719</v>
      </c>
      <c r="AF69" s="37">
        <v>0.575299017569219</v>
      </c>
    </row>
    <row r="70" s="1" customFormat="1" spans="1:32">
      <c r="A70" s="35" t="s">
        <v>100</v>
      </c>
      <c r="B70" s="25" t="s">
        <v>40</v>
      </c>
      <c r="C70" s="36">
        <v>38</v>
      </c>
      <c r="D70" s="36">
        <v>43</v>
      </c>
      <c r="E70" s="37">
        <v>0.131578947368421</v>
      </c>
      <c r="F70" s="36">
        <v>550.224968</v>
      </c>
      <c r="G70" s="36">
        <v>487.538371</v>
      </c>
      <c r="H70" s="37">
        <v>-0.11392903020715</v>
      </c>
      <c r="I70" s="38"/>
      <c r="J70" s="38"/>
      <c r="K70" s="36">
        <v>550.224968</v>
      </c>
      <c r="L70" s="36">
        <v>487.538371</v>
      </c>
      <c r="M70" s="37">
        <v>-0.11392903020715</v>
      </c>
      <c r="N70" s="25">
        <v>14</v>
      </c>
      <c r="O70" s="25">
        <v>24</v>
      </c>
      <c r="P70" s="37">
        <v>0.714285714285714</v>
      </c>
      <c r="Q70" s="39">
        <v>177.800942</v>
      </c>
      <c r="R70" s="39">
        <v>254.183287</v>
      </c>
      <c r="S70" s="37">
        <v>0.429594714970633</v>
      </c>
      <c r="T70" s="40">
        <v>17</v>
      </c>
      <c r="U70" s="25">
        <v>28</v>
      </c>
      <c r="V70" s="37">
        <v>0.647058823529412</v>
      </c>
      <c r="W70" s="41">
        <v>210.263592</v>
      </c>
      <c r="X70" s="41">
        <v>302.716955</v>
      </c>
      <c r="Y70" s="37">
        <v>0.439702195328234</v>
      </c>
      <c r="Z70" s="41">
        <v>187.082075570345</v>
      </c>
      <c r="AA70" s="41">
        <v>199.402919078064</v>
      </c>
      <c r="AB70" s="45"/>
      <c r="AC70" s="45"/>
      <c r="AD70" s="43">
        <v>187.082075570345</v>
      </c>
      <c r="AE70" s="43">
        <v>199.402919078064</v>
      </c>
      <c r="AF70" s="37">
        <v>0.0658579581724074</v>
      </c>
    </row>
    <row r="71" s="1" customFormat="1" spans="1:32">
      <c r="A71" s="35" t="s">
        <v>101</v>
      </c>
      <c r="B71" s="25" t="s">
        <v>49</v>
      </c>
      <c r="C71" s="36">
        <v>0</v>
      </c>
      <c r="D71" s="36">
        <v>41</v>
      </c>
      <c r="E71" s="37" t="e">
        <v>#DIV/0!</v>
      </c>
      <c r="F71" s="36">
        <v>0</v>
      </c>
      <c r="G71" s="36">
        <v>375.613817</v>
      </c>
      <c r="H71" s="37" t="e">
        <v>#DIV/0!</v>
      </c>
      <c r="I71" s="38"/>
      <c r="J71" s="38"/>
      <c r="K71" s="36">
        <v>0</v>
      </c>
      <c r="L71" s="36">
        <v>375.613817</v>
      </c>
      <c r="M71" s="37" t="e">
        <v>#DIV/0!</v>
      </c>
      <c r="N71" s="25">
        <v>0</v>
      </c>
      <c r="O71" s="25">
        <v>0</v>
      </c>
      <c r="P71" s="37" t="s">
        <v>25</v>
      </c>
      <c r="Q71" s="39">
        <v>0</v>
      </c>
      <c r="R71" s="39">
        <v>0</v>
      </c>
      <c r="S71" s="37" t="e">
        <v>#DIV/0!</v>
      </c>
      <c r="T71" s="40">
        <v>0</v>
      </c>
      <c r="U71" s="25">
        <v>0</v>
      </c>
      <c r="V71" s="37" t="e">
        <v>#DIV/0!</v>
      </c>
      <c r="W71" s="41">
        <v>0</v>
      </c>
      <c r="X71" s="41">
        <v>0</v>
      </c>
      <c r="Y71" s="37" t="e">
        <v>#DIV/0!</v>
      </c>
      <c r="Z71" s="41">
        <v>0</v>
      </c>
      <c r="AA71" s="41">
        <v>0</v>
      </c>
      <c r="AB71" s="45"/>
      <c r="AC71" s="45"/>
      <c r="AD71" s="43">
        <v>0</v>
      </c>
      <c r="AE71" s="43">
        <v>0</v>
      </c>
      <c r="AF71" s="37" t="e">
        <v>#DIV/0!</v>
      </c>
    </row>
    <row r="72" s="1" customFormat="1" spans="1:32">
      <c r="A72" s="35" t="s">
        <v>102</v>
      </c>
      <c r="B72" s="25" t="s">
        <v>49</v>
      </c>
      <c r="C72" s="36">
        <v>0</v>
      </c>
      <c r="D72" s="36">
        <v>31</v>
      </c>
      <c r="E72" s="37" t="s">
        <v>25</v>
      </c>
      <c r="F72" s="36">
        <v>0</v>
      </c>
      <c r="G72" s="36">
        <v>403.055116</v>
      </c>
      <c r="H72" s="37" t="s">
        <v>25</v>
      </c>
      <c r="I72" s="38"/>
      <c r="J72" s="38"/>
      <c r="K72" s="36">
        <v>0</v>
      </c>
      <c r="L72" s="36">
        <v>403.055116</v>
      </c>
      <c r="M72" s="37" t="s">
        <v>25</v>
      </c>
      <c r="N72" s="25">
        <v>0</v>
      </c>
      <c r="O72" s="25">
        <v>3</v>
      </c>
      <c r="P72" s="37" t="s">
        <v>25</v>
      </c>
      <c r="Q72" s="39">
        <v>0</v>
      </c>
      <c r="R72" s="39">
        <v>37.321397</v>
      </c>
      <c r="S72" s="37" t="s">
        <v>25</v>
      </c>
      <c r="T72" s="40">
        <v>0</v>
      </c>
      <c r="U72" s="25">
        <v>2</v>
      </c>
      <c r="V72" s="37" t="s">
        <v>25</v>
      </c>
      <c r="W72" s="41">
        <v>0</v>
      </c>
      <c r="X72" s="41">
        <v>24.9391</v>
      </c>
      <c r="Y72" s="37" t="s">
        <v>25</v>
      </c>
      <c r="Z72" s="41">
        <v>0</v>
      </c>
      <c r="AA72" s="41">
        <v>36.477659765625</v>
      </c>
      <c r="AB72" s="45"/>
      <c r="AC72" s="45"/>
      <c r="AD72" s="43">
        <v>0</v>
      </c>
      <c r="AE72" s="43">
        <v>36.477659765625</v>
      </c>
      <c r="AF72" s="37" t="s">
        <v>25</v>
      </c>
    </row>
    <row r="73" s="1" customFormat="1" spans="1:32">
      <c r="A73" s="46" t="s">
        <v>103</v>
      </c>
      <c r="B73" s="47"/>
      <c r="C73" s="48">
        <v>697</v>
      </c>
      <c r="D73" s="48">
        <v>662</v>
      </c>
      <c r="E73" s="49">
        <v>-0.0502152080344333</v>
      </c>
      <c r="F73" s="48">
        <v>9747.09915299999</v>
      </c>
      <c r="G73" s="48">
        <v>5165.07814800002</v>
      </c>
      <c r="H73" s="49">
        <v>-0.470090735004958</v>
      </c>
      <c r="I73" s="48">
        <v>0</v>
      </c>
      <c r="J73" s="48">
        <v>0</v>
      </c>
      <c r="K73" s="48">
        <v>9747.09915299999</v>
      </c>
      <c r="L73" s="48">
        <v>5165.07814800002</v>
      </c>
      <c r="M73" s="49">
        <v>-0.470090735004958</v>
      </c>
      <c r="N73" s="48">
        <v>427</v>
      </c>
      <c r="O73" s="48">
        <v>33</v>
      </c>
      <c r="P73" s="49">
        <v>-0.92271662763466</v>
      </c>
      <c r="Q73" s="48">
        <v>2633.13362999999</v>
      </c>
      <c r="R73" s="48">
        <v>341.274541</v>
      </c>
      <c r="S73" s="49">
        <v>-0.870392244012317</v>
      </c>
      <c r="T73" s="48">
        <v>45</v>
      </c>
      <c r="U73" s="48">
        <v>43</v>
      </c>
      <c r="V73" s="49">
        <v>-0.0444444444444444</v>
      </c>
      <c r="W73" s="48">
        <v>447.252592</v>
      </c>
      <c r="X73" s="48">
        <v>468.220354</v>
      </c>
      <c r="Y73" s="49">
        <v>0.0468812531778463</v>
      </c>
      <c r="Z73" s="48">
        <v>1126.24495383534</v>
      </c>
      <c r="AA73" s="48">
        <v>465.936018922424</v>
      </c>
      <c r="AB73" s="48">
        <v>0</v>
      </c>
      <c r="AC73" s="48">
        <v>0</v>
      </c>
      <c r="AD73" s="48">
        <v>1126.24495383534</v>
      </c>
      <c r="AE73" s="48">
        <v>465.936018922424</v>
      </c>
      <c r="AF73" s="49">
        <v>-0.586292469204223</v>
      </c>
    </row>
    <row r="74" s="1" customFormat="1" spans="1:32">
      <c r="A74" s="44" t="s">
        <v>104</v>
      </c>
      <c r="B74" s="25" t="s">
        <v>49</v>
      </c>
      <c r="C74" s="36">
        <v>0</v>
      </c>
      <c r="D74" s="36">
        <v>0</v>
      </c>
      <c r="E74" s="36">
        <v>0</v>
      </c>
      <c r="F74" s="36">
        <v>0</v>
      </c>
      <c r="G74" s="36">
        <v>0</v>
      </c>
      <c r="H74" s="43">
        <v>0</v>
      </c>
      <c r="I74" s="38"/>
      <c r="J74" s="38"/>
      <c r="K74" s="36">
        <v>0</v>
      </c>
      <c r="L74" s="36">
        <v>0</v>
      </c>
      <c r="M74" s="37" t="s">
        <v>25</v>
      </c>
      <c r="N74" s="25">
        <v>0</v>
      </c>
      <c r="O74" s="25">
        <v>0</v>
      </c>
      <c r="P74" s="43">
        <v>0</v>
      </c>
      <c r="Q74" s="39">
        <v>0</v>
      </c>
      <c r="R74" s="39">
        <v>0</v>
      </c>
      <c r="S74" s="37" t="s">
        <v>25</v>
      </c>
      <c r="T74" s="40">
        <v>0</v>
      </c>
      <c r="U74" s="25">
        <v>0</v>
      </c>
      <c r="V74" s="43">
        <v>0</v>
      </c>
      <c r="W74" s="41">
        <v>0</v>
      </c>
      <c r="X74" s="41">
        <v>0</v>
      </c>
      <c r="Y74" s="37" t="s">
        <v>25</v>
      </c>
      <c r="Z74" s="41">
        <v>0</v>
      </c>
      <c r="AA74" s="41">
        <v>0</v>
      </c>
      <c r="AB74" s="42"/>
      <c r="AC74" s="42"/>
      <c r="AD74" s="43">
        <v>0</v>
      </c>
      <c r="AE74" s="43">
        <v>0</v>
      </c>
      <c r="AF74" s="43">
        <v>0</v>
      </c>
    </row>
    <row r="75" s="1" customFormat="1" spans="1:32">
      <c r="A75" s="44" t="s">
        <v>105</v>
      </c>
      <c r="B75" s="25" t="s">
        <v>49</v>
      </c>
      <c r="C75" s="36">
        <v>0</v>
      </c>
      <c r="D75" s="36">
        <v>2</v>
      </c>
      <c r="E75" s="36">
        <v>0</v>
      </c>
      <c r="F75" s="36">
        <v>0</v>
      </c>
      <c r="G75" s="36">
        <v>13.644988</v>
      </c>
      <c r="H75" s="43">
        <v>2</v>
      </c>
      <c r="I75" s="38"/>
      <c r="J75" s="38"/>
      <c r="K75" s="36">
        <v>0</v>
      </c>
      <c r="L75" s="36">
        <v>13.644988</v>
      </c>
      <c r="M75" s="43">
        <v>0</v>
      </c>
      <c r="N75" s="25">
        <v>0</v>
      </c>
      <c r="O75" s="25">
        <v>0</v>
      </c>
      <c r="P75" s="43">
        <v>0</v>
      </c>
      <c r="Q75" s="39">
        <v>0</v>
      </c>
      <c r="R75" s="39">
        <v>0</v>
      </c>
      <c r="S75" s="43">
        <v>0</v>
      </c>
      <c r="T75" s="40">
        <v>0</v>
      </c>
      <c r="U75" s="25">
        <v>0</v>
      </c>
      <c r="V75" s="43">
        <v>0</v>
      </c>
      <c r="W75" s="41">
        <v>0</v>
      </c>
      <c r="X75" s="41">
        <v>0</v>
      </c>
      <c r="Y75" s="43">
        <v>0</v>
      </c>
      <c r="Z75" s="41">
        <v>0</v>
      </c>
      <c r="AA75" s="41">
        <v>0</v>
      </c>
      <c r="AB75" s="42"/>
      <c r="AC75" s="42"/>
      <c r="AD75" s="43">
        <v>0</v>
      </c>
      <c r="AE75" s="43">
        <v>0</v>
      </c>
      <c r="AF75" s="43">
        <v>0</v>
      </c>
    </row>
    <row r="76" s="1" customFormat="1" spans="1:32">
      <c r="A76" s="35" t="s">
        <v>106</v>
      </c>
      <c r="B76" s="25" t="s">
        <v>49</v>
      </c>
      <c r="C76" s="36">
        <v>0</v>
      </c>
      <c r="D76" s="36">
        <v>0</v>
      </c>
      <c r="E76" s="36">
        <v>0</v>
      </c>
      <c r="F76" s="36">
        <v>0</v>
      </c>
      <c r="G76" s="36">
        <v>0</v>
      </c>
      <c r="H76" s="43">
        <v>0</v>
      </c>
      <c r="I76" s="38"/>
      <c r="J76" s="38"/>
      <c r="K76" s="36">
        <v>0</v>
      </c>
      <c r="L76" s="36">
        <v>0</v>
      </c>
      <c r="M76" s="43">
        <v>0</v>
      </c>
      <c r="N76" s="25">
        <v>0</v>
      </c>
      <c r="O76" s="25">
        <v>0</v>
      </c>
      <c r="P76" s="43">
        <v>0</v>
      </c>
      <c r="Q76" s="39">
        <v>0</v>
      </c>
      <c r="R76" s="39">
        <v>0</v>
      </c>
      <c r="S76" s="43">
        <v>0</v>
      </c>
      <c r="T76" s="40">
        <v>0</v>
      </c>
      <c r="U76" s="25">
        <v>0</v>
      </c>
      <c r="V76" s="43">
        <v>0</v>
      </c>
      <c r="W76" s="41">
        <v>0</v>
      </c>
      <c r="X76" s="41">
        <v>0</v>
      </c>
      <c r="Y76" s="43">
        <v>0</v>
      </c>
      <c r="Z76" s="41">
        <v>0</v>
      </c>
      <c r="AA76" s="41">
        <v>0</v>
      </c>
      <c r="AB76" s="42"/>
      <c r="AC76" s="42"/>
      <c r="AD76" s="43">
        <v>0</v>
      </c>
      <c r="AE76" s="43">
        <v>0</v>
      </c>
      <c r="AF76" s="43">
        <v>0</v>
      </c>
    </row>
    <row r="77" s="1" customFormat="1" spans="1:32">
      <c r="A77" s="46" t="s">
        <v>107</v>
      </c>
      <c r="B77" s="47"/>
      <c r="C77" s="48">
        <v>0</v>
      </c>
      <c r="D77" s="48">
        <v>2</v>
      </c>
      <c r="E77" s="48">
        <v>0</v>
      </c>
      <c r="F77" s="48">
        <v>0</v>
      </c>
      <c r="G77" s="48">
        <v>13.644988</v>
      </c>
      <c r="H77" s="48">
        <v>2</v>
      </c>
      <c r="I77" s="48">
        <v>0</v>
      </c>
      <c r="J77" s="48">
        <v>0</v>
      </c>
      <c r="K77" s="48">
        <v>0</v>
      </c>
      <c r="L77" s="48">
        <v>13.644988</v>
      </c>
      <c r="M77" s="48">
        <v>0</v>
      </c>
      <c r="N77" s="48">
        <v>0</v>
      </c>
      <c r="O77" s="48">
        <v>0</v>
      </c>
      <c r="P77" s="48">
        <v>0</v>
      </c>
      <c r="Q77" s="48">
        <v>0</v>
      </c>
      <c r="R77" s="48">
        <v>0</v>
      </c>
      <c r="S77" s="48">
        <v>0</v>
      </c>
      <c r="T77" s="48">
        <v>0</v>
      </c>
      <c r="U77" s="48">
        <v>0</v>
      </c>
      <c r="V77" s="48">
        <v>0</v>
      </c>
      <c r="W77" s="48">
        <v>0</v>
      </c>
      <c r="X77" s="48">
        <v>0</v>
      </c>
      <c r="Y77" s="48">
        <v>0</v>
      </c>
      <c r="Z77" s="48">
        <v>0</v>
      </c>
      <c r="AA77" s="48">
        <v>0</v>
      </c>
      <c r="AB77" s="48">
        <v>0</v>
      </c>
      <c r="AC77" s="48">
        <v>0</v>
      </c>
      <c r="AD77" s="48">
        <v>0</v>
      </c>
      <c r="AE77" s="48">
        <v>0</v>
      </c>
      <c r="AF77" s="48">
        <v>0</v>
      </c>
    </row>
    <row r="78" s="18" customFormat="1" spans="1:32">
      <c r="A78" s="65" t="s">
        <v>108</v>
      </c>
      <c r="B78" s="51"/>
      <c r="C78" s="66">
        <v>0</v>
      </c>
      <c r="D78" s="66">
        <v>0</v>
      </c>
      <c r="E78" s="66">
        <v>0</v>
      </c>
      <c r="F78" s="66">
        <v>1730.42433504</v>
      </c>
      <c r="G78" s="66">
        <v>783.0672470768</v>
      </c>
      <c r="H78" s="66">
        <v>0</v>
      </c>
      <c r="I78" s="67"/>
      <c r="J78" s="67"/>
      <c r="K78" s="66">
        <v>1730.42433504</v>
      </c>
      <c r="L78" s="66">
        <v>783.0672470768</v>
      </c>
      <c r="M78" s="66">
        <v>0</v>
      </c>
      <c r="N78" s="51">
        <v>0</v>
      </c>
      <c r="O78" s="51">
        <v>0</v>
      </c>
      <c r="P78" s="66">
        <v>0</v>
      </c>
      <c r="Q78" s="39">
        <v>488.3063745207</v>
      </c>
      <c r="R78" s="39">
        <v>207.8667224368</v>
      </c>
      <c r="S78" s="66">
        <v>0</v>
      </c>
      <c r="T78" s="40">
        <v>0</v>
      </c>
      <c r="U78" s="51">
        <v>0</v>
      </c>
      <c r="V78" s="66">
        <v>0</v>
      </c>
      <c r="W78" s="41">
        <v>488.3063745207</v>
      </c>
      <c r="X78" s="41">
        <v>47.5519506768</v>
      </c>
      <c r="Y78" s="66">
        <v>0</v>
      </c>
      <c r="Z78" s="40">
        <v>488.3063745207</v>
      </c>
      <c r="AA78" s="40">
        <v>107.86624251</v>
      </c>
      <c r="AB78" s="68"/>
      <c r="AC78" s="68"/>
      <c r="AD78" s="69">
        <v>488.3063745207</v>
      </c>
      <c r="AE78" s="69">
        <v>107.86624251</v>
      </c>
      <c r="AF78" s="69">
        <v>488.3063745207</v>
      </c>
    </row>
    <row r="79" s="18" customFormat="1" spans="1:32">
      <c r="A79" s="65" t="s">
        <v>109</v>
      </c>
      <c r="B79" s="51"/>
      <c r="C79" s="66">
        <v>0</v>
      </c>
      <c r="D79" s="66">
        <v>0</v>
      </c>
      <c r="E79" s="66">
        <v>0</v>
      </c>
      <c r="F79" s="66">
        <v>0</v>
      </c>
      <c r="G79" s="66">
        <v>143.33</v>
      </c>
      <c r="H79" s="66">
        <v>0</v>
      </c>
      <c r="I79" s="67"/>
      <c r="J79" s="67"/>
      <c r="K79" s="66">
        <v>0</v>
      </c>
      <c r="L79" s="66">
        <v>143.33</v>
      </c>
      <c r="M79" s="66">
        <v>0</v>
      </c>
      <c r="N79" s="51">
        <v>0</v>
      </c>
      <c r="O79" s="51">
        <v>0</v>
      </c>
      <c r="P79" s="66">
        <v>0</v>
      </c>
      <c r="Q79" s="39">
        <v>0</v>
      </c>
      <c r="R79" s="39">
        <v>0</v>
      </c>
      <c r="S79" s="66">
        <v>0</v>
      </c>
      <c r="T79" s="40">
        <v>0</v>
      </c>
      <c r="U79" s="51">
        <v>0</v>
      </c>
      <c r="V79" s="66">
        <v>0</v>
      </c>
      <c r="W79" s="41">
        <v>0</v>
      </c>
      <c r="X79" s="41">
        <v>0</v>
      </c>
      <c r="Y79" s="66">
        <v>0</v>
      </c>
      <c r="Z79" s="40">
        <v>0</v>
      </c>
      <c r="AA79" s="40">
        <v>0</v>
      </c>
      <c r="AB79" s="68"/>
      <c r="AC79" s="68"/>
      <c r="AD79" s="69">
        <v>0</v>
      </c>
      <c r="AE79" s="69">
        <v>0</v>
      </c>
      <c r="AF79" s="69">
        <v>0</v>
      </c>
    </row>
    <row r="80" s="18" customFormat="1" spans="1:32">
      <c r="A80" s="65" t="s">
        <v>110</v>
      </c>
      <c r="B80" s="51"/>
      <c r="C80" s="66">
        <v>0</v>
      </c>
      <c r="D80" s="66">
        <v>0</v>
      </c>
      <c r="E80" s="66">
        <v>0</v>
      </c>
      <c r="F80" s="66">
        <v>0</v>
      </c>
      <c r="G80" s="66">
        <v>314.701725814</v>
      </c>
      <c r="H80" s="66">
        <v>0</v>
      </c>
      <c r="I80" s="67"/>
      <c r="J80" s="67"/>
      <c r="K80" s="66">
        <v>0</v>
      </c>
      <c r="L80" s="66">
        <v>314.701725814</v>
      </c>
      <c r="M80" s="66">
        <v>0</v>
      </c>
      <c r="N80" s="51">
        <v>0</v>
      </c>
      <c r="O80" s="51">
        <v>0</v>
      </c>
      <c r="P80" s="66">
        <v>0</v>
      </c>
      <c r="Q80" s="39">
        <v>0</v>
      </c>
      <c r="R80" s="39">
        <v>9.34063396</v>
      </c>
      <c r="S80" s="66">
        <v>0</v>
      </c>
      <c r="T80" s="40">
        <v>0</v>
      </c>
      <c r="U80" s="51">
        <v>0</v>
      </c>
      <c r="V80" s="66">
        <v>0</v>
      </c>
      <c r="W80" s="41">
        <v>0</v>
      </c>
      <c r="X80" s="41">
        <v>7.12111644</v>
      </c>
      <c r="Y80" s="66">
        <v>0</v>
      </c>
      <c r="Z80" s="40">
        <v>0</v>
      </c>
      <c r="AA80" s="40">
        <v>9.1938007195</v>
      </c>
      <c r="AB80" s="68"/>
      <c r="AC80" s="68"/>
      <c r="AD80" s="69">
        <v>0</v>
      </c>
      <c r="AE80" s="69">
        <v>9.1938007195</v>
      </c>
      <c r="AF80" s="69">
        <v>0</v>
      </c>
    </row>
    <row r="81" s="18" customFormat="1" spans="1:32">
      <c r="A81" s="65" t="s">
        <v>111</v>
      </c>
      <c r="B81" s="51"/>
      <c r="C81" s="66">
        <v>0</v>
      </c>
      <c r="D81" s="66">
        <v>0</v>
      </c>
      <c r="E81" s="66">
        <v>0</v>
      </c>
      <c r="F81" s="66">
        <v>2015.4942814075</v>
      </c>
      <c r="G81" s="66">
        <v>2237.88266880236</v>
      </c>
      <c r="H81" s="66">
        <v>0</v>
      </c>
      <c r="I81" s="67"/>
      <c r="J81" s="67"/>
      <c r="K81" s="66">
        <v>2015.4942814075</v>
      </c>
      <c r="L81" s="66">
        <v>2237.88266880236</v>
      </c>
      <c r="M81" s="66">
        <v>0</v>
      </c>
      <c r="N81" s="51">
        <v>0</v>
      </c>
      <c r="O81" s="51">
        <v>0</v>
      </c>
      <c r="P81" s="66">
        <v>0</v>
      </c>
      <c r="Q81" s="39">
        <v>752.97</v>
      </c>
      <c r="R81" s="39">
        <v>718.78</v>
      </c>
      <c r="S81" s="66">
        <v>0</v>
      </c>
      <c r="T81" s="40">
        <v>0</v>
      </c>
      <c r="U81" s="51">
        <v>0</v>
      </c>
      <c r="V81" s="66">
        <v>0</v>
      </c>
      <c r="W81" s="41">
        <v>752.97</v>
      </c>
      <c r="X81" s="41">
        <v>614.79</v>
      </c>
      <c r="Y81" s="66">
        <v>0</v>
      </c>
      <c r="Z81" s="40">
        <v>752.97</v>
      </c>
      <c r="AA81" s="40">
        <v>613.538922283294</v>
      </c>
      <c r="AB81" s="68"/>
      <c r="AC81" s="68"/>
      <c r="AD81" s="69">
        <v>752.97</v>
      </c>
      <c r="AE81" s="69">
        <v>613.538922283294</v>
      </c>
      <c r="AF81" s="69">
        <v>752.97</v>
      </c>
    </row>
    <row r="82" s="18" customFormat="1" spans="1:32">
      <c r="A82" s="65" t="s">
        <v>112</v>
      </c>
      <c r="B82" s="51"/>
      <c r="C82" s="66">
        <v>0</v>
      </c>
      <c r="D82" s="66">
        <v>0</v>
      </c>
      <c r="E82" s="66">
        <v>0</v>
      </c>
      <c r="F82" s="66">
        <v>0</v>
      </c>
      <c r="G82" s="66">
        <v>3055.5543527446</v>
      </c>
      <c r="H82" s="66">
        <v>0</v>
      </c>
      <c r="I82" s="67"/>
      <c r="J82" s="67"/>
      <c r="K82" s="66">
        <v>0</v>
      </c>
      <c r="L82" s="66">
        <v>3055.5543527446</v>
      </c>
      <c r="M82" s="66">
        <v>0</v>
      </c>
      <c r="N82" s="51">
        <v>0</v>
      </c>
      <c r="O82" s="51">
        <v>0</v>
      </c>
      <c r="P82" s="66">
        <v>0</v>
      </c>
      <c r="Q82" s="39">
        <v>0</v>
      </c>
      <c r="R82" s="39">
        <v>259.37</v>
      </c>
      <c r="S82" s="66">
        <v>0</v>
      </c>
      <c r="T82" s="40">
        <v>0</v>
      </c>
      <c r="U82" s="51">
        <v>0</v>
      </c>
      <c r="V82" s="66">
        <v>0</v>
      </c>
      <c r="W82" s="41">
        <v>0</v>
      </c>
      <c r="X82" s="41">
        <v>8.73</v>
      </c>
      <c r="Y82" s="66">
        <v>0</v>
      </c>
      <c r="Z82" s="40">
        <v>0</v>
      </c>
      <c r="AA82" s="40">
        <v>55.9401236</v>
      </c>
      <c r="AB82" s="68"/>
      <c r="AC82" s="68"/>
      <c r="AD82" s="69">
        <v>0</v>
      </c>
      <c r="AE82" s="69">
        <v>55.9401236</v>
      </c>
      <c r="AF82" s="69">
        <v>0</v>
      </c>
    </row>
    <row r="83" s="18" customFormat="1" spans="1:32">
      <c r="A83" s="65" t="s">
        <v>113</v>
      </c>
      <c r="B83" s="51"/>
      <c r="C83" s="66">
        <v>39</v>
      </c>
      <c r="D83" s="66">
        <v>180</v>
      </c>
      <c r="E83" s="37">
        <v>3.61538461538462</v>
      </c>
      <c r="F83" s="66">
        <v>272.319689</v>
      </c>
      <c r="G83" s="66">
        <v>879.263026</v>
      </c>
      <c r="H83" s="37">
        <v>2.22878976995306</v>
      </c>
      <c r="I83" s="67"/>
      <c r="J83" s="67"/>
      <c r="K83" s="66">
        <v>272.319689</v>
      </c>
      <c r="L83" s="66">
        <v>879.263026</v>
      </c>
      <c r="M83" s="37">
        <v>2.22878976995306</v>
      </c>
      <c r="N83" s="51">
        <v>39</v>
      </c>
      <c r="O83" s="51">
        <v>110</v>
      </c>
      <c r="P83" s="37">
        <v>1.82051282051282</v>
      </c>
      <c r="Q83" s="39">
        <v>272.319689</v>
      </c>
      <c r="R83" s="39">
        <v>340.707826</v>
      </c>
      <c r="S83" s="37">
        <v>0.251131812213548</v>
      </c>
      <c r="T83" s="70" t="s">
        <v>25</v>
      </c>
      <c r="U83" s="51">
        <v>0</v>
      </c>
      <c r="V83" s="37" t="s">
        <v>25</v>
      </c>
      <c r="W83" s="41">
        <v>153.301441</v>
      </c>
      <c r="X83" s="41">
        <v>249.818348</v>
      </c>
      <c r="Y83" s="37" t="s">
        <v>25</v>
      </c>
      <c r="Z83" s="40">
        <v>175.724470388031</v>
      </c>
      <c r="AA83" s="40">
        <v>115.33292481842</v>
      </c>
      <c r="AB83" s="68"/>
      <c r="AC83" s="68"/>
      <c r="AD83" s="69">
        <v>175.724470388031</v>
      </c>
      <c r="AE83" s="69">
        <v>115.33292481842</v>
      </c>
      <c r="AF83" s="37">
        <v>-0.343671803000774</v>
      </c>
    </row>
    <row r="84" s="18" customFormat="1" spans="1:32">
      <c r="A84" s="71" t="s">
        <v>204</v>
      </c>
      <c r="B84" s="72"/>
      <c r="C84" s="73"/>
      <c r="D84" s="73"/>
      <c r="E84" s="73"/>
      <c r="F84" s="73">
        <v>4018.2383054475</v>
      </c>
      <c r="G84" s="73">
        <v>7413.79902043776</v>
      </c>
      <c r="H84" s="49">
        <v>0.845037167254844</v>
      </c>
      <c r="I84" s="73">
        <v>0</v>
      </c>
      <c r="J84" s="73">
        <v>0</v>
      </c>
      <c r="K84" s="73">
        <v>4018.2383054475</v>
      </c>
      <c r="L84" s="73">
        <v>7413.79902043776</v>
      </c>
      <c r="M84" s="49">
        <v>0.845037167254844</v>
      </c>
      <c r="N84" s="73"/>
      <c r="O84" s="73">
        <v>110</v>
      </c>
      <c r="P84" s="49" t="s">
        <v>25</v>
      </c>
      <c r="Q84" s="73">
        <v>1513.5960635207</v>
      </c>
      <c r="R84" s="73">
        <v>1536.0651823968</v>
      </c>
      <c r="S84" s="49" t="s">
        <v>25</v>
      </c>
      <c r="T84" s="73">
        <v>0</v>
      </c>
      <c r="U84" s="73">
        <v>0</v>
      </c>
      <c r="V84" s="49" t="s">
        <v>25</v>
      </c>
      <c r="W84" s="73">
        <v>1394.5778155207</v>
      </c>
      <c r="X84" s="73">
        <v>928.0114151168</v>
      </c>
      <c r="Y84" s="49" t="s">
        <v>25</v>
      </c>
      <c r="Z84" s="73">
        <v>1417.00084490873</v>
      </c>
      <c r="AA84" s="73">
        <v>901.872013931214</v>
      </c>
      <c r="AB84" s="73">
        <v>0</v>
      </c>
      <c r="AC84" s="73">
        <v>0</v>
      </c>
      <c r="AD84" s="73">
        <v>1417.00084490873</v>
      </c>
      <c r="AE84" s="73">
        <v>901.872013931214</v>
      </c>
      <c r="AF84" s="49">
        <v>-0.363534596911759</v>
      </c>
    </row>
    <row r="85" s="19" customFormat="1" spans="1:32">
      <c r="A85" s="74" t="s">
        <v>205</v>
      </c>
      <c r="B85" s="75"/>
      <c r="C85" s="76">
        <v>7711</v>
      </c>
      <c r="D85" s="76">
        <v>7792</v>
      </c>
      <c r="E85" s="77">
        <v>0.0105044741278693</v>
      </c>
      <c r="F85" s="76">
        <v>111128.199587447</v>
      </c>
      <c r="G85" s="76">
        <v>126683.153353438</v>
      </c>
      <c r="H85" s="77">
        <v>0.139973056557531</v>
      </c>
      <c r="I85" s="76">
        <v>1204.310312504</v>
      </c>
      <c r="J85" s="76">
        <v>416.33424107</v>
      </c>
      <c r="K85" s="76">
        <v>112332.509899951</v>
      </c>
      <c r="L85" s="76">
        <v>127099.487594508</v>
      </c>
      <c r="M85" s="77">
        <v>0.131457738349375</v>
      </c>
      <c r="N85" s="76">
        <v>2387</v>
      </c>
      <c r="O85" s="76">
        <v>2632</v>
      </c>
      <c r="P85" s="77">
        <v>0.102639296187683</v>
      </c>
      <c r="Q85" s="76">
        <v>36745.0660405207</v>
      </c>
      <c r="R85" s="76">
        <v>43006.7060108068</v>
      </c>
      <c r="S85" s="77">
        <v>0.170407639582987</v>
      </c>
      <c r="T85" s="76">
        <v>1483</v>
      </c>
      <c r="U85" s="76">
        <v>1961</v>
      </c>
      <c r="V85" s="77">
        <v>0.322319622387053</v>
      </c>
      <c r="W85" s="78">
        <v>26381.1850425207</v>
      </c>
      <c r="X85" s="78">
        <v>34337.4646771168</v>
      </c>
      <c r="Y85" s="77">
        <v>0.301589167498439</v>
      </c>
      <c r="Z85" s="76">
        <v>30521.4619633764</v>
      </c>
      <c r="AA85" s="76">
        <v>28906.6793851028</v>
      </c>
      <c r="AB85" s="76">
        <v>2008.335641848</v>
      </c>
      <c r="AC85" s="76">
        <v>7235.07613779</v>
      </c>
      <c r="AD85" s="76">
        <v>32529.7976052244</v>
      </c>
      <c r="AE85" s="76">
        <v>36141.7555228928</v>
      </c>
      <c r="AF85" s="77">
        <v>0.111035363991577</v>
      </c>
    </row>
  </sheetData>
  <mergeCells count="24">
    <mergeCell ref="A1:AF1"/>
    <mergeCell ref="C3:E3"/>
    <mergeCell ref="F3:H3"/>
    <mergeCell ref="I3:J3"/>
    <mergeCell ref="K3:M3"/>
    <mergeCell ref="N3:P3"/>
    <mergeCell ref="Q3:S3"/>
    <mergeCell ref="T3:V3"/>
    <mergeCell ref="W3:Y3"/>
    <mergeCell ref="Z3:AA3"/>
    <mergeCell ref="AB3:AC3"/>
    <mergeCell ref="AD3:AF3"/>
    <mergeCell ref="A15:B15"/>
    <mergeCell ref="A24:B24"/>
    <mergeCell ref="A34:B34"/>
    <mergeCell ref="A46:B46"/>
    <mergeCell ref="A56:B56"/>
    <mergeCell ref="A66:B66"/>
    <mergeCell ref="A73:B73"/>
    <mergeCell ref="A77:B77"/>
    <mergeCell ref="A84:B84"/>
    <mergeCell ref="A85:B85"/>
    <mergeCell ref="A3:A4"/>
    <mergeCell ref="B3:B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A1" sqref="A1:D2"/>
    </sheetView>
  </sheetViews>
  <sheetFormatPr defaultColWidth="9" defaultRowHeight="13.5" outlineLevelCol="3"/>
  <cols>
    <col min="1" max="1" width="16.3833333333333" style="2" customWidth="1"/>
    <col min="2" max="2" width="14.375" style="1" customWidth="1"/>
    <col min="3" max="3" width="10.5" style="1" customWidth="1"/>
    <col min="4" max="4" width="27.375" style="1" customWidth="1"/>
    <col min="5" max="16346" width="9" style="1"/>
  </cols>
  <sheetData>
    <row r="1" spans="1:4">
      <c r="A1" s="3" t="s">
        <v>206</v>
      </c>
      <c r="B1" s="3"/>
      <c r="C1" s="3"/>
      <c r="D1" s="3"/>
    </row>
    <row r="2" spans="1:4">
      <c r="A2" s="3"/>
      <c r="B2" s="3"/>
      <c r="C2" s="3"/>
      <c r="D2" s="3"/>
    </row>
    <row r="3" s="1" customFormat="1" spans="1:4">
      <c r="A3" s="4" t="s">
        <v>30</v>
      </c>
      <c r="B3" s="5" t="s">
        <v>207</v>
      </c>
      <c r="C3" s="5" t="s">
        <v>121</v>
      </c>
      <c r="D3" s="5" t="s">
        <v>208</v>
      </c>
    </row>
    <row r="4" s="1" customFormat="1" spans="1:4">
      <c r="A4" s="6"/>
      <c r="B4" s="7"/>
      <c r="C4" s="7"/>
      <c r="D4" s="7"/>
    </row>
    <row r="5" s="1" customFormat="1" spans="1:4">
      <c r="A5" s="8" t="s">
        <v>32</v>
      </c>
      <c r="B5" s="9" t="s">
        <v>209</v>
      </c>
      <c r="C5" s="9">
        <v>29</v>
      </c>
      <c r="D5" s="9">
        <v>2026.25</v>
      </c>
    </row>
    <row r="6" s="1" customFormat="1" spans="1:4">
      <c r="A6" s="10" t="s">
        <v>33</v>
      </c>
      <c r="B6" s="9" t="s">
        <v>210</v>
      </c>
      <c r="C6" s="9">
        <v>14</v>
      </c>
      <c r="D6" s="9">
        <v>534.9</v>
      </c>
    </row>
    <row r="7" s="1" customFormat="1" spans="1:4">
      <c r="A7" s="11" t="s">
        <v>44</v>
      </c>
      <c r="B7" s="12"/>
      <c r="C7" s="12">
        <v>43</v>
      </c>
      <c r="D7" s="12">
        <f>SUM(D5,D6)</f>
        <v>2561.15</v>
      </c>
    </row>
    <row r="8" s="1" customFormat="1" spans="1:4">
      <c r="A8" s="10"/>
      <c r="B8" s="9"/>
      <c r="C8" s="9"/>
      <c r="D8" s="9"/>
    </row>
    <row r="9" s="1" customFormat="1" spans="1:4">
      <c r="A9" s="10" t="s">
        <v>52</v>
      </c>
      <c r="B9" s="9" t="s">
        <v>52</v>
      </c>
      <c r="C9" s="9">
        <v>1</v>
      </c>
      <c r="D9" s="9">
        <v>5.6</v>
      </c>
    </row>
    <row r="10" s="1" customFormat="1" spans="1:4">
      <c r="A10" s="13" t="s">
        <v>50</v>
      </c>
      <c r="B10" s="9" t="s">
        <v>211</v>
      </c>
      <c r="C10" s="9">
        <v>1</v>
      </c>
      <c r="D10" s="9">
        <v>11</v>
      </c>
    </row>
    <row r="11" s="1" customFormat="1" spans="1:4">
      <c r="A11" s="11" t="s">
        <v>54</v>
      </c>
      <c r="B11" s="12"/>
      <c r="C11" s="12">
        <v>2</v>
      </c>
      <c r="D11" s="12">
        <v>16.6</v>
      </c>
    </row>
    <row r="12" s="1" customFormat="1" spans="1:4">
      <c r="A12" s="8"/>
      <c r="B12" s="9"/>
      <c r="C12" s="9"/>
      <c r="D12" s="9"/>
    </row>
    <row r="13" s="1" customFormat="1" spans="1:4">
      <c r="A13" s="8" t="s">
        <v>57</v>
      </c>
      <c r="B13" s="9" t="s">
        <v>212</v>
      </c>
      <c r="C13" s="9">
        <v>18</v>
      </c>
      <c r="D13" s="9">
        <v>1140.3</v>
      </c>
    </row>
    <row r="14" s="1" customFormat="1" spans="1:4">
      <c r="A14" s="8" t="s">
        <v>63</v>
      </c>
      <c r="B14" s="9" t="s">
        <v>213</v>
      </c>
      <c r="C14" s="9">
        <v>4</v>
      </c>
      <c r="D14" s="9">
        <v>180.7</v>
      </c>
    </row>
    <row r="15" s="1" customFormat="1" spans="1:4">
      <c r="A15" s="14" t="s">
        <v>64</v>
      </c>
      <c r="B15" s="12"/>
      <c r="C15" s="12">
        <v>22</v>
      </c>
      <c r="D15" s="12">
        <f>SUM(D13,D14)</f>
        <v>1321</v>
      </c>
    </row>
    <row r="16" s="1" customFormat="1" spans="1:4">
      <c r="A16" s="10"/>
      <c r="B16" s="9"/>
      <c r="C16" s="9"/>
      <c r="D16" s="9"/>
    </row>
    <row r="17" s="1" customFormat="1" spans="1:4">
      <c r="A17" s="10" t="s">
        <v>77</v>
      </c>
      <c r="B17" s="9" t="s">
        <v>214</v>
      </c>
      <c r="C17" s="9">
        <v>3</v>
      </c>
      <c r="D17" s="9">
        <v>134.6</v>
      </c>
    </row>
    <row r="18" s="1" customFormat="1" spans="1:4">
      <c r="A18" s="8" t="s">
        <v>83</v>
      </c>
      <c r="B18" s="9" t="s">
        <v>215</v>
      </c>
      <c r="C18" s="9">
        <v>5</v>
      </c>
      <c r="D18" s="9">
        <v>159.2</v>
      </c>
    </row>
    <row r="19" s="1" customFormat="1" spans="1:4">
      <c r="A19" s="11" t="s">
        <v>86</v>
      </c>
      <c r="B19" s="12"/>
      <c r="C19" s="12">
        <v>8</v>
      </c>
      <c r="D19" s="12">
        <f>SUM(D17,D18)</f>
        <v>293.8</v>
      </c>
    </row>
    <row r="20" spans="1:4">
      <c r="A20" s="15"/>
      <c r="B20" s="9"/>
      <c r="C20" s="9"/>
      <c r="D20" s="9"/>
    </row>
    <row r="21" spans="1:4">
      <c r="A21" s="16" t="s">
        <v>216</v>
      </c>
      <c r="B21" s="17"/>
      <c r="C21" s="17">
        <f>SUM(C7,C11,C15,C19)</f>
        <v>75</v>
      </c>
      <c r="D21" s="17">
        <f>SUM(D7,D11,D15,D19)</f>
        <v>4192.55</v>
      </c>
    </row>
  </sheetData>
  <mergeCells count="5">
    <mergeCell ref="A3:A4"/>
    <mergeCell ref="B3:B4"/>
    <mergeCell ref="C3:C4"/>
    <mergeCell ref="D3:D4"/>
    <mergeCell ref="A1:D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九大区</vt:lpstr>
      <vt:lpstr>完成表</vt:lpstr>
      <vt:lpstr>完成表 (2)</vt:lpstr>
      <vt:lpstr>两年对比</vt:lpstr>
      <vt:lpstr>两年对比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Ｉ āｍ ā $ｈīτ</cp:lastModifiedBy>
  <dcterms:created xsi:type="dcterms:W3CDTF">2026-07-01T01:49:00Z</dcterms:created>
  <dcterms:modified xsi:type="dcterms:W3CDTF">2026-07-31T07:44:54Z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493C65B2938C4EAFBC7359E63AF3DDE6_11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