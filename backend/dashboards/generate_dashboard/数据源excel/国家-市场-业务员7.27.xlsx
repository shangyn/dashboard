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activeTab="1"/>
  </bookViews>
  <sheets>
    <sheet name="指标" sheetId="1" r:id="rId1"/>
    <sheet name="业务员-市场" sheetId="2" r:id="rId2"/>
    <sheet name="Sheet3" sheetId="3" r:id="rId3"/>
    <sheet name="任命令模块-模主" sheetId="4" r:id="rId4"/>
    <sheet name="模主+助理对应模块" sheetId="5" r:id="rId5"/>
  </sheets>
  <definedNames>
    <definedName name="_xlnm._FilterDatabase" localSheetId="0" hidden="1">指标!$A$2:$B$85</definedName>
    <definedName name="_xlnm._FilterDatabase" localSheetId="1" hidden="1">'业务员-市场'!$A$1:$K$180</definedName>
    <definedName name="_xlnm._FilterDatabase" localSheetId="2" hidden="1">Sheet3!$A$1:$E$267</definedName>
    <definedName name="_xlnm.Print_Area" localSheetId="0">指标!$A$1:$M$84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42" authorId="0">
      <text>
        <r>
          <rPr>
            <b/>
            <sz val="9"/>
            <rFont val="宋体"/>
            <charset val="134"/>
          </rPr>
          <t>A</t>
        </r>
      </text>
    </comment>
  </commentList>
</comments>
</file>

<file path=xl/sharedStrings.xml><?xml version="1.0" encoding="utf-8"?>
<sst xmlns="http://schemas.openxmlformats.org/spreadsheetml/2006/main" count="2316" uniqueCount="537">
  <si>
    <t>2026年国际市场运营系统市场人员分配</t>
  </si>
  <si>
    <t>大区</t>
  </si>
  <si>
    <t>模块</t>
  </si>
  <si>
    <t>模块经理</t>
  </si>
  <si>
    <t>国家</t>
  </si>
  <si>
    <t>业务助理</t>
  </si>
  <si>
    <t>俄罗斯</t>
  </si>
  <si>
    <t>俄罗斯（中部）</t>
  </si>
  <si>
    <t>丛峻</t>
  </si>
  <si>
    <t>俄罗斯（西部）</t>
  </si>
  <si>
    <t>单一</t>
  </si>
  <si>
    <t>俄罗斯（东部）</t>
  </si>
  <si>
    <t>宋艾亭</t>
  </si>
  <si>
    <t>罗斯托夫</t>
  </si>
  <si>
    <t>（空）</t>
  </si>
  <si>
    <t>哈巴</t>
  </si>
  <si>
    <t>俄罗斯（中南）</t>
  </si>
  <si>
    <t>张沁媛</t>
  </si>
  <si>
    <t>俄罗斯（西南）</t>
  </si>
  <si>
    <t>刘景伟</t>
  </si>
  <si>
    <t>莫斯科</t>
  </si>
  <si>
    <t>张东辉</t>
  </si>
  <si>
    <t>叶卡</t>
  </si>
  <si>
    <t>孙继伟</t>
  </si>
  <si>
    <t>新西</t>
  </si>
  <si>
    <t>严晨</t>
  </si>
  <si>
    <t>李欣然</t>
  </si>
  <si>
    <t>李可心</t>
  </si>
  <si>
    <t>谈振清</t>
  </si>
  <si>
    <t>左冠日</t>
  </si>
  <si>
    <t>胡艳丽</t>
  </si>
  <si>
    <t>王萌萌</t>
  </si>
  <si>
    <t>亚洲1</t>
  </si>
  <si>
    <t>朝鲜-韩国</t>
  </si>
  <si>
    <t>安鹏霖</t>
  </si>
  <si>
    <t>新加坡市政会</t>
  </si>
  <si>
    <t>祁阳</t>
  </si>
  <si>
    <t>新加坡HDB</t>
  </si>
  <si>
    <t>王珊珊</t>
  </si>
  <si>
    <t>泰国</t>
  </si>
  <si>
    <t>张琬怡</t>
  </si>
  <si>
    <t>泰国2</t>
  </si>
  <si>
    <t>刘瑞</t>
  </si>
  <si>
    <t>金三角</t>
  </si>
  <si>
    <t>马来西亚</t>
  </si>
  <si>
    <t>鲁鸿飞</t>
  </si>
  <si>
    <t>马尔代夫</t>
  </si>
  <si>
    <t>叶哲铭</t>
  </si>
  <si>
    <t>香港-台湾</t>
  </si>
  <si>
    <t>高强</t>
  </si>
  <si>
    <t>黄心阳</t>
  </si>
  <si>
    <t>王邦铭</t>
  </si>
  <si>
    <t>亚洲2</t>
  </si>
  <si>
    <t>越南-2</t>
  </si>
  <si>
    <t>韩月华</t>
  </si>
  <si>
    <t>印度公建</t>
  </si>
  <si>
    <t>张鹏</t>
  </si>
  <si>
    <t>巴基斯坦</t>
  </si>
  <si>
    <t>耿建伟</t>
  </si>
  <si>
    <t>孟加拉-1</t>
  </si>
  <si>
    <t>刘晓虎</t>
  </si>
  <si>
    <t>澳大利亚</t>
  </si>
  <si>
    <t>董永生</t>
  </si>
  <si>
    <t>菲律宾</t>
  </si>
  <si>
    <t>吴旭东</t>
  </si>
  <si>
    <t>印尼-1</t>
  </si>
  <si>
    <t>张欢</t>
  </si>
  <si>
    <t>越南-1（工厂）</t>
  </si>
  <si>
    <t>于春光</t>
  </si>
  <si>
    <t>印度私营</t>
  </si>
  <si>
    <t>高新尧</t>
  </si>
  <si>
    <t>菲律宾-2</t>
  </si>
  <si>
    <t>吴永顺</t>
  </si>
  <si>
    <t>印尼-2</t>
  </si>
  <si>
    <t>岳亮</t>
  </si>
  <si>
    <t>王浩甡</t>
  </si>
  <si>
    <t>王伟男</t>
  </si>
  <si>
    <t>中东</t>
  </si>
  <si>
    <t>阿联酋-2</t>
  </si>
  <si>
    <t>任嘉庆</t>
  </si>
  <si>
    <t>沙特工厂</t>
  </si>
  <si>
    <t>武永佳</t>
  </si>
  <si>
    <t>沙特-1</t>
  </si>
  <si>
    <t>陈科锦</t>
  </si>
  <si>
    <t>科威特</t>
  </si>
  <si>
    <t>赵俊峰</t>
  </si>
  <si>
    <t>阿联酋-1</t>
  </si>
  <si>
    <t>张晓茜</t>
  </si>
  <si>
    <t>卡塔尔</t>
  </si>
  <si>
    <t>高智博</t>
  </si>
  <si>
    <t>伊拉克</t>
  </si>
  <si>
    <t>吕超</t>
  </si>
  <si>
    <t>巴勒斯坦</t>
  </si>
  <si>
    <t>阿联酋3</t>
  </si>
  <si>
    <t>李军辉</t>
  </si>
  <si>
    <t>伊朗+阿曼</t>
  </si>
  <si>
    <t>张朕铭</t>
  </si>
  <si>
    <t>周博彧</t>
  </si>
  <si>
    <t>唐毓瀚</t>
  </si>
  <si>
    <t>苗森</t>
  </si>
  <si>
    <t>中亚</t>
  </si>
  <si>
    <t>蒙古</t>
  </si>
  <si>
    <t>逄顺福</t>
  </si>
  <si>
    <t>哈萨克斯坦-1</t>
  </si>
  <si>
    <t>彭凤琴</t>
  </si>
  <si>
    <t>塔吉克/哈萨克斯坦-2</t>
  </si>
  <si>
    <t>于洋</t>
  </si>
  <si>
    <t>哈萨克斯坦-3</t>
  </si>
  <si>
    <t>秦力超</t>
  </si>
  <si>
    <t>乌兹别克斯坦</t>
  </si>
  <si>
    <t>张小帆</t>
  </si>
  <si>
    <t>吉尔吉斯斯坦</t>
  </si>
  <si>
    <t>阿塞拜疆</t>
  </si>
  <si>
    <t>韩宇</t>
  </si>
  <si>
    <t>格鲁吉亚</t>
  </si>
  <si>
    <t>孙博伦</t>
  </si>
  <si>
    <t>田杨</t>
  </si>
  <si>
    <t>任姝曼</t>
  </si>
  <si>
    <t>美洲</t>
  </si>
  <si>
    <t>墨西哥-1</t>
  </si>
  <si>
    <t>尤健宇</t>
  </si>
  <si>
    <t>墨西哥-2</t>
  </si>
  <si>
    <t>肖宇晗</t>
  </si>
  <si>
    <t>秘鲁</t>
  </si>
  <si>
    <t>李知源</t>
  </si>
  <si>
    <t>智利</t>
  </si>
  <si>
    <t>翟文龙</t>
  </si>
  <si>
    <t>加勒比海</t>
  </si>
  <si>
    <t>范皓铭</t>
  </si>
  <si>
    <t>多米尼加</t>
  </si>
  <si>
    <t>梁国裕</t>
  </si>
  <si>
    <t>哥伦比亚</t>
  </si>
  <si>
    <t>田媛媛</t>
  </si>
  <si>
    <t>秘鲁2</t>
  </si>
  <si>
    <t>魏珍荣</t>
  </si>
  <si>
    <t>巴西</t>
  </si>
  <si>
    <t>程思淼</t>
  </si>
  <si>
    <t>李雪晴</t>
  </si>
  <si>
    <t>王琨策</t>
  </si>
  <si>
    <t>李英华</t>
  </si>
  <si>
    <t>非洲</t>
  </si>
  <si>
    <t>肯尼亚/坦桑尼亚</t>
  </si>
  <si>
    <t>史宇哲</t>
  </si>
  <si>
    <t>埃及-1</t>
  </si>
  <si>
    <t>石云龙</t>
  </si>
  <si>
    <t>尼日利亚/埃塞俄比亚</t>
  </si>
  <si>
    <t>袁帅</t>
  </si>
  <si>
    <t>阿尔及利亚</t>
  </si>
  <si>
    <t>丁绎澎</t>
  </si>
  <si>
    <t>南非/安格拉</t>
  </si>
  <si>
    <t>赵晓旭</t>
  </si>
  <si>
    <t>埃及-2</t>
  </si>
  <si>
    <t>孙小婷</t>
  </si>
  <si>
    <t>刘纪龙</t>
  </si>
  <si>
    <t>欧洲</t>
  </si>
  <si>
    <t>德国西班牙</t>
  </si>
  <si>
    <t>陈大鲲</t>
  </si>
  <si>
    <t>东欧</t>
  </si>
  <si>
    <t>英国意大利</t>
  </si>
  <si>
    <t>王俊豪</t>
  </si>
  <si>
    <t>商贸配件</t>
  </si>
  <si>
    <t>商贸1</t>
  </si>
  <si>
    <t>张涛</t>
  </si>
  <si>
    <t>商贸2</t>
  </si>
  <si>
    <t>李成富</t>
  </si>
  <si>
    <t>商贸3</t>
  </si>
  <si>
    <t>李昌睿</t>
  </si>
  <si>
    <t>配件-1</t>
  </si>
  <si>
    <t>吴航</t>
  </si>
  <si>
    <t>配件-2</t>
  </si>
  <si>
    <t>赵莹</t>
  </si>
  <si>
    <t>改造</t>
  </si>
  <si>
    <t>苏利</t>
  </si>
  <si>
    <t>李美珊</t>
  </si>
  <si>
    <t>吴燚</t>
  </si>
  <si>
    <t>合计</t>
  </si>
  <si>
    <t>72个模块</t>
  </si>
  <si>
    <t>西俄罗斯</t>
  </si>
  <si>
    <t>巴西1</t>
  </si>
  <si>
    <t>白俄罗斯1</t>
  </si>
  <si>
    <t>俄罗斯1</t>
  </si>
  <si>
    <t>东俄罗斯</t>
  </si>
  <si>
    <t>俄罗斯5</t>
  </si>
  <si>
    <t>张执玮</t>
  </si>
  <si>
    <t>俄罗斯6</t>
  </si>
  <si>
    <t>俄罗斯3</t>
  </si>
  <si>
    <t>俄罗斯2</t>
  </si>
  <si>
    <t>孟加拉1</t>
  </si>
  <si>
    <t>刚果2</t>
  </si>
  <si>
    <t>塞内加尔3</t>
  </si>
  <si>
    <t>坦桑尼亚1</t>
  </si>
  <si>
    <t>俄罗斯7</t>
  </si>
  <si>
    <t>乌兹别克斯坦2</t>
  </si>
  <si>
    <t>俄罗斯8</t>
  </si>
  <si>
    <t>原孙继伟</t>
  </si>
  <si>
    <t>俄罗斯9</t>
  </si>
  <si>
    <t>张瑛琦</t>
  </si>
  <si>
    <t>朝鲜</t>
  </si>
  <si>
    <t>中国1</t>
  </si>
  <si>
    <t>韩国</t>
  </si>
  <si>
    <t>日本</t>
  </si>
  <si>
    <t>新加坡</t>
  </si>
  <si>
    <t>新加坡1</t>
  </si>
  <si>
    <t>印尼3</t>
  </si>
  <si>
    <t>文莱</t>
  </si>
  <si>
    <t>也门</t>
  </si>
  <si>
    <t>老挝1</t>
  </si>
  <si>
    <t>原张琬怡</t>
  </si>
  <si>
    <t>柬埔寨</t>
  </si>
  <si>
    <t>老挝</t>
  </si>
  <si>
    <t>缅甸</t>
  </si>
  <si>
    <t>孟加拉5</t>
  </si>
  <si>
    <t>伊拉克3</t>
  </si>
  <si>
    <t>亚美尼亚1</t>
  </si>
  <si>
    <t>越南2</t>
  </si>
  <si>
    <t>澳大利亚2</t>
  </si>
  <si>
    <t>斯里兰卡</t>
  </si>
  <si>
    <t>印尼1</t>
  </si>
  <si>
    <t>泰国3</t>
  </si>
  <si>
    <t>香港1</t>
  </si>
  <si>
    <t>王海娇</t>
  </si>
  <si>
    <t>中国台湾</t>
  </si>
  <si>
    <t>香港</t>
  </si>
  <si>
    <t>马来西亚1</t>
  </si>
  <si>
    <t>越南1</t>
  </si>
  <si>
    <t>巴布亚新几内亚</t>
  </si>
  <si>
    <t>印尼2</t>
  </si>
  <si>
    <t>印度</t>
  </si>
  <si>
    <t>巴基斯坦2</t>
  </si>
  <si>
    <t>越南3</t>
  </si>
  <si>
    <t>孟加拉</t>
  </si>
  <si>
    <t>巴基斯坦4</t>
  </si>
  <si>
    <t>斐济</t>
  </si>
  <si>
    <t>菲律宾2</t>
  </si>
  <si>
    <t>印尼</t>
  </si>
  <si>
    <t>越南</t>
  </si>
  <si>
    <r>
      <rPr>
        <sz val="10"/>
        <color theme="1"/>
        <rFont val="宋体"/>
        <charset val="134"/>
        <scheme val="minor"/>
      </rPr>
      <t>越南</t>
    </r>
    <r>
      <rPr>
        <sz val="11"/>
        <color theme="1"/>
        <rFont val="宋体"/>
        <charset val="134"/>
        <scheme val="minor"/>
      </rPr>
      <t>-1（工厂）</t>
    </r>
  </si>
  <si>
    <t>印度1</t>
  </si>
  <si>
    <t>乌克兰</t>
  </si>
  <si>
    <t>埃及4</t>
  </si>
  <si>
    <t>菲律宾3</t>
  </si>
  <si>
    <t>印尼4</t>
  </si>
  <si>
    <t>阿联酋2</t>
  </si>
  <si>
    <t>沙特1</t>
  </si>
  <si>
    <t>沙特</t>
  </si>
  <si>
    <t>阿联酋4</t>
  </si>
  <si>
    <t>塞内加尔1</t>
  </si>
  <si>
    <t>埃及1</t>
  </si>
  <si>
    <t>马拉维1</t>
  </si>
  <si>
    <t>土耳其1</t>
  </si>
  <si>
    <t>巴林</t>
  </si>
  <si>
    <t>安哥拉1</t>
  </si>
  <si>
    <t>巴基斯坦3</t>
  </si>
  <si>
    <t>原陈科锦</t>
  </si>
  <si>
    <t>阿联酋</t>
  </si>
  <si>
    <t>沙特2</t>
  </si>
  <si>
    <t>老挝2</t>
  </si>
  <si>
    <t>约旦2</t>
  </si>
  <si>
    <t>卡塔尔1</t>
  </si>
  <si>
    <t>周乐垚</t>
  </si>
  <si>
    <t>阿曼</t>
  </si>
  <si>
    <t>伊拉克1</t>
  </si>
  <si>
    <t>巴勒斯坦1</t>
  </si>
  <si>
    <t>原吕超</t>
  </si>
  <si>
    <t>缅甸1</t>
  </si>
  <si>
    <t>伊朗</t>
  </si>
  <si>
    <t>阿曼2</t>
  </si>
  <si>
    <t>巴林2</t>
  </si>
  <si>
    <t>伊拉克2</t>
  </si>
  <si>
    <t>阿联酋5</t>
  </si>
  <si>
    <t>哈萨克斯坦</t>
  </si>
  <si>
    <t>白俄罗斯</t>
  </si>
  <si>
    <t>塔吉克斯坦</t>
  </si>
  <si>
    <t>亚美尼亚</t>
  </si>
  <si>
    <t>摩洛哥2</t>
  </si>
  <si>
    <t>乌兹别克斯坦4</t>
  </si>
  <si>
    <t>哈萨克斯坦1</t>
  </si>
  <si>
    <t>塔吉克斯坦1</t>
  </si>
  <si>
    <t>哈萨克斯坦3</t>
  </si>
  <si>
    <t>乌兹别克斯坦1</t>
  </si>
  <si>
    <t>马月/马玉</t>
  </si>
  <si>
    <t>吉尔吉斯斯坦1</t>
  </si>
  <si>
    <t>吉尔吉斯斯坦2</t>
  </si>
  <si>
    <t>马月</t>
  </si>
  <si>
    <t>中国2</t>
  </si>
  <si>
    <t>塞内加尔2</t>
  </si>
  <si>
    <t>亚美尼亚3</t>
  </si>
  <si>
    <t>科索沃</t>
  </si>
  <si>
    <t>塔吉克斯坦2</t>
  </si>
  <si>
    <t>乌兹别克斯坦3</t>
  </si>
  <si>
    <t>高云飞</t>
  </si>
  <si>
    <t>墨西哥</t>
  </si>
  <si>
    <t>墨西哥1</t>
  </si>
  <si>
    <t>刚果1</t>
  </si>
  <si>
    <t>塞浦路斯</t>
  </si>
  <si>
    <t>原翟文龙</t>
  </si>
  <si>
    <t>乌拉圭</t>
  </si>
  <si>
    <t>巴拿马</t>
  </si>
  <si>
    <t>厄瓜多尔</t>
  </si>
  <si>
    <t>阿根廷</t>
  </si>
  <si>
    <t>巴西3</t>
  </si>
  <si>
    <t>危地马拉</t>
  </si>
  <si>
    <t>哥斯达黎加</t>
  </si>
  <si>
    <t>萨尔瓦多</t>
  </si>
  <si>
    <t>洪都拉斯</t>
  </si>
  <si>
    <t>巴拿马1</t>
  </si>
  <si>
    <t>厄瓜多尔1</t>
  </si>
  <si>
    <t>尼加拉瓜</t>
  </si>
  <si>
    <t>多米尼加3</t>
  </si>
  <si>
    <t>玻利维亚</t>
  </si>
  <si>
    <t>圭亚那</t>
  </si>
  <si>
    <t>圭亚那1</t>
  </si>
  <si>
    <t>土耳其3</t>
  </si>
  <si>
    <t>巴拉圭</t>
  </si>
  <si>
    <t>原魏珍荣</t>
  </si>
  <si>
    <t>巴西4</t>
  </si>
  <si>
    <t>杨春</t>
  </si>
  <si>
    <t>尼日利亚</t>
  </si>
  <si>
    <t>肯尼亚</t>
  </si>
  <si>
    <t>坦桑尼亚</t>
  </si>
  <si>
    <t>埃及2</t>
  </si>
  <si>
    <t>尼日利亚1</t>
  </si>
  <si>
    <t>埃塞俄比亚</t>
  </si>
  <si>
    <t>津巴布韦1</t>
  </si>
  <si>
    <t>肯尼亚2</t>
  </si>
  <si>
    <t>马拉维</t>
  </si>
  <si>
    <t>科摩罗</t>
  </si>
  <si>
    <t>阿尔及利亚1</t>
  </si>
  <si>
    <t>非洲法语区</t>
  </si>
  <si>
    <t>摩洛哥1</t>
  </si>
  <si>
    <t>突尼斯</t>
  </si>
  <si>
    <t>科特迪瓦</t>
  </si>
  <si>
    <t>塞内加尔4</t>
  </si>
  <si>
    <t>津巴布韦</t>
  </si>
  <si>
    <t>安哥拉</t>
  </si>
  <si>
    <t>巴林1</t>
  </si>
  <si>
    <t>埃及3</t>
  </si>
  <si>
    <t>王俊豪暂时代管</t>
  </si>
  <si>
    <t>土耳其</t>
  </si>
  <si>
    <t>越南4</t>
  </si>
  <si>
    <t>吴雪明</t>
  </si>
  <si>
    <t>土耳其2</t>
  </si>
  <si>
    <t>杨博</t>
  </si>
  <si>
    <t>2025九大区模块</t>
  </si>
  <si>
    <t>2025九大区</t>
  </si>
  <si>
    <t>2026年对应模块</t>
  </si>
  <si>
    <t>2026九大区</t>
  </si>
  <si>
    <t>巴哈马</t>
  </si>
  <si>
    <t>中美洲-2</t>
  </si>
  <si>
    <t>古巴</t>
  </si>
  <si>
    <t>特立尼达和多巴哥</t>
  </si>
  <si>
    <t>多米尼加1</t>
  </si>
  <si>
    <t>阿塞拜疆1</t>
  </si>
  <si>
    <t>埃及</t>
  </si>
  <si>
    <t>以色列</t>
  </si>
  <si>
    <t>黎巴嫩</t>
  </si>
  <si>
    <t>阿富汗</t>
  </si>
  <si>
    <t>阿富汗1</t>
  </si>
  <si>
    <t>叙利亚</t>
  </si>
  <si>
    <t>约旦1</t>
  </si>
  <si>
    <t>也门1</t>
  </si>
  <si>
    <t>美国</t>
  </si>
  <si>
    <t>委内瑞拉</t>
  </si>
  <si>
    <t>牙买加</t>
  </si>
  <si>
    <t>肯尼亚/南非</t>
  </si>
  <si>
    <t>冈比亚</t>
  </si>
  <si>
    <t>刚果</t>
  </si>
  <si>
    <t>加纳</t>
  </si>
  <si>
    <t>加蓬</t>
  </si>
  <si>
    <t>喀麦隆</t>
  </si>
  <si>
    <t>利比里亚</t>
  </si>
  <si>
    <t>利比亚</t>
  </si>
  <si>
    <t>毛里求斯</t>
  </si>
  <si>
    <t>摩洛哥</t>
  </si>
  <si>
    <t>莫桑比克</t>
  </si>
  <si>
    <t>纳米比亚</t>
  </si>
  <si>
    <t>南非</t>
  </si>
  <si>
    <t>南苏丹</t>
  </si>
  <si>
    <t>塞内加尔</t>
  </si>
  <si>
    <t>乌干达</t>
  </si>
  <si>
    <t>辽宁机电</t>
  </si>
  <si>
    <t>中国</t>
  </si>
  <si>
    <t>危地马拉1</t>
  </si>
  <si>
    <t>阿尔巴尼亚</t>
  </si>
  <si>
    <t>爱尔兰</t>
  </si>
  <si>
    <t>保加利亚</t>
  </si>
  <si>
    <t>比利时</t>
  </si>
  <si>
    <t>冰岛</t>
  </si>
  <si>
    <t>波兰</t>
  </si>
  <si>
    <t>丹麦</t>
  </si>
  <si>
    <t>德国</t>
  </si>
  <si>
    <t>克罗地亚</t>
  </si>
  <si>
    <t>罗马尼亚</t>
  </si>
  <si>
    <t>摩尔多瓦</t>
  </si>
  <si>
    <t>葡萄牙</t>
  </si>
  <si>
    <t>塞尔维亚</t>
  </si>
  <si>
    <t>斯洛伐克</t>
  </si>
  <si>
    <t>西班牙</t>
  </si>
  <si>
    <t>意大利</t>
  </si>
  <si>
    <t>英国</t>
  </si>
  <si>
    <t>爱沙尼亚</t>
  </si>
  <si>
    <t>立陶宛</t>
  </si>
  <si>
    <t>土库曼斯坦</t>
  </si>
  <si>
    <t>越南-1</t>
  </si>
  <si>
    <t>新西兰</t>
  </si>
  <si>
    <t>斯里兰卡1</t>
  </si>
  <si>
    <t>肯尼亚1</t>
  </si>
  <si>
    <t>秘鲁1</t>
  </si>
  <si>
    <t>阿联酋1</t>
  </si>
  <si>
    <t>匈牙利</t>
  </si>
  <si>
    <t>哈萨克斯坦-2</t>
  </si>
  <si>
    <t>巴基斯坦1</t>
  </si>
  <si>
    <t>所罗门群岛</t>
  </si>
  <si>
    <t>菲律宾1</t>
  </si>
  <si>
    <t>孟加拉2</t>
  </si>
  <si>
    <t>纵向开发</t>
  </si>
  <si>
    <t>约旦</t>
  </si>
  <si>
    <t>印度2</t>
  </si>
  <si>
    <t>瑞典</t>
  </si>
  <si>
    <t>挪威</t>
  </si>
  <si>
    <t>荷兰</t>
  </si>
  <si>
    <t>拉脱维亚</t>
  </si>
  <si>
    <t>澳大利亚1</t>
  </si>
  <si>
    <t>波兰1</t>
  </si>
  <si>
    <t>阿曼1</t>
  </si>
  <si>
    <t>中亚-塔吉克斯坦</t>
  </si>
  <si>
    <t>多米尼加2</t>
  </si>
  <si>
    <t>哥伦比亚1</t>
  </si>
  <si>
    <t>孟加拉3</t>
  </si>
  <si>
    <t>巴拉圭1</t>
  </si>
  <si>
    <t>斯里兰卡2</t>
  </si>
  <si>
    <t>马尔代夫1</t>
  </si>
  <si>
    <t>孟加拉4</t>
  </si>
  <si>
    <t>俄罗斯4</t>
  </si>
  <si>
    <t>泰国1</t>
  </si>
  <si>
    <t>沙特3</t>
  </si>
  <si>
    <t>巴西2</t>
  </si>
  <si>
    <t>哈萨克斯坦2</t>
  </si>
  <si>
    <t>伊拉克4</t>
  </si>
  <si>
    <t>沙特4</t>
  </si>
  <si>
    <t>格鲁吉亚1</t>
  </si>
  <si>
    <t>厄瓜多尔2</t>
  </si>
  <si>
    <t>亚美尼亚2</t>
  </si>
  <si>
    <t>柬埔寨1</t>
  </si>
  <si>
    <t>哈萨克斯坦4</t>
  </si>
  <si>
    <t>模主</t>
  </si>
  <si>
    <t>墨西哥－1</t>
  </si>
  <si>
    <t>墨西哥－2</t>
  </si>
  <si>
    <t>秘鲁－1</t>
  </si>
  <si>
    <t>秘鲁－2</t>
  </si>
  <si>
    <t>亚洲－1</t>
  </si>
  <si>
    <t>泰国－1</t>
  </si>
  <si>
    <t>泰国－2</t>
  </si>
  <si>
    <t>朝鲜／韩国</t>
  </si>
  <si>
    <t>日港台</t>
  </si>
  <si>
    <t>亚洲－2</t>
  </si>
  <si>
    <t>越南－1（工厂）</t>
  </si>
  <si>
    <t>越南－2</t>
  </si>
  <si>
    <t>印尼－1</t>
  </si>
  <si>
    <t>印尼－2</t>
  </si>
  <si>
    <t>菲律宾－1</t>
  </si>
  <si>
    <t>菲律宾－2</t>
  </si>
  <si>
    <t>哈萨克斯坦一1</t>
  </si>
  <si>
    <t>哈萨克斯坦－2／塔吉克斯坦</t>
  </si>
  <si>
    <t>哈萨克斯坦－3</t>
  </si>
  <si>
    <t>沙特－1</t>
  </si>
  <si>
    <t>阿联酋－1</t>
  </si>
  <si>
    <t>伊朗／阿曼</t>
  </si>
  <si>
    <t>埃及一1</t>
  </si>
  <si>
    <t>埃及一2</t>
  </si>
  <si>
    <t>肯尼亚／坦桑尼亚</t>
  </si>
  <si>
    <t>尼日利亚／埃塞俄比亚</t>
  </si>
  <si>
    <t>南非／安格拉</t>
  </si>
  <si>
    <t>商贸-1</t>
  </si>
  <si>
    <t>商贸－2</t>
  </si>
  <si>
    <t>商贸－3</t>
  </si>
  <si>
    <t>配件－1</t>
  </si>
  <si>
    <t>德国／西班牙</t>
  </si>
  <si>
    <t>空</t>
  </si>
  <si>
    <t>英国／意大利</t>
  </si>
  <si>
    <t>三级组织</t>
  </si>
  <si>
    <t>岗位名称</t>
  </si>
  <si>
    <t>姓名</t>
  </si>
  <si>
    <t>美洲大区</t>
  </si>
  <si>
    <t>国际美洲大区销售总经理</t>
  </si>
  <si>
    <t>吴迪</t>
  </si>
  <si>
    <t>中东大区</t>
  </si>
  <si>
    <t>国际中东大区销售总经理</t>
  </si>
  <si>
    <t>陈远一</t>
  </si>
  <si>
    <t>中亚大区</t>
  </si>
  <si>
    <t>国际中亚大区销售总经理</t>
  </si>
  <si>
    <t>齐文童</t>
  </si>
  <si>
    <t>商贸配件大区</t>
  </si>
  <si>
    <t>国际商贸配件大区销售总经理</t>
  </si>
  <si>
    <t>周聖航</t>
  </si>
  <si>
    <t>俄罗斯大区</t>
  </si>
  <si>
    <t>海外开发经理（外籍）</t>
  </si>
  <si>
    <t>乌鲁格贝克·卡姆拉巴耶夫</t>
  </si>
  <si>
    <t>国际销售助理</t>
  </si>
  <si>
    <t>周雨晗</t>
  </si>
  <si>
    <t>国际业务经理</t>
  </si>
  <si>
    <t>武娜</t>
  </si>
  <si>
    <t>已离职</t>
  </si>
  <si>
    <t>非洲大区</t>
  </si>
  <si>
    <t>实习模主</t>
  </si>
  <si>
    <t>亚洲1大区</t>
  </si>
  <si>
    <t>张金伟</t>
  </si>
  <si>
    <t>张逸冰</t>
  </si>
  <si>
    <t>亚洲2大区</t>
  </si>
  <si>
    <t>丹尼</t>
  </si>
  <si>
    <t>范文杜</t>
  </si>
  <si>
    <t>任有诚</t>
  </si>
  <si>
    <t>巩倩文</t>
  </si>
  <si>
    <t>孙浩桐</t>
  </si>
  <si>
    <t>徐华敏</t>
  </si>
  <si>
    <t>孙成雨</t>
  </si>
  <si>
    <t>马陶然</t>
  </si>
  <si>
    <t>乌兹别克斯坦-2</t>
  </si>
  <si>
    <t>马玉</t>
  </si>
  <si>
    <t>任姝蔓</t>
  </si>
  <si>
    <t>努热艾力.艾尼瓦尔</t>
  </si>
  <si>
    <t>隋学鹏</t>
  </si>
  <si>
    <t>卡迪罗夫</t>
  </si>
  <si>
    <t>纳卡耶夫</t>
  </si>
  <si>
    <t>欧洲大区</t>
  </si>
  <si>
    <t>李函泽</t>
  </si>
  <si>
    <t>商贸-2</t>
  </si>
  <si>
    <t>商贸-3</t>
  </si>
  <si>
    <t>更新改造</t>
  </si>
  <si>
    <t>苗水壮</t>
  </si>
  <si>
    <t>石博宇</t>
  </si>
  <si>
    <t>贾兆庚</t>
  </si>
  <si>
    <t>陈喜龙</t>
  </si>
  <si>
    <t>蔡馨墨</t>
  </si>
  <si>
    <t>现场计划员</t>
  </si>
  <si>
    <t>景柏</t>
  </si>
  <si>
    <t>国际备件模块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</si>
</sst>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"/>
    <numFmt numFmtId="178" formatCode="_ * #,##0_ ;_ * \-#,##0_ ;_ * &quot;-&quot;??_ ;_ @_ "/>
  </numFmts>
  <fonts count="3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9"/>
      <color rgb="FF000000"/>
      <name val="微软雅黑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7" tint="0.79964598529007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theme="3" tint="0.799645985290078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1" fillId="15" borderId="11" applyNumberFormat="0" applyAlignment="0" applyProtection="0">
      <alignment vertical="center"/>
    </xf>
    <xf numFmtId="0" fontId="22" fillId="15" borderId="10" applyNumberFormat="0" applyAlignment="0" applyProtection="0">
      <alignment vertical="center"/>
    </xf>
    <xf numFmtId="0" fontId="23" fillId="16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2" borderId="0" xfId="0" applyFill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0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ont="1" applyFill="1" applyBorder="1">
      <alignment vertical="center"/>
    </xf>
    <xf numFmtId="0" fontId="0" fillId="5" borderId="2" xfId="0" applyFill="1" applyBorder="1">
      <alignment vertical="center"/>
    </xf>
    <xf numFmtId="0" fontId="8" fillId="5" borderId="2" xfId="0" applyFont="1" applyFill="1" applyBorder="1">
      <alignment vertical="center"/>
    </xf>
    <xf numFmtId="0" fontId="0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ont="1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9" fontId="0" fillId="0" borderId="2" xfId="3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77" fontId="0" fillId="0" borderId="2" xfId="0" applyNumberFormat="1" applyFont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 wrapText="1"/>
    </xf>
    <xf numFmtId="178" fontId="0" fillId="0" borderId="2" xfId="0" applyNumberFormat="1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0" borderId="6" xfId="0" applyFont="1" applyFill="1" applyBorder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5"/>
  <sheetViews>
    <sheetView view="pageBreakPreview" zoomScale="130" zoomScaleNormal="100" topLeftCell="A60" workbookViewId="0">
      <selection activeCell="I68" sqref="I68"/>
    </sheetView>
  </sheetViews>
  <sheetFormatPr defaultColWidth="9" defaultRowHeight="13.5"/>
  <cols>
    <col min="1" max="1" width="9.75" customWidth="1"/>
    <col min="2" max="2" width="22.75" style="47" customWidth="1"/>
    <col min="3" max="4" width="0.125" customWidth="1"/>
    <col min="6" max="6" width="12.875" hidden="1" customWidth="1"/>
  </cols>
  <sheetData>
    <row r="1" ht="34.9" customHeight="1" spans="1:1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ht="16.5" customHeight="1" spans="1:13">
      <c r="A2" s="49" t="s">
        <v>1</v>
      </c>
      <c r="B2" s="49" t="s">
        <v>2</v>
      </c>
      <c r="C2" s="50"/>
      <c r="D2" s="50"/>
      <c r="E2" s="50" t="s">
        <v>3</v>
      </c>
      <c r="F2" s="51" t="s">
        <v>4</v>
      </c>
      <c r="G2" s="51" t="s">
        <v>5</v>
      </c>
      <c r="H2" s="51"/>
      <c r="I2" s="51"/>
      <c r="J2" s="51"/>
      <c r="K2" s="51"/>
      <c r="L2" s="51"/>
      <c r="M2" s="51"/>
    </row>
    <row r="3" ht="16.5" customHeight="1" spans="1:13">
      <c r="A3" s="52" t="s">
        <v>6</v>
      </c>
      <c r="B3" s="52" t="s">
        <v>7</v>
      </c>
      <c r="C3" s="53" t="e">
        <f>#REF!/#REF!</f>
        <v>#REF!</v>
      </c>
      <c r="D3" s="53"/>
      <c r="E3" s="50" t="s">
        <v>8</v>
      </c>
      <c r="F3" s="50"/>
      <c r="G3" s="50"/>
      <c r="H3" s="51"/>
      <c r="I3" s="51"/>
      <c r="J3" s="51"/>
      <c r="K3" s="51"/>
      <c r="L3" s="51"/>
      <c r="M3" s="51"/>
    </row>
    <row r="4" ht="16.5" customHeight="1" spans="1:13">
      <c r="A4" s="52" t="s">
        <v>6</v>
      </c>
      <c r="B4" s="52" t="s">
        <v>9</v>
      </c>
      <c r="C4" s="53" t="e">
        <f>#REF!/#REF!</f>
        <v>#REF!</v>
      </c>
      <c r="D4" s="53"/>
      <c r="E4" s="50" t="s">
        <v>10</v>
      </c>
      <c r="F4" s="50"/>
      <c r="G4" s="50"/>
      <c r="H4" s="50"/>
      <c r="I4" s="50"/>
      <c r="J4" s="50"/>
      <c r="K4" s="50"/>
      <c r="L4" s="50"/>
      <c r="M4" s="50"/>
    </row>
    <row r="5" ht="16.5" customHeight="1" spans="1:13">
      <c r="A5" s="52" t="s">
        <v>6</v>
      </c>
      <c r="B5" s="52" t="s">
        <v>11</v>
      </c>
      <c r="C5" s="53" t="e">
        <f>#REF!/#REF!</f>
        <v>#REF!</v>
      </c>
      <c r="D5" s="53"/>
      <c r="E5" s="50" t="s">
        <v>12</v>
      </c>
      <c r="F5" s="50"/>
      <c r="G5" s="50"/>
      <c r="H5" s="50"/>
      <c r="I5" s="50"/>
      <c r="J5" s="50"/>
      <c r="K5" s="50"/>
      <c r="L5" s="50"/>
      <c r="M5" s="50"/>
    </row>
    <row r="6" ht="16.5" customHeight="1" spans="1:13">
      <c r="A6" s="52" t="s">
        <v>6</v>
      </c>
      <c r="B6" s="52" t="s">
        <v>13</v>
      </c>
      <c r="C6" s="53" t="e">
        <f>#REF!/#REF!</f>
        <v>#REF!</v>
      </c>
      <c r="D6" s="53"/>
      <c r="E6" s="50" t="s">
        <v>14</v>
      </c>
      <c r="F6" s="50"/>
      <c r="G6" s="50"/>
      <c r="H6" s="50"/>
      <c r="I6" s="50"/>
      <c r="J6" s="50"/>
      <c r="K6" s="50"/>
      <c r="L6" s="50"/>
      <c r="M6" s="50"/>
    </row>
    <row r="7" ht="16.5" customHeight="1" spans="1:13">
      <c r="A7" s="52" t="s">
        <v>6</v>
      </c>
      <c r="B7" s="52" t="s">
        <v>15</v>
      </c>
      <c r="C7" s="53" t="e">
        <f>#REF!/#REF!</f>
        <v>#REF!</v>
      </c>
      <c r="D7" s="53"/>
      <c r="E7" s="50" t="s">
        <v>14</v>
      </c>
      <c r="F7" s="50"/>
      <c r="G7" s="50"/>
      <c r="H7" s="50"/>
      <c r="I7" s="50"/>
      <c r="J7" s="50"/>
      <c r="K7" s="50"/>
      <c r="L7" s="50"/>
      <c r="M7" s="50"/>
    </row>
    <row r="8" ht="16.5" customHeight="1" spans="1:13">
      <c r="A8" s="52" t="s">
        <v>6</v>
      </c>
      <c r="B8" s="52" t="s">
        <v>16</v>
      </c>
      <c r="C8" s="53" t="e">
        <f>#REF!/#REF!</f>
        <v>#REF!</v>
      </c>
      <c r="D8" s="53"/>
      <c r="E8" s="50" t="s">
        <v>17</v>
      </c>
      <c r="F8" s="50"/>
      <c r="G8" s="50"/>
      <c r="H8" s="50"/>
      <c r="I8" s="50"/>
      <c r="J8" s="50"/>
      <c r="K8" s="50"/>
      <c r="L8" s="50"/>
      <c r="M8" s="50"/>
    </row>
    <row r="9" ht="16.5" customHeight="1" spans="1:13">
      <c r="A9" s="52" t="s">
        <v>6</v>
      </c>
      <c r="B9" s="52" t="s">
        <v>18</v>
      </c>
      <c r="C9" s="53" t="e">
        <f>#REF!/#REF!</f>
        <v>#REF!</v>
      </c>
      <c r="D9" s="53"/>
      <c r="E9" s="50" t="s">
        <v>19</v>
      </c>
      <c r="F9" s="50"/>
      <c r="G9" s="50"/>
      <c r="H9" s="50"/>
      <c r="I9" s="50"/>
      <c r="J9" s="50"/>
      <c r="K9" s="50"/>
      <c r="L9" s="50"/>
      <c r="M9" s="50"/>
    </row>
    <row r="10" ht="16.5" customHeight="1" spans="1:13">
      <c r="A10" s="52" t="s">
        <v>6</v>
      </c>
      <c r="B10" s="52" t="s">
        <v>20</v>
      </c>
      <c r="C10" s="53" t="e">
        <f>#REF!/#REF!</f>
        <v>#REF!</v>
      </c>
      <c r="D10" s="53"/>
      <c r="E10" s="51" t="s">
        <v>21</v>
      </c>
      <c r="F10" s="50"/>
      <c r="G10" s="50"/>
      <c r="H10" s="50"/>
      <c r="I10" s="50"/>
      <c r="J10" s="50"/>
      <c r="K10" s="50"/>
      <c r="L10" s="50"/>
      <c r="M10" s="50"/>
    </row>
    <row r="11" ht="16.5" customHeight="1" spans="1:13">
      <c r="A11" s="52" t="s">
        <v>6</v>
      </c>
      <c r="B11" s="52" t="s">
        <v>22</v>
      </c>
      <c r="C11" s="53" t="e">
        <f>#REF!/#REF!</f>
        <v>#REF!</v>
      </c>
      <c r="D11" s="53"/>
      <c r="E11" s="54" t="s">
        <v>23</v>
      </c>
      <c r="F11" s="50"/>
      <c r="G11" s="50"/>
      <c r="H11" s="50"/>
      <c r="I11" s="50"/>
      <c r="J11" s="50"/>
      <c r="K11" s="50"/>
      <c r="L11" s="50"/>
      <c r="M11" s="50"/>
    </row>
    <row r="12" ht="16.5" customHeight="1" spans="1:13">
      <c r="A12" s="52" t="s">
        <v>6</v>
      </c>
      <c r="B12" s="52" t="s">
        <v>24</v>
      </c>
      <c r="C12" s="53" t="e">
        <f>#REF!/#REF!</f>
        <v>#REF!</v>
      </c>
      <c r="D12" s="53"/>
      <c r="E12" s="50" t="s">
        <v>14</v>
      </c>
      <c r="F12" s="50"/>
      <c r="G12" s="51" t="s">
        <v>25</v>
      </c>
      <c r="H12" s="51" t="s">
        <v>26</v>
      </c>
      <c r="I12" s="51" t="s">
        <v>27</v>
      </c>
      <c r="J12" s="51" t="s">
        <v>28</v>
      </c>
      <c r="K12" s="51" t="s">
        <v>29</v>
      </c>
      <c r="L12" s="60" t="s">
        <v>30</v>
      </c>
      <c r="M12" s="60" t="s">
        <v>31</v>
      </c>
    </row>
    <row r="13" ht="16.5" customHeight="1" spans="1:13">
      <c r="A13" s="55"/>
      <c r="B13" s="55"/>
      <c r="C13" s="53" t="e">
        <f>#REF!/#REF!</f>
        <v>#REF!</v>
      </c>
      <c r="D13" s="53"/>
      <c r="E13" s="50"/>
      <c r="F13" s="50"/>
      <c r="G13" s="50"/>
      <c r="H13" s="50"/>
      <c r="I13" s="50"/>
      <c r="J13" s="50"/>
      <c r="K13" s="50"/>
      <c r="L13" s="50"/>
      <c r="M13" s="50"/>
    </row>
    <row r="14" ht="16.5" customHeight="1" spans="1:13">
      <c r="A14" s="52" t="s">
        <v>32</v>
      </c>
      <c r="B14" s="52" t="s">
        <v>33</v>
      </c>
      <c r="C14" s="53" t="e">
        <f>#REF!/#REF!</f>
        <v>#REF!</v>
      </c>
      <c r="D14" s="53"/>
      <c r="E14" s="50" t="s">
        <v>34</v>
      </c>
      <c r="F14" s="50"/>
      <c r="G14" s="50"/>
      <c r="H14" s="51"/>
      <c r="I14" s="51"/>
      <c r="J14" s="51"/>
      <c r="K14" s="51"/>
      <c r="L14" s="51"/>
      <c r="M14" s="51"/>
    </row>
    <row r="15" ht="16.5" customHeight="1" spans="1:13">
      <c r="A15" s="52" t="s">
        <v>32</v>
      </c>
      <c r="B15" s="52" t="s">
        <v>35</v>
      </c>
      <c r="C15" s="53" t="e">
        <f>#REF!/#REF!</f>
        <v>#REF!</v>
      </c>
      <c r="D15" s="53"/>
      <c r="E15" s="50" t="s">
        <v>36</v>
      </c>
      <c r="F15" s="50"/>
      <c r="G15" s="50"/>
      <c r="H15" s="50"/>
      <c r="I15" s="50"/>
      <c r="J15" s="50"/>
      <c r="K15" s="50"/>
      <c r="L15" s="50"/>
      <c r="M15" s="50"/>
    </row>
    <row r="16" ht="16.5" customHeight="1" spans="1:13">
      <c r="A16" s="52" t="s">
        <v>32</v>
      </c>
      <c r="B16" s="52" t="s">
        <v>37</v>
      </c>
      <c r="C16" s="53" t="e">
        <f>#REF!/#REF!</f>
        <v>#REF!</v>
      </c>
      <c r="D16" s="53"/>
      <c r="E16" s="50" t="s">
        <v>38</v>
      </c>
      <c r="F16" s="50"/>
      <c r="G16" s="50"/>
      <c r="H16" s="50"/>
      <c r="I16" s="50"/>
      <c r="J16" s="50"/>
      <c r="K16" s="50"/>
      <c r="L16" s="50"/>
      <c r="M16" s="50"/>
    </row>
    <row r="17" ht="16.5" customHeight="1" spans="1:13">
      <c r="A17" s="52" t="s">
        <v>32</v>
      </c>
      <c r="B17" s="52" t="s">
        <v>39</v>
      </c>
      <c r="C17" s="53" t="e">
        <f>#REF!/#REF!</f>
        <v>#REF!</v>
      </c>
      <c r="D17" s="53"/>
      <c r="E17" s="50" t="s">
        <v>40</v>
      </c>
      <c r="F17" s="50"/>
      <c r="G17" s="50"/>
      <c r="H17" s="50"/>
      <c r="I17" s="50"/>
      <c r="J17" s="50"/>
      <c r="K17" s="50"/>
      <c r="L17" s="50"/>
      <c r="M17" s="50"/>
    </row>
    <row r="18" ht="16.5" customHeight="1" spans="1:13">
      <c r="A18" s="52" t="s">
        <v>32</v>
      </c>
      <c r="B18" s="52" t="s">
        <v>41</v>
      </c>
      <c r="C18" s="53" t="e">
        <f>#REF!/#REF!</f>
        <v>#REF!</v>
      </c>
      <c r="D18" s="53"/>
      <c r="E18" s="50" t="s">
        <v>42</v>
      </c>
      <c r="F18" s="50"/>
      <c r="G18" s="50"/>
      <c r="H18" s="50"/>
      <c r="I18" s="50"/>
      <c r="J18" s="50"/>
      <c r="K18" s="50"/>
      <c r="L18" s="50"/>
      <c r="M18" s="50"/>
    </row>
    <row r="19" ht="16.5" customHeight="1" spans="1:13">
      <c r="A19" s="52" t="s">
        <v>32</v>
      </c>
      <c r="B19" s="52" t="s">
        <v>43</v>
      </c>
      <c r="C19" s="53" t="e">
        <f>#REF!/#REF!</f>
        <v>#REF!</v>
      </c>
      <c r="D19" s="53"/>
      <c r="E19" s="50" t="s">
        <v>14</v>
      </c>
      <c r="F19" s="50"/>
      <c r="G19" s="50"/>
      <c r="H19" s="50"/>
      <c r="I19" s="50"/>
      <c r="J19" s="50"/>
      <c r="K19" s="50"/>
      <c r="L19" s="50"/>
      <c r="M19" s="50"/>
    </row>
    <row r="20" ht="16.5" customHeight="1" spans="1:13">
      <c r="A20" s="52" t="s">
        <v>32</v>
      </c>
      <c r="B20" s="52" t="s">
        <v>44</v>
      </c>
      <c r="C20" s="53" t="e">
        <f>#REF!/#REF!</f>
        <v>#REF!</v>
      </c>
      <c r="D20" s="53"/>
      <c r="E20" s="50" t="s">
        <v>45</v>
      </c>
      <c r="F20" s="50"/>
      <c r="G20" s="50"/>
      <c r="H20" s="50"/>
      <c r="I20" s="50"/>
      <c r="J20" s="50"/>
      <c r="K20" s="50"/>
      <c r="L20" s="50"/>
      <c r="M20" s="50"/>
    </row>
    <row r="21" ht="16.5" customHeight="1" spans="1:13">
      <c r="A21" s="52" t="s">
        <v>32</v>
      </c>
      <c r="B21" s="52" t="s">
        <v>46</v>
      </c>
      <c r="C21" s="53" t="e">
        <f>#REF!/#REF!</f>
        <v>#REF!</v>
      </c>
      <c r="D21" s="53"/>
      <c r="E21" s="50" t="s">
        <v>47</v>
      </c>
      <c r="F21" s="50"/>
      <c r="G21" s="50"/>
      <c r="H21" s="50"/>
      <c r="I21" s="50"/>
      <c r="J21" s="50"/>
      <c r="K21" s="50"/>
      <c r="L21" s="50"/>
      <c r="M21" s="50"/>
    </row>
    <row r="22" ht="16.5" customHeight="1" spans="1:13">
      <c r="A22" s="52" t="s">
        <v>32</v>
      </c>
      <c r="B22" s="52" t="s">
        <v>48</v>
      </c>
      <c r="C22" s="53" t="e">
        <f>#REF!/#REF!</f>
        <v>#REF!</v>
      </c>
      <c r="D22" s="53"/>
      <c r="E22" s="50" t="s">
        <v>42</v>
      </c>
      <c r="F22" s="50"/>
      <c r="G22" s="51" t="s">
        <v>49</v>
      </c>
      <c r="H22" s="51" t="s">
        <v>50</v>
      </c>
      <c r="I22" s="51" t="s">
        <v>51</v>
      </c>
      <c r="J22" s="50"/>
      <c r="K22" s="50"/>
      <c r="L22" s="50"/>
      <c r="M22" s="50"/>
    </row>
    <row r="23" ht="16.5" customHeight="1" spans="1:13">
      <c r="A23" s="55"/>
      <c r="B23" s="55"/>
      <c r="C23" s="53" t="e">
        <f>#REF!/#REF!</f>
        <v>#REF!</v>
      </c>
      <c r="D23" s="53"/>
      <c r="E23" s="50"/>
      <c r="F23" s="50"/>
      <c r="G23" s="50"/>
      <c r="H23" s="50"/>
      <c r="I23" s="50"/>
      <c r="J23" s="50"/>
      <c r="K23" s="50"/>
      <c r="L23" s="50"/>
      <c r="M23" s="50"/>
    </row>
    <row r="24" ht="16.5" customHeight="1" spans="1:13">
      <c r="A24" s="52" t="s">
        <v>52</v>
      </c>
      <c r="B24" s="52" t="s">
        <v>53</v>
      </c>
      <c r="C24" s="53" t="e">
        <f>#REF!/#REF!</f>
        <v>#REF!</v>
      </c>
      <c r="D24" s="53"/>
      <c r="E24" s="56" t="s">
        <v>54</v>
      </c>
      <c r="F24" s="56"/>
      <c r="G24" s="50"/>
      <c r="H24" s="50"/>
      <c r="I24" s="50"/>
      <c r="J24" s="50"/>
      <c r="K24" s="50"/>
      <c r="L24" s="50"/>
      <c r="M24" s="50"/>
    </row>
    <row r="25" ht="16.5" customHeight="1" spans="1:13">
      <c r="A25" s="52" t="s">
        <v>52</v>
      </c>
      <c r="B25" s="52" t="s">
        <v>55</v>
      </c>
      <c r="C25" s="53" t="e">
        <f>#REF!/#REF!</f>
        <v>#REF!</v>
      </c>
      <c r="D25" s="53"/>
      <c r="E25" s="56" t="s">
        <v>56</v>
      </c>
      <c r="F25" s="56"/>
      <c r="G25" s="50"/>
      <c r="H25" s="50"/>
      <c r="I25" s="50"/>
      <c r="J25" s="50"/>
      <c r="K25" s="50"/>
      <c r="L25" s="50"/>
      <c r="M25" s="50"/>
    </row>
    <row r="26" ht="16.5" customHeight="1" spans="1:13">
      <c r="A26" s="52" t="s">
        <v>52</v>
      </c>
      <c r="B26" s="52" t="s">
        <v>57</v>
      </c>
      <c r="C26" s="57" t="e">
        <f>#REF!/#REF!</f>
        <v>#REF!</v>
      </c>
      <c r="D26" s="57"/>
      <c r="E26" s="56" t="s">
        <v>58</v>
      </c>
      <c r="F26" s="56"/>
      <c r="G26" s="50"/>
      <c r="H26" s="50"/>
      <c r="I26" s="50"/>
      <c r="J26" s="50"/>
      <c r="K26" s="50"/>
      <c r="L26" s="50"/>
      <c r="M26" s="50"/>
    </row>
    <row r="27" ht="16.5" customHeight="1" spans="1:13">
      <c r="A27" s="52" t="s">
        <v>52</v>
      </c>
      <c r="B27" s="52" t="s">
        <v>59</v>
      </c>
      <c r="C27" s="57" t="e">
        <f>#REF!/#REF!</f>
        <v>#REF!</v>
      </c>
      <c r="D27" s="57"/>
      <c r="E27" s="56" t="s">
        <v>60</v>
      </c>
      <c r="F27" s="56"/>
      <c r="G27" s="50"/>
      <c r="H27" s="50"/>
      <c r="I27" s="50"/>
      <c r="J27" s="50"/>
      <c r="K27" s="50"/>
      <c r="L27" s="50"/>
      <c r="M27" s="50"/>
    </row>
    <row r="28" ht="16.5" customHeight="1" spans="1:13">
      <c r="A28" s="52" t="s">
        <v>52</v>
      </c>
      <c r="B28" s="52" t="s">
        <v>61</v>
      </c>
      <c r="C28" s="57" t="e">
        <f>#REF!/#REF!</f>
        <v>#REF!</v>
      </c>
      <c r="D28" s="57"/>
      <c r="E28" s="56" t="s">
        <v>62</v>
      </c>
      <c r="F28" s="56"/>
      <c r="G28" s="50"/>
      <c r="H28" s="50"/>
      <c r="I28" s="50"/>
      <c r="J28" s="50"/>
      <c r="K28" s="50"/>
      <c r="L28" s="50"/>
      <c r="M28" s="50"/>
    </row>
    <row r="29" ht="16.5" customHeight="1" spans="1:13">
      <c r="A29" s="52" t="s">
        <v>52</v>
      </c>
      <c r="B29" s="52" t="s">
        <v>63</v>
      </c>
      <c r="C29" s="57" t="e">
        <f>#REF!/#REF!</f>
        <v>#REF!</v>
      </c>
      <c r="D29" s="57"/>
      <c r="E29" s="56" t="s">
        <v>64</v>
      </c>
      <c r="F29" s="56"/>
      <c r="G29" s="50"/>
      <c r="H29" s="50"/>
      <c r="I29" s="50"/>
      <c r="J29" s="50"/>
      <c r="K29" s="50"/>
      <c r="L29" s="50"/>
      <c r="M29" s="50"/>
    </row>
    <row r="30" ht="16.5" customHeight="1" spans="1:13">
      <c r="A30" s="52" t="s">
        <v>52</v>
      </c>
      <c r="B30" s="52" t="s">
        <v>65</v>
      </c>
      <c r="C30" s="57" t="e">
        <f>#REF!/#REF!</f>
        <v>#REF!</v>
      </c>
      <c r="D30" s="57"/>
      <c r="E30" s="56" t="s">
        <v>66</v>
      </c>
      <c r="F30" s="56"/>
      <c r="G30" s="50"/>
      <c r="H30" s="50"/>
      <c r="I30" s="50"/>
      <c r="J30" s="50"/>
      <c r="K30" s="50"/>
      <c r="L30" s="50"/>
      <c r="M30" s="50"/>
    </row>
    <row r="31" ht="16.5" customHeight="1" spans="1:15">
      <c r="A31" s="52" t="s">
        <v>52</v>
      </c>
      <c r="B31" s="52" t="s">
        <v>67</v>
      </c>
      <c r="C31" s="53" t="e">
        <f>#REF!/#REF!</f>
        <v>#REF!</v>
      </c>
      <c r="D31" s="53"/>
      <c r="E31" s="56" t="s">
        <v>68</v>
      </c>
      <c r="F31" s="56"/>
      <c r="G31" s="51"/>
      <c r="H31" s="51"/>
      <c r="I31" s="51"/>
      <c r="J31" s="51"/>
      <c r="K31" s="51"/>
      <c r="L31" s="51"/>
      <c r="M31" s="51"/>
      <c r="N31" s="61"/>
      <c r="O31" s="61"/>
    </row>
    <row r="32" ht="16.5" customHeight="1" spans="1:13">
      <c r="A32" s="52" t="s">
        <v>52</v>
      </c>
      <c r="B32" s="52" t="s">
        <v>69</v>
      </c>
      <c r="C32" s="57" t="e">
        <f>#REF!/#REF!</f>
        <v>#REF!</v>
      </c>
      <c r="D32" s="57"/>
      <c r="E32" s="56" t="s">
        <v>70</v>
      </c>
      <c r="F32" s="56"/>
      <c r="G32" s="50"/>
      <c r="H32" s="50"/>
      <c r="I32" s="50"/>
      <c r="J32" s="50"/>
      <c r="K32" s="50"/>
      <c r="L32" s="50"/>
      <c r="M32" s="50"/>
    </row>
    <row r="33" ht="16.5" customHeight="1" spans="1:13">
      <c r="A33" s="52" t="s">
        <v>52</v>
      </c>
      <c r="B33" s="52" t="s">
        <v>71</v>
      </c>
      <c r="C33" s="57" t="e">
        <f>#REF!/#REF!</f>
        <v>#REF!</v>
      </c>
      <c r="D33" s="57"/>
      <c r="E33" s="56" t="s">
        <v>72</v>
      </c>
      <c r="F33" s="56"/>
      <c r="G33" s="50"/>
      <c r="H33" s="50"/>
      <c r="I33" s="50"/>
      <c r="J33" s="50"/>
      <c r="K33" s="50"/>
      <c r="L33" s="50"/>
      <c r="M33" s="50"/>
    </row>
    <row r="34" ht="16.5" customHeight="1" spans="1:13">
      <c r="A34" s="52" t="s">
        <v>52</v>
      </c>
      <c r="B34" s="52" t="s">
        <v>73</v>
      </c>
      <c r="C34" s="57" t="e">
        <f>#REF!/#REF!</f>
        <v>#REF!</v>
      </c>
      <c r="D34" s="57"/>
      <c r="E34" s="56" t="s">
        <v>74</v>
      </c>
      <c r="F34" s="56"/>
      <c r="G34" s="51" t="s">
        <v>75</v>
      </c>
      <c r="H34" s="51" t="s">
        <v>76</v>
      </c>
      <c r="I34" s="50"/>
      <c r="J34" s="50"/>
      <c r="K34" s="50"/>
      <c r="L34" s="50"/>
      <c r="M34" s="50"/>
    </row>
    <row r="35" ht="16.5" customHeight="1" spans="1:13">
      <c r="A35" s="55"/>
      <c r="B35" s="55"/>
      <c r="C35" s="57" t="e">
        <f>#REF!/#REF!</f>
        <v>#REF!</v>
      </c>
      <c r="D35" s="57"/>
      <c r="E35" s="50"/>
      <c r="F35" s="56"/>
      <c r="G35" s="50"/>
      <c r="H35" s="50"/>
      <c r="I35" s="50"/>
      <c r="J35" s="50"/>
      <c r="K35" s="50"/>
      <c r="L35" s="50"/>
      <c r="M35" s="50"/>
    </row>
    <row r="36" ht="16.5" customHeight="1" spans="1:13">
      <c r="A36" s="52" t="s">
        <v>77</v>
      </c>
      <c r="B36" s="52" t="s">
        <v>78</v>
      </c>
      <c r="C36" s="57" t="e">
        <f>#REF!/#REF!</f>
        <v>#REF!</v>
      </c>
      <c r="D36" s="57"/>
      <c r="E36" s="50" t="s">
        <v>79</v>
      </c>
      <c r="F36" s="50"/>
      <c r="G36" s="50"/>
      <c r="H36" s="50"/>
      <c r="I36" s="50"/>
      <c r="J36" s="50"/>
      <c r="K36" s="50"/>
      <c r="L36" s="50"/>
      <c r="M36" s="50"/>
    </row>
    <row r="37" ht="16.5" customHeight="1" spans="1:14">
      <c r="A37" s="52" t="s">
        <v>77</v>
      </c>
      <c r="B37" s="52" t="s">
        <v>80</v>
      </c>
      <c r="C37" s="57" t="e">
        <f>#REF!/#REF!</f>
        <v>#REF!</v>
      </c>
      <c r="D37" s="57"/>
      <c r="E37" s="56" t="s">
        <v>81</v>
      </c>
      <c r="F37" s="50"/>
      <c r="G37" s="51"/>
      <c r="H37" s="51"/>
      <c r="I37" s="51"/>
      <c r="J37" s="51"/>
      <c r="K37" s="51"/>
      <c r="L37" s="51"/>
      <c r="M37" s="51"/>
      <c r="N37" s="61"/>
    </row>
    <row r="38" ht="16.5" customHeight="1" spans="1:13">
      <c r="A38" s="52" t="s">
        <v>77</v>
      </c>
      <c r="B38" s="52" t="s">
        <v>82</v>
      </c>
      <c r="C38" s="57" t="e">
        <f>#REF!/#REF!</f>
        <v>#REF!</v>
      </c>
      <c r="D38" s="57"/>
      <c r="E38" s="50" t="s">
        <v>83</v>
      </c>
      <c r="F38" s="50"/>
      <c r="G38" s="50"/>
      <c r="H38" s="50"/>
      <c r="I38" s="50"/>
      <c r="J38" s="50"/>
      <c r="K38" s="50"/>
      <c r="L38" s="50"/>
      <c r="M38" s="50"/>
    </row>
    <row r="39" ht="16.5" customHeight="1" spans="1:13">
      <c r="A39" s="52" t="s">
        <v>77</v>
      </c>
      <c r="B39" s="52" t="s">
        <v>84</v>
      </c>
      <c r="C39" s="57" t="e">
        <f>#REF!/#REF!</f>
        <v>#REF!</v>
      </c>
      <c r="D39" s="57"/>
      <c r="E39" s="50" t="s">
        <v>85</v>
      </c>
      <c r="F39" s="50"/>
      <c r="G39" s="50"/>
      <c r="H39" s="50"/>
      <c r="I39" s="50"/>
      <c r="J39" s="50"/>
      <c r="K39" s="50"/>
      <c r="L39" s="50"/>
      <c r="M39" s="50"/>
    </row>
    <row r="40" ht="16.5" customHeight="1" spans="1:13">
      <c r="A40" s="52" t="s">
        <v>77</v>
      </c>
      <c r="B40" s="52" t="s">
        <v>86</v>
      </c>
      <c r="C40" s="57" t="e">
        <f>#REF!/#REF!</f>
        <v>#REF!</v>
      </c>
      <c r="D40" s="57"/>
      <c r="E40" s="50" t="s">
        <v>87</v>
      </c>
      <c r="F40" s="50"/>
      <c r="G40" s="50"/>
      <c r="H40" s="50"/>
      <c r="I40" s="50"/>
      <c r="J40" s="50"/>
      <c r="K40" s="50"/>
      <c r="L40" s="50"/>
      <c r="M40" s="50"/>
    </row>
    <row r="41" ht="16.5" customHeight="1" spans="1:13">
      <c r="A41" s="52" t="s">
        <v>77</v>
      </c>
      <c r="B41" s="52" t="s">
        <v>88</v>
      </c>
      <c r="C41" s="57" t="e">
        <f>#REF!/#REF!</f>
        <v>#REF!</v>
      </c>
      <c r="D41" s="57"/>
      <c r="E41" s="50" t="s">
        <v>89</v>
      </c>
      <c r="F41" s="50"/>
      <c r="G41" s="50"/>
      <c r="H41" s="50"/>
      <c r="I41" s="50"/>
      <c r="J41" s="50"/>
      <c r="K41" s="50"/>
      <c r="L41" s="50"/>
      <c r="M41" s="50"/>
    </row>
    <row r="42" ht="16.5" customHeight="1" spans="1:13">
      <c r="A42" s="52" t="s">
        <v>77</v>
      </c>
      <c r="B42" s="52" t="s">
        <v>90</v>
      </c>
      <c r="C42" s="57" t="e">
        <f>#REF!/#REF!</f>
        <v>#REF!</v>
      </c>
      <c r="D42" s="57"/>
      <c r="E42" s="50" t="s">
        <v>91</v>
      </c>
      <c r="F42" s="50"/>
      <c r="G42" s="50"/>
      <c r="H42" s="50"/>
      <c r="I42" s="50"/>
      <c r="J42" s="50"/>
      <c r="K42" s="50"/>
      <c r="L42" s="50"/>
      <c r="M42" s="50"/>
    </row>
    <row r="43" ht="16.5" customHeight="1" spans="1:13">
      <c r="A43" s="52" t="s">
        <v>77</v>
      </c>
      <c r="B43" s="52" t="s">
        <v>92</v>
      </c>
      <c r="C43" s="57" t="e">
        <f>#REF!/#REF!</f>
        <v>#REF!</v>
      </c>
      <c r="D43" s="57"/>
      <c r="E43" s="50" t="s">
        <v>14</v>
      </c>
      <c r="F43" s="50"/>
      <c r="G43" s="50"/>
      <c r="H43" s="50"/>
      <c r="I43" s="50"/>
      <c r="J43" s="50"/>
      <c r="K43" s="50"/>
      <c r="L43" s="50"/>
      <c r="M43" s="50"/>
    </row>
    <row r="44" ht="16.5" customHeight="1" spans="1:13">
      <c r="A44" s="52" t="s">
        <v>77</v>
      </c>
      <c r="B44" s="52" t="s">
        <v>93</v>
      </c>
      <c r="C44" s="57" t="e">
        <f>#REF!/#REF!</f>
        <v>#REF!</v>
      </c>
      <c r="D44" s="57"/>
      <c r="E44" s="50" t="s">
        <v>94</v>
      </c>
      <c r="F44" s="50"/>
      <c r="G44" s="50"/>
      <c r="H44" s="50"/>
      <c r="I44" s="50"/>
      <c r="J44" s="50"/>
      <c r="K44" s="50"/>
      <c r="L44" s="50"/>
      <c r="M44" s="50"/>
    </row>
    <row r="45" ht="16.5" customHeight="1" spans="1:13">
      <c r="A45" s="52" t="s">
        <v>77</v>
      </c>
      <c r="B45" s="52" t="s">
        <v>95</v>
      </c>
      <c r="C45" s="57" t="e">
        <f>#REF!/#REF!</f>
        <v>#REF!</v>
      </c>
      <c r="D45" s="57"/>
      <c r="E45" s="50" t="s">
        <v>96</v>
      </c>
      <c r="F45" s="50"/>
      <c r="G45" s="51" t="s">
        <v>97</v>
      </c>
      <c r="H45" s="51" t="s">
        <v>98</v>
      </c>
      <c r="I45" s="51" t="s">
        <v>99</v>
      </c>
      <c r="J45" s="50"/>
      <c r="K45" s="50"/>
      <c r="L45" s="50"/>
      <c r="M45" s="50"/>
    </row>
    <row r="46" ht="16.5" customHeight="1" spans="1:13">
      <c r="A46" s="55"/>
      <c r="B46" s="55"/>
      <c r="C46" s="57" t="e">
        <f>#REF!/#REF!</f>
        <v>#REF!</v>
      </c>
      <c r="D46" s="57"/>
      <c r="E46" s="50"/>
      <c r="F46" s="50"/>
      <c r="G46" s="50"/>
      <c r="H46" s="50"/>
      <c r="I46" s="50"/>
      <c r="J46" s="50"/>
      <c r="K46" s="50"/>
      <c r="L46" s="50"/>
      <c r="M46" s="50"/>
    </row>
    <row r="47" ht="16.5" customHeight="1" spans="1:13">
      <c r="A47" s="52" t="s">
        <v>100</v>
      </c>
      <c r="B47" s="52" t="s">
        <v>101</v>
      </c>
      <c r="C47" s="57" t="e">
        <f>#REF!/#REF!</f>
        <v>#REF!</v>
      </c>
      <c r="D47" s="57"/>
      <c r="E47" s="50" t="s">
        <v>102</v>
      </c>
      <c r="F47" s="50"/>
      <c r="G47" s="50"/>
      <c r="H47" s="50"/>
      <c r="I47" s="50"/>
      <c r="J47" s="50"/>
      <c r="K47" s="50"/>
      <c r="L47" s="50"/>
      <c r="M47" s="50"/>
    </row>
    <row r="48" ht="16.5" customHeight="1" spans="1:13">
      <c r="A48" s="52" t="s">
        <v>100</v>
      </c>
      <c r="B48" s="52" t="s">
        <v>103</v>
      </c>
      <c r="C48" s="57" t="e">
        <f>#REF!/#REF!</f>
        <v>#REF!</v>
      </c>
      <c r="D48" s="57"/>
      <c r="E48" s="50" t="s">
        <v>104</v>
      </c>
      <c r="F48" s="50"/>
      <c r="G48" s="50"/>
      <c r="H48" s="50"/>
      <c r="I48" s="50"/>
      <c r="J48" s="50"/>
      <c r="K48" s="50"/>
      <c r="L48" s="50"/>
      <c r="M48" s="50"/>
    </row>
    <row r="49" ht="16.5" customHeight="1" spans="1:13">
      <c r="A49" s="52" t="s">
        <v>100</v>
      </c>
      <c r="B49" s="52" t="s">
        <v>105</v>
      </c>
      <c r="C49" s="57" t="e">
        <f>#REF!/#REF!</f>
        <v>#REF!</v>
      </c>
      <c r="D49" s="57"/>
      <c r="E49" s="50" t="s">
        <v>106</v>
      </c>
      <c r="F49" s="50"/>
      <c r="G49" s="50"/>
      <c r="H49" s="50"/>
      <c r="I49" s="50"/>
      <c r="J49" s="50"/>
      <c r="K49" s="50"/>
      <c r="L49" s="50"/>
      <c r="M49" s="50"/>
    </row>
    <row r="50" ht="16.5" customHeight="1" spans="1:13">
      <c r="A50" s="52" t="s">
        <v>100</v>
      </c>
      <c r="B50" s="52" t="s">
        <v>107</v>
      </c>
      <c r="C50" s="57" t="e">
        <f>#REF!/#REF!</f>
        <v>#REF!</v>
      </c>
      <c r="D50" s="57"/>
      <c r="E50" s="50" t="s">
        <v>108</v>
      </c>
      <c r="F50" s="50"/>
      <c r="G50" s="50"/>
      <c r="H50" s="50"/>
      <c r="I50" s="50"/>
      <c r="J50" s="50"/>
      <c r="K50" s="50"/>
      <c r="L50" s="50"/>
      <c r="M50" s="50"/>
    </row>
    <row r="51" ht="16.5" customHeight="1" spans="1:13">
      <c r="A51" s="52" t="s">
        <v>100</v>
      </c>
      <c r="B51" s="52" t="s">
        <v>109</v>
      </c>
      <c r="C51" s="57" t="e">
        <f>#REF!/#REF!</f>
        <v>#REF!</v>
      </c>
      <c r="D51" s="57"/>
      <c r="E51" s="50" t="s">
        <v>110</v>
      </c>
      <c r="F51" s="50"/>
      <c r="G51" s="51"/>
      <c r="H51" s="51"/>
      <c r="I51" s="51"/>
      <c r="J51" s="51"/>
      <c r="K51" s="51"/>
      <c r="L51" s="51"/>
      <c r="M51" s="51"/>
    </row>
    <row r="52" ht="16.5" customHeight="1" spans="1:13">
      <c r="A52" s="52" t="s">
        <v>100</v>
      </c>
      <c r="B52" s="52" t="s">
        <v>111</v>
      </c>
      <c r="C52" s="57" t="e">
        <f>#REF!/#REF!</f>
        <v>#REF!</v>
      </c>
      <c r="D52" s="57"/>
      <c r="E52" s="50" t="s">
        <v>108</v>
      </c>
      <c r="F52" s="50"/>
      <c r="G52" s="50"/>
      <c r="H52" s="50"/>
      <c r="I52" s="50"/>
      <c r="J52" s="50"/>
      <c r="K52" s="50"/>
      <c r="L52" s="50"/>
      <c r="M52" s="50"/>
    </row>
    <row r="53" ht="16.5" customHeight="1" spans="1:13">
      <c r="A53" s="52" t="s">
        <v>100</v>
      </c>
      <c r="B53" s="52" t="s">
        <v>112</v>
      </c>
      <c r="C53" s="57" t="e">
        <f>#REF!/#REF!</f>
        <v>#REF!</v>
      </c>
      <c r="D53" s="57"/>
      <c r="E53" s="50" t="s">
        <v>113</v>
      </c>
      <c r="F53" s="50"/>
      <c r="G53" s="50"/>
      <c r="H53" s="50"/>
      <c r="I53" s="50"/>
      <c r="J53" s="50"/>
      <c r="K53" s="50"/>
      <c r="L53" s="50"/>
      <c r="M53" s="50"/>
    </row>
    <row r="54" ht="16.5" customHeight="1" spans="1:13">
      <c r="A54" s="52" t="s">
        <v>100</v>
      </c>
      <c r="B54" s="52" t="s">
        <v>114</v>
      </c>
      <c r="C54" s="57" t="e">
        <f>#REF!/#REF!</f>
        <v>#REF!</v>
      </c>
      <c r="D54" s="57"/>
      <c r="E54" s="50" t="s">
        <v>115</v>
      </c>
      <c r="F54" s="50"/>
      <c r="G54" s="51" t="s">
        <v>116</v>
      </c>
      <c r="H54" s="51" t="s">
        <v>117</v>
      </c>
      <c r="I54" s="50"/>
      <c r="J54" s="50"/>
      <c r="K54" s="50"/>
      <c r="L54" s="50"/>
      <c r="M54" s="50"/>
    </row>
    <row r="55" ht="16.5" customHeight="1" spans="1:13">
      <c r="A55" s="55"/>
      <c r="B55" s="55"/>
      <c r="C55" s="57"/>
      <c r="D55" s="57"/>
      <c r="E55" s="50"/>
      <c r="F55" s="50"/>
      <c r="G55" s="51"/>
      <c r="H55" s="51"/>
      <c r="I55" s="50"/>
      <c r="J55" s="50"/>
      <c r="K55" s="50"/>
      <c r="L55" s="50"/>
      <c r="M55" s="50"/>
    </row>
    <row r="56" ht="16.5" customHeight="1" spans="1:13">
      <c r="A56" s="52" t="s">
        <v>118</v>
      </c>
      <c r="B56" s="52" t="s">
        <v>119</v>
      </c>
      <c r="C56" s="57" t="e">
        <f>#REF!/#REF!</f>
        <v>#REF!</v>
      </c>
      <c r="D56" s="57"/>
      <c r="E56" s="50" t="s">
        <v>120</v>
      </c>
      <c r="F56" s="50"/>
      <c r="G56" s="50"/>
      <c r="H56" s="50"/>
      <c r="I56" s="50"/>
      <c r="J56" s="50"/>
      <c r="K56" s="50"/>
      <c r="L56" s="50"/>
      <c r="M56" s="50"/>
    </row>
    <row r="57" ht="16.5" customHeight="1" spans="1:13">
      <c r="A57" s="52" t="s">
        <v>118</v>
      </c>
      <c r="B57" s="52" t="s">
        <v>121</v>
      </c>
      <c r="C57" s="57" t="e">
        <f>#REF!/#REF!</f>
        <v>#REF!</v>
      </c>
      <c r="D57" s="57"/>
      <c r="E57" s="50" t="s">
        <v>122</v>
      </c>
      <c r="F57" s="50"/>
      <c r="G57" s="50"/>
      <c r="H57" s="50"/>
      <c r="I57" s="50"/>
      <c r="J57" s="50"/>
      <c r="K57" s="50"/>
      <c r="L57" s="50"/>
      <c r="M57" s="50"/>
    </row>
    <row r="58" ht="16.5" customHeight="1" spans="1:13">
      <c r="A58" s="58" t="s">
        <v>118</v>
      </c>
      <c r="B58" s="58" t="s">
        <v>123</v>
      </c>
      <c r="C58" s="57" t="e">
        <f>#REF!/#REF!</f>
        <v>#REF!</v>
      </c>
      <c r="D58" s="57"/>
      <c r="E58" s="50" t="s">
        <v>124</v>
      </c>
      <c r="F58" s="50"/>
      <c r="G58" s="50"/>
      <c r="H58" s="50"/>
      <c r="I58" s="50"/>
      <c r="J58" s="50"/>
      <c r="K58" s="50"/>
      <c r="L58" s="50"/>
      <c r="M58" s="50"/>
    </row>
    <row r="59" ht="16.5" customHeight="1" spans="1:13">
      <c r="A59" s="52" t="s">
        <v>118</v>
      </c>
      <c r="B59" s="52" t="s">
        <v>125</v>
      </c>
      <c r="C59" s="57" t="e">
        <f>#REF!/#REF!</f>
        <v>#REF!</v>
      </c>
      <c r="D59" s="57"/>
      <c r="E59" s="50" t="s">
        <v>126</v>
      </c>
      <c r="F59" s="50"/>
      <c r="G59" s="50"/>
      <c r="H59" s="50"/>
      <c r="I59" s="50"/>
      <c r="J59" s="50"/>
      <c r="K59" s="50"/>
      <c r="L59" s="50"/>
      <c r="M59" s="50"/>
    </row>
    <row r="60" ht="16.5" customHeight="1" spans="1:13">
      <c r="A60" s="52" t="s">
        <v>118</v>
      </c>
      <c r="B60" s="52" t="s">
        <v>127</v>
      </c>
      <c r="C60" s="57" t="e">
        <f>#REF!/#REF!</f>
        <v>#REF!</v>
      </c>
      <c r="D60" s="57"/>
      <c r="E60" s="50" t="s">
        <v>128</v>
      </c>
      <c r="F60" s="50"/>
      <c r="G60" s="50"/>
      <c r="H60" s="50"/>
      <c r="I60" s="50"/>
      <c r="J60" s="50"/>
      <c r="K60" s="50"/>
      <c r="L60" s="50"/>
      <c r="M60" s="50"/>
    </row>
    <row r="61" ht="16.5" customHeight="1" spans="1:13">
      <c r="A61" s="52" t="s">
        <v>118</v>
      </c>
      <c r="B61" s="52" t="s">
        <v>129</v>
      </c>
      <c r="C61" s="57" t="e">
        <f>#REF!/#REF!</f>
        <v>#REF!</v>
      </c>
      <c r="D61" s="57"/>
      <c r="E61" s="50" t="s">
        <v>130</v>
      </c>
      <c r="F61" s="50"/>
      <c r="G61" s="50"/>
      <c r="H61" s="50"/>
      <c r="I61" s="50"/>
      <c r="J61" s="50"/>
      <c r="K61" s="50"/>
      <c r="L61" s="50"/>
      <c r="M61" s="50"/>
    </row>
    <row r="62" ht="16.5" customHeight="1" spans="1:13">
      <c r="A62" s="52" t="s">
        <v>118</v>
      </c>
      <c r="B62" s="52" t="s">
        <v>131</v>
      </c>
      <c r="C62" s="57" t="e">
        <f>#REF!/#REF!</f>
        <v>#REF!</v>
      </c>
      <c r="D62" s="57"/>
      <c r="E62" s="50" t="s">
        <v>132</v>
      </c>
      <c r="F62" s="50"/>
      <c r="G62" s="50"/>
      <c r="H62" s="50"/>
      <c r="I62" s="50"/>
      <c r="J62" s="50"/>
      <c r="K62" s="50"/>
      <c r="L62" s="50"/>
      <c r="M62" s="50"/>
    </row>
    <row r="63" ht="16.5" customHeight="1" spans="1:13">
      <c r="A63" s="52" t="s">
        <v>118</v>
      </c>
      <c r="B63" s="59" t="s">
        <v>133</v>
      </c>
      <c r="C63" s="57" t="e">
        <f>#REF!/#REF!</f>
        <v>#REF!</v>
      </c>
      <c r="D63" s="57"/>
      <c r="E63" s="50" t="s">
        <v>134</v>
      </c>
      <c r="F63" s="50"/>
      <c r="G63" s="51"/>
      <c r="H63" s="51"/>
      <c r="I63" s="51"/>
      <c r="J63" s="51"/>
      <c r="K63" s="51"/>
      <c r="L63" s="51"/>
      <c r="M63" s="51"/>
    </row>
    <row r="64" ht="16.5" customHeight="1" spans="1:13">
      <c r="A64" s="52" t="s">
        <v>118</v>
      </c>
      <c r="B64" s="59" t="s">
        <v>135</v>
      </c>
      <c r="C64" s="57" t="e">
        <f>#REF!/#REF!</f>
        <v>#REF!</v>
      </c>
      <c r="D64" s="57"/>
      <c r="E64" s="50" t="s">
        <v>14</v>
      </c>
      <c r="F64" s="50"/>
      <c r="G64" s="51" t="s">
        <v>136</v>
      </c>
      <c r="H64" s="51" t="s">
        <v>137</v>
      </c>
      <c r="I64" s="51" t="s">
        <v>138</v>
      </c>
      <c r="J64" s="60" t="s">
        <v>139</v>
      </c>
      <c r="K64" s="51"/>
      <c r="L64" s="60"/>
      <c r="M64" s="51"/>
    </row>
    <row r="65" ht="16.5" customHeight="1" spans="1:13">
      <c r="A65" s="55"/>
      <c r="B65" s="55"/>
      <c r="C65" s="57" t="e">
        <f>#REF!/#REF!</f>
        <v>#REF!</v>
      </c>
      <c r="D65" s="57"/>
      <c r="E65" s="50"/>
      <c r="F65" s="50"/>
      <c r="G65" s="50"/>
      <c r="H65" s="50"/>
      <c r="I65" s="50"/>
      <c r="J65" s="50"/>
      <c r="K65" s="50"/>
      <c r="L65" s="50"/>
      <c r="M65" s="50"/>
    </row>
    <row r="66" ht="16.5" customHeight="1" spans="1:13">
      <c r="A66" s="52" t="s">
        <v>140</v>
      </c>
      <c r="B66" s="62" t="s">
        <v>141</v>
      </c>
      <c r="C66" s="57" t="e">
        <f>#REF!/#REF!</f>
        <v>#REF!</v>
      </c>
      <c r="D66" s="57"/>
      <c r="E66" s="50" t="s">
        <v>142</v>
      </c>
      <c r="F66" s="50"/>
      <c r="G66" s="50"/>
      <c r="H66" s="50"/>
      <c r="I66" s="50"/>
      <c r="J66" s="50"/>
      <c r="K66" s="50"/>
      <c r="L66" s="50"/>
      <c r="M66" s="50"/>
    </row>
    <row r="67" ht="16.5" customHeight="1" spans="1:13">
      <c r="A67" s="52" t="s">
        <v>140</v>
      </c>
      <c r="B67" s="62" t="s">
        <v>143</v>
      </c>
      <c r="C67" s="57" t="e">
        <f>#REF!/#REF!</f>
        <v>#REF!</v>
      </c>
      <c r="D67" s="57"/>
      <c r="E67" s="50" t="s">
        <v>144</v>
      </c>
      <c r="F67" s="50"/>
      <c r="G67" s="50"/>
      <c r="H67" s="50"/>
      <c r="I67" s="50"/>
      <c r="J67" s="50"/>
      <c r="K67" s="50"/>
      <c r="L67" s="50"/>
      <c r="M67" s="50"/>
    </row>
    <row r="68" ht="16.5" customHeight="1" spans="1:13">
      <c r="A68" s="52" t="s">
        <v>140</v>
      </c>
      <c r="B68" s="62" t="s">
        <v>145</v>
      </c>
      <c r="C68" s="57" t="e">
        <f>#REF!/#REF!</f>
        <v>#REF!</v>
      </c>
      <c r="D68" s="57"/>
      <c r="E68" s="50" t="s">
        <v>146</v>
      </c>
      <c r="F68" s="50"/>
      <c r="G68" s="50"/>
      <c r="H68" s="50"/>
      <c r="I68" s="50"/>
      <c r="J68" s="50"/>
      <c r="K68" s="50"/>
      <c r="L68" s="50"/>
      <c r="M68" s="50"/>
    </row>
    <row r="69" ht="16.5" customHeight="1" spans="1:13">
      <c r="A69" s="52" t="s">
        <v>140</v>
      </c>
      <c r="B69" s="62" t="s">
        <v>147</v>
      </c>
      <c r="C69" s="57" t="e">
        <f>#REF!/#REF!</f>
        <v>#REF!</v>
      </c>
      <c r="D69" s="57"/>
      <c r="E69" s="50" t="s">
        <v>148</v>
      </c>
      <c r="F69" s="50"/>
      <c r="G69" s="51"/>
      <c r="H69" s="51"/>
      <c r="I69" s="51"/>
      <c r="J69" s="51"/>
      <c r="K69" s="51"/>
      <c r="L69" s="51"/>
      <c r="M69" s="50"/>
    </row>
    <row r="70" ht="16.5" customHeight="1" spans="1:13">
      <c r="A70" s="52" t="s">
        <v>140</v>
      </c>
      <c r="B70" s="62" t="s">
        <v>149</v>
      </c>
      <c r="C70" s="57" t="e">
        <f>#REF!/#REF!</f>
        <v>#REF!</v>
      </c>
      <c r="D70" s="57"/>
      <c r="E70" s="50" t="s">
        <v>150</v>
      </c>
      <c r="F70" s="50"/>
      <c r="G70" s="50"/>
      <c r="H70" s="50"/>
      <c r="I70" s="50"/>
      <c r="J70" s="50"/>
      <c r="K70" s="50"/>
      <c r="L70" s="50"/>
      <c r="M70" s="50"/>
    </row>
    <row r="71" ht="16.5" customHeight="1" spans="1:13">
      <c r="A71" s="52" t="s">
        <v>140</v>
      </c>
      <c r="B71" s="62" t="s">
        <v>151</v>
      </c>
      <c r="C71" s="57" t="e">
        <f>#REF!/#REF!</f>
        <v>#REF!</v>
      </c>
      <c r="D71" s="57"/>
      <c r="E71" s="50" t="s">
        <v>152</v>
      </c>
      <c r="F71" s="50"/>
      <c r="G71" s="51" t="s">
        <v>153</v>
      </c>
      <c r="H71" s="50"/>
      <c r="I71" s="50"/>
      <c r="J71" s="50"/>
      <c r="K71" s="50"/>
      <c r="L71" s="50"/>
      <c r="M71" s="50"/>
    </row>
    <row r="72" ht="16.5" customHeight="1" spans="1:13">
      <c r="A72" s="55"/>
      <c r="B72" s="55"/>
      <c r="C72" s="57" t="e">
        <f>#REF!/#REF!</f>
        <v>#REF!</v>
      </c>
      <c r="D72" s="57"/>
      <c r="E72" s="50"/>
      <c r="F72" s="50"/>
      <c r="G72" s="50"/>
      <c r="H72" s="50"/>
      <c r="I72" s="50"/>
      <c r="J72" s="50"/>
      <c r="K72" s="50"/>
      <c r="L72" s="50"/>
      <c r="M72" s="50"/>
    </row>
    <row r="73" ht="16.5" customHeight="1" spans="1:13">
      <c r="A73" s="52" t="s">
        <v>154</v>
      </c>
      <c r="B73" s="62" t="s">
        <v>155</v>
      </c>
      <c r="C73" s="57" t="e">
        <f>#REF!/#REF!</f>
        <v>#REF!</v>
      </c>
      <c r="D73" s="57"/>
      <c r="E73" s="50" t="s">
        <v>156</v>
      </c>
      <c r="F73" s="50"/>
      <c r="G73" s="50"/>
      <c r="H73" s="50"/>
      <c r="I73" s="50"/>
      <c r="J73" s="50"/>
      <c r="K73" s="50"/>
      <c r="L73" s="50"/>
      <c r="M73" s="50"/>
    </row>
    <row r="74" ht="16.5" customHeight="1" spans="1:13">
      <c r="A74" s="52" t="s">
        <v>154</v>
      </c>
      <c r="B74" s="62" t="s">
        <v>157</v>
      </c>
      <c r="C74" s="57" t="e">
        <f>#REF!/#REF!</f>
        <v>#REF!</v>
      </c>
      <c r="D74" s="57"/>
      <c r="E74" s="50" t="s">
        <v>14</v>
      </c>
      <c r="F74" s="50"/>
      <c r="G74" s="51"/>
      <c r="H74" s="51"/>
      <c r="I74" s="50"/>
      <c r="J74" s="50"/>
      <c r="K74" s="50"/>
      <c r="L74" s="50"/>
      <c r="M74" s="50"/>
    </row>
    <row r="75" ht="16.5" customHeight="1" spans="1:13">
      <c r="A75" s="52" t="s">
        <v>154</v>
      </c>
      <c r="B75" s="62" t="s">
        <v>158</v>
      </c>
      <c r="C75" s="57" t="e">
        <f>#REF!/#REF!</f>
        <v>#REF!</v>
      </c>
      <c r="D75" s="57"/>
      <c r="E75" s="50" t="s">
        <v>14</v>
      </c>
      <c r="F75" s="50"/>
      <c r="G75" s="51" t="s">
        <v>159</v>
      </c>
      <c r="H75" s="51"/>
      <c r="I75" s="50"/>
      <c r="J75" s="50"/>
      <c r="K75" s="50"/>
      <c r="L75" s="50"/>
      <c r="M75" s="50"/>
    </row>
    <row r="76" ht="16.5" customHeight="1" spans="1:13">
      <c r="A76" s="55"/>
      <c r="B76" s="55"/>
      <c r="C76" s="57" t="e">
        <f>#REF!/#REF!</f>
        <v>#REF!</v>
      </c>
      <c r="D76" s="57"/>
      <c r="E76" s="50"/>
      <c r="F76" s="50"/>
      <c r="G76" s="50"/>
      <c r="H76" s="50"/>
      <c r="I76" s="50"/>
      <c r="J76" s="50"/>
      <c r="K76" s="50"/>
      <c r="L76" s="50"/>
      <c r="M76" s="50"/>
    </row>
    <row r="77" ht="16.5" customHeight="1" spans="1:13">
      <c r="A77" s="52" t="s">
        <v>160</v>
      </c>
      <c r="B77" s="62" t="s">
        <v>161</v>
      </c>
      <c r="C77" s="57" t="e">
        <f>#REF!/#REF!</f>
        <v>#REF!</v>
      </c>
      <c r="D77" s="57"/>
      <c r="E77" s="50" t="s">
        <v>162</v>
      </c>
      <c r="F77" s="50"/>
      <c r="G77" s="50"/>
      <c r="H77" s="50"/>
      <c r="I77" s="50"/>
      <c r="J77" s="50"/>
      <c r="K77" s="50"/>
      <c r="L77" s="50"/>
      <c r="M77" s="50"/>
    </row>
    <row r="78" ht="16.5" customHeight="1" spans="1:13">
      <c r="A78" s="52" t="s">
        <v>160</v>
      </c>
      <c r="B78" s="62" t="s">
        <v>163</v>
      </c>
      <c r="C78" s="57" t="e">
        <f>#REF!/#REF!</f>
        <v>#REF!</v>
      </c>
      <c r="D78" s="57"/>
      <c r="E78" s="50" t="s">
        <v>164</v>
      </c>
      <c r="F78" s="50"/>
      <c r="G78" s="50"/>
      <c r="H78" s="50"/>
      <c r="I78" s="50"/>
      <c r="J78" s="50"/>
      <c r="K78" s="50"/>
      <c r="L78" s="50"/>
      <c r="M78" s="50"/>
    </row>
    <row r="79" ht="16.5" customHeight="1" spans="1:13">
      <c r="A79" s="52"/>
      <c r="B79" s="62" t="s">
        <v>165</v>
      </c>
      <c r="C79" s="57" t="e">
        <f>#REF!/#REF!</f>
        <v>#REF!</v>
      </c>
      <c r="D79" s="57"/>
      <c r="E79" s="50" t="s">
        <v>166</v>
      </c>
      <c r="F79" s="50"/>
      <c r="G79" s="50"/>
      <c r="H79" s="50"/>
      <c r="I79" s="50"/>
      <c r="J79" s="50"/>
      <c r="K79" s="50"/>
      <c r="L79" s="50"/>
      <c r="M79" s="50"/>
    </row>
    <row r="80" ht="16.5" customHeight="1" spans="1:13">
      <c r="A80" s="52" t="s">
        <v>160</v>
      </c>
      <c r="B80" s="62" t="s">
        <v>167</v>
      </c>
      <c r="C80" s="57" t="e">
        <f>#REF!/#REF!</f>
        <v>#REF!</v>
      </c>
      <c r="D80" s="57"/>
      <c r="E80" s="50" t="s">
        <v>168</v>
      </c>
      <c r="F80" s="50"/>
      <c r="G80" s="50"/>
      <c r="H80" s="50"/>
      <c r="I80" s="50"/>
      <c r="J80" s="50"/>
      <c r="K80" s="50"/>
      <c r="L80" s="50"/>
      <c r="M80" s="50"/>
    </row>
    <row r="81" ht="16.5" customHeight="1" spans="1:13">
      <c r="A81" s="52" t="s">
        <v>160</v>
      </c>
      <c r="B81" s="62" t="s">
        <v>169</v>
      </c>
      <c r="C81" s="57" t="e">
        <f>#REF!/#REF!</f>
        <v>#REF!</v>
      </c>
      <c r="D81" s="57"/>
      <c r="E81" s="50" t="s">
        <v>170</v>
      </c>
      <c r="F81" s="50"/>
      <c r="G81" s="51"/>
      <c r="H81" s="51"/>
      <c r="I81" s="51"/>
      <c r="J81" s="51"/>
      <c r="K81" s="51"/>
      <c r="L81" s="51"/>
      <c r="M81" s="50"/>
    </row>
    <row r="82" ht="16.5" customHeight="1" spans="1:13">
      <c r="A82" s="52" t="s">
        <v>160</v>
      </c>
      <c r="B82" s="62" t="s">
        <v>171</v>
      </c>
      <c r="C82" s="57" t="e">
        <f>#REF!/#REF!</f>
        <v>#REF!</v>
      </c>
      <c r="D82" s="57"/>
      <c r="E82" s="50" t="s">
        <v>172</v>
      </c>
      <c r="F82" s="50"/>
      <c r="G82" s="51" t="s">
        <v>173</v>
      </c>
      <c r="H82" s="51" t="s">
        <v>174</v>
      </c>
      <c r="I82" s="50"/>
      <c r="J82" s="51"/>
      <c r="K82" s="60"/>
      <c r="L82" s="51"/>
      <c r="M82" s="50"/>
    </row>
    <row r="83" ht="16.5" customHeight="1" spans="1:13">
      <c r="A83" s="63"/>
      <c r="B83" s="63"/>
      <c r="C83" s="64" t="e">
        <f>#REF!/#REF!</f>
        <v>#REF!</v>
      </c>
      <c r="D83" s="64"/>
      <c r="E83" s="65"/>
      <c r="F83" s="65"/>
      <c r="G83" s="65"/>
      <c r="H83" s="65"/>
      <c r="I83" s="65"/>
      <c r="J83" s="65"/>
      <c r="K83" s="65"/>
      <c r="L83" s="65"/>
      <c r="M83" s="65"/>
    </row>
    <row r="84" ht="16.5" customHeight="1" spans="1:13">
      <c r="A84" s="50"/>
      <c r="B84" s="66" t="s">
        <v>175</v>
      </c>
      <c r="C84" s="64" t="e">
        <f>#REF!/#REF!</f>
        <v>#REF!</v>
      </c>
      <c r="D84" s="64"/>
      <c r="E84" s="65"/>
      <c r="F84" s="65"/>
      <c r="G84" s="65"/>
      <c r="H84" s="65"/>
      <c r="I84" s="65"/>
      <c r="J84" s="65"/>
      <c r="K84" s="65"/>
      <c r="L84" s="65"/>
      <c r="M84" s="65"/>
    </row>
    <row r="85" spans="2:2">
      <c r="B85" s="47" t="s">
        <v>176</v>
      </c>
    </row>
  </sheetData>
  <autoFilter ref="A2:B85">
    <extLst/>
  </autoFilter>
  <mergeCells count="2">
    <mergeCell ref="A1:M1"/>
    <mergeCell ref="G2:M2"/>
  </mergeCells>
  <pageMargins left="0.7" right="0.7" top="0.75" bottom="0.75" header="0.3" footer="0.3"/>
  <pageSetup paperSize="9" scale="34" orientation="landscape"/>
  <headerFooter/>
  <rowBreaks count="1" manualBreakCount="1">
    <brk id="35" max="30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0"/>
  <sheetViews>
    <sheetView tabSelected="1" zoomScale="115" zoomScaleNormal="115" workbookViewId="0">
      <pane xSplit="1" ySplit="1" topLeftCell="B47" activePane="bottomRight" state="frozen"/>
      <selection/>
      <selection pane="topRight"/>
      <selection pane="bottomLeft"/>
      <selection pane="bottomRight" activeCell="D24" sqref="D24"/>
    </sheetView>
  </sheetViews>
  <sheetFormatPr defaultColWidth="9" defaultRowHeight="13.5"/>
  <cols>
    <col min="1" max="1" width="18.25" customWidth="1"/>
    <col min="2" max="2" width="20.125" customWidth="1"/>
    <col min="11" max="11" width="14.875" customWidth="1"/>
  </cols>
  <sheetData>
    <row r="1" spans="1:11">
      <c r="A1" s="31" t="s">
        <v>4</v>
      </c>
      <c r="B1" s="31" t="s">
        <v>2</v>
      </c>
      <c r="C1" s="31" t="s">
        <v>1</v>
      </c>
      <c r="D1" s="31" t="s">
        <v>3</v>
      </c>
      <c r="E1" s="31" t="s">
        <v>5</v>
      </c>
      <c r="F1" s="31"/>
      <c r="G1" s="31"/>
      <c r="H1" s="31"/>
      <c r="I1" s="31"/>
      <c r="J1" s="31"/>
      <c r="K1" s="31"/>
    </row>
    <row r="2" spans="1:11">
      <c r="A2" s="32" t="s">
        <v>177</v>
      </c>
      <c r="B2" s="33" t="s">
        <v>7</v>
      </c>
      <c r="C2" s="32" t="s">
        <v>6</v>
      </c>
      <c r="D2" s="32" t="str">
        <f>VLOOKUP(B2,'任命令模块-模主'!B:C,2,0)</f>
        <v>丛峻</v>
      </c>
      <c r="E2" s="31"/>
      <c r="F2" s="31"/>
      <c r="G2" s="31"/>
      <c r="H2" s="31"/>
      <c r="I2" s="31"/>
      <c r="J2" s="31"/>
      <c r="K2" s="31"/>
    </row>
    <row r="3" spans="1:11">
      <c r="A3" s="33" t="s">
        <v>178</v>
      </c>
      <c r="B3" s="33" t="s">
        <v>7</v>
      </c>
      <c r="C3" s="32" t="s">
        <v>6</v>
      </c>
      <c r="D3" s="32" t="s">
        <v>8</v>
      </c>
      <c r="E3" s="31"/>
      <c r="F3" s="31"/>
      <c r="G3" s="31"/>
      <c r="H3" s="31"/>
      <c r="I3" s="31"/>
      <c r="J3" s="31"/>
      <c r="K3" s="31"/>
    </row>
    <row r="4" spans="1:11">
      <c r="A4" s="32" t="s">
        <v>179</v>
      </c>
      <c r="B4" s="32" t="s">
        <v>9</v>
      </c>
      <c r="C4" s="32" t="s">
        <v>6</v>
      </c>
      <c r="D4" s="32" t="s">
        <v>10</v>
      </c>
      <c r="E4" s="31"/>
      <c r="F4" s="31"/>
      <c r="G4" s="31"/>
      <c r="H4" s="31"/>
      <c r="I4" s="31"/>
      <c r="J4" s="31"/>
      <c r="K4" s="31"/>
    </row>
    <row r="5" spans="1:11">
      <c r="A5" s="32" t="s">
        <v>180</v>
      </c>
      <c r="B5" s="32" t="s">
        <v>9</v>
      </c>
      <c r="C5" s="32" t="s">
        <v>6</v>
      </c>
      <c r="D5" s="32" t="s">
        <v>10</v>
      </c>
      <c r="E5" s="31"/>
      <c r="F5" s="31"/>
      <c r="G5" s="31"/>
      <c r="H5" s="31"/>
      <c r="I5" s="31"/>
      <c r="J5" s="31"/>
      <c r="K5" s="31"/>
    </row>
    <row r="6" spans="1:11">
      <c r="A6" s="33" t="s">
        <v>181</v>
      </c>
      <c r="B6" s="33" t="s">
        <v>11</v>
      </c>
      <c r="C6" s="32" t="s">
        <v>6</v>
      </c>
      <c r="D6" s="32" t="s">
        <v>12</v>
      </c>
      <c r="E6" s="31"/>
      <c r="F6" s="31"/>
      <c r="G6" s="31"/>
      <c r="H6" s="31"/>
      <c r="I6" s="31"/>
      <c r="J6" s="31"/>
      <c r="K6" s="31"/>
    </row>
    <row r="7" spans="1:11">
      <c r="A7" s="33" t="s">
        <v>182</v>
      </c>
      <c r="B7" s="32" t="s">
        <v>13</v>
      </c>
      <c r="C7" s="32" t="s">
        <v>6</v>
      </c>
      <c r="D7" s="32" t="s">
        <v>183</v>
      </c>
      <c r="E7" s="31"/>
      <c r="F7" s="31"/>
      <c r="G7" s="31"/>
      <c r="H7" s="31"/>
      <c r="I7" s="31"/>
      <c r="J7" s="31"/>
      <c r="K7" s="31"/>
    </row>
    <row r="8" spans="1:11">
      <c r="A8" s="33" t="s">
        <v>184</v>
      </c>
      <c r="B8" s="32" t="s">
        <v>15</v>
      </c>
      <c r="C8" s="32" t="s">
        <v>6</v>
      </c>
      <c r="D8" s="32" t="s">
        <v>110</v>
      </c>
      <c r="E8" s="31"/>
      <c r="F8" s="31"/>
      <c r="G8" s="31"/>
      <c r="H8" s="31"/>
      <c r="I8" s="31"/>
      <c r="J8" s="31"/>
      <c r="K8" s="31"/>
    </row>
    <row r="9" spans="1:11">
      <c r="A9" s="32" t="s">
        <v>185</v>
      </c>
      <c r="B9" s="33" t="s">
        <v>16</v>
      </c>
      <c r="C9" s="32" t="s">
        <v>6</v>
      </c>
      <c r="D9" s="32" t="s">
        <v>17</v>
      </c>
      <c r="E9" s="31"/>
      <c r="F9" s="31"/>
      <c r="G9" s="31"/>
      <c r="H9" s="31"/>
      <c r="I9" s="31"/>
      <c r="J9" s="31"/>
      <c r="K9" s="31"/>
    </row>
    <row r="10" spans="1:11">
      <c r="A10" s="32" t="s">
        <v>186</v>
      </c>
      <c r="B10" s="33" t="s">
        <v>18</v>
      </c>
      <c r="C10" s="32" t="s">
        <v>6</v>
      </c>
      <c r="D10" s="32" t="s">
        <v>19</v>
      </c>
      <c r="E10" s="31"/>
      <c r="F10" s="31"/>
      <c r="G10" s="31"/>
      <c r="H10" s="31"/>
      <c r="I10" s="31"/>
      <c r="J10" s="31"/>
      <c r="K10" s="31"/>
    </row>
    <row r="11" spans="1:11">
      <c r="A11" s="32" t="s">
        <v>187</v>
      </c>
      <c r="B11" s="33" t="s">
        <v>18</v>
      </c>
      <c r="C11" s="32" t="s">
        <v>6</v>
      </c>
      <c r="D11" s="32" t="s">
        <v>19</v>
      </c>
      <c r="E11" s="31"/>
      <c r="F11" s="31"/>
      <c r="G11" s="31"/>
      <c r="H11" s="31"/>
      <c r="I11" s="31"/>
      <c r="J11" s="31"/>
      <c r="K11" s="31"/>
    </row>
    <row r="12" spans="1:11">
      <c r="A12" s="33" t="s">
        <v>188</v>
      </c>
      <c r="B12" s="33" t="s">
        <v>18</v>
      </c>
      <c r="C12" s="32" t="s">
        <v>6</v>
      </c>
      <c r="D12" s="32" t="s">
        <v>19</v>
      </c>
      <c r="E12" s="31"/>
      <c r="F12" s="31"/>
      <c r="G12" s="31"/>
      <c r="H12" s="31"/>
      <c r="I12" s="31"/>
      <c r="J12" s="31"/>
      <c r="K12" s="31"/>
    </row>
    <row r="13" spans="1:11">
      <c r="A13" s="33" t="s">
        <v>189</v>
      </c>
      <c r="B13" s="33" t="s">
        <v>18</v>
      </c>
      <c r="C13" s="32" t="s">
        <v>6</v>
      </c>
      <c r="D13" s="32" t="s">
        <v>19</v>
      </c>
      <c r="E13" s="31"/>
      <c r="F13" s="31"/>
      <c r="G13" s="31"/>
      <c r="H13" s="31"/>
      <c r="I13" s="31"/>
      <c r="J13" s="31"/>
      <c r="K13" s="31"/>
    </row>
    <row r="14" spans="1:11">
      <c r="A14" s="33" t="s">
        <v>190</v>
      </c>
      <c r="B14" s="33" t="s">
        <v>18</v>
      </c>
      <c r="C14" s="32" t="s">
        <v>6</v>
      </c>
      <c r="D14" s="32" t="s">
        <v>19</v>
      </c>
      <c r="E14" s="31"/>
      <c r="F14" s="31"/>
      <c r="G14" s="31"/>
      <c r="H14" s="31"/>
      <c r="I14" s="31"/>
      <c r="J14" s="31"/>
      <c r="K14" s="31"/>
    </row>
    <row r="15" spans="1:11">
      <c r="A15" s="33" t="s">
        <v>191</v>
      </c>
      <c r="B15" s="32" t="s">
        <v>20</v>
      </c>
      <c r="C15" s="32" t="s">
        <v>6</v>
      </c>
      <c r="D15" s="32" t="s">
        <v>21</v>
      </c>
      <c r="E15" s="31"/>
      <c r="F15" s="31"/>
      <c r="G15" s="31"/>
      <c r="H15" s="31"/>
      <c r="I15" s="31"/>
      <c r="J15" s="31"/>
      <c r="K15" s="31"/>
    </row>
    <row r="16" spans="1:11">
      <c r="A16" s="33" t="s">
        <v>192</v>
      </c>
      <c r="B16" s="32" t="s">
        <v>20</v>
      </c>
      <c r="C16" s="32" t="s">
        <v>6</v>
      </c>
      <c r="D16" s="32" t="s">
        <v>21</v>
      </c>
      <c r="E16" s="31"/>
      <c r="F16" s="31"/>
      <c r="G16" s="31"/>
      <c r="H16" s="31"/>
      <c r="I16" s="31"/>
      <c r="J16" s="31"/>
      <c r="K16" s="31"/>
    </row>
    <row r="17" spans="1:11">
      <c r="A17" s="33" t="s">
        <v>193</v>
      </c>
      <c r="B17" s="32" t="s">
        <v>22</v>
      </c>
      <c r="C17" s="32" t="s">
        <v>6</v>
      </c>
      <c r="D17" s="32" t="s">
        <v>14</v>
      </c>
      <c r="E17" s="31" t="s">
        <v>194</v>
      </c>
      <c r="F17" s="31"/>
      <c r="G17" s="31"/>
      <c r="H17" s="31"/>
      <c r="I17" s="31"/>
      <c r="J17" s="31"/>
      <c r="K17" s="31"/>
    </row>
    <row r="18" spans="1:11">
      <c r="A18" s="33" t="s">
        <v>195</v>
      </c>
      <c r="B18" s="32" t="s">
        <v>24</v>
      </c>
      <c r="C18" s="32" t="s">
        <v>6</v>
      </c>
      <c r="D18" s="32" t="s">
        <v>196</v>
      </c>
      <c r="E18" s="31" t="s">
        <v>25</v>
      </c>
      <c r="F18" s="31" t="s">
        <v>26</v>
      </c>
      <c r="G18" s="31" t="s">
        <v>27</v>
      </c>
      <c r="H18" s="31" t="s">
        <v>28</v>
      </c>
      <c r="I18" s="31" t="s">
        <v>29</v>
      </c>
      <c r="J18" s="31" t="s">
        <v>30</v>
      </c>
      <c r="K18" s="31" t="s">
        <v>31</v>
      </c>
    </row>
    <row r="19" spans="1:11">
      <c r="A19" s="31" t="s">
        <v>197</v>
      </c>
      <c r="B19" s="34" t="s">
        <v>33</v>
      </c>
      <c r="C19" s="31" t="s">
        <v>32</v>
      </c>
      <c r="D19" s="31" t="s">
        <v>34</v>
      </c>
      <c r="E19" s="31"/>
      <c r="F19" s="31"/>
      <c r="G19" s="31"/>
      <c r="H19" s="31"/>
      <c r="I19" s="31"/>
      <c r="J19" s="31"/>
      <c r="K19" s="31"/>
    </row>
    <row r="20" spans="1:11">
      <c r="A20" s="34" t="s">
        <v>198</v>
      </c>
      <c r="B20" s="34" t="s">
        <v>33</v>
      </c>
      <c r="C20" s="31" t="s">
        <v>32</v>
      </c>
      <c r="D20" s="31" t="s">
        <v>34</v>
      </c>
      <c r="E20" s="31"/>
      <c r="F20" s="31"/>
      <c r="G20" s="31"/>
      <c r="H20" s="31"/>
      <c r="I20" s="31"/>
      <c r="J20" s="31"/>
      <c r="K20" s="31"/>
    </row>
    <row r="21" spans="1:11">
      <c r="A21" s="31" t="s">
        <v>199</v>
      </c>
      <c r="B21" s="31" t="s">
        <v>33</v>
      </c>
      <c r="C21" s="31" t="s">
        <v>32</v>
      </c>
      <c r="D21" s="31" t="s">
        <v>34</v>
      </c>
      <c r="E21" s="31"/>
      <c r="F21" s="31"/>
      <c r="G21" s="31"/>
      <c r="H21" s="31"/>
      <c r="I21" s="31"/>
      <c r="J21" s="31"/>
      <c r="K21" s="31"/>
    </row>
    <row r="22" spans="1:11">
      <c r="A22" s="31" t="s">
        <v>200</v>
      </c>
      <c r="B22" s="31" t="s">
        <v>33</v>
      </c>
      <c r="C22" s="31" t="s">
        <v>32</v>
      </c>
      <c r="D22" s="31" t="s">
        <v>34</v>
      </c>
      <c r="E22" s="31"/>
      <c r="F22" s="31"/>
      <c r="G22" s="31"/>
      <c r="H22" s="31"/>
      <c r="I22" s="31"/>
      <c r="J22" s="31"/>
      <c r="K22" s="31"/>
    </row>
    <row r="23" spans="1:11">
      <c r="A23" s="34" t="s">
        <v>201</v>
      </c>
      <c r="B23" s="31" t="s">
        <v>35</v>
      </c>
      <c r="C23" s="31" t="s">
        <v>32</v>
      </c>
      <c r="D23" s="31" t="s">
        <v>38</v>
      </c>
      <c r="E23" s="31"/>
      <c r="F23" s="31"/>
      <c r="G23" s="31"/>
      <c r="H23" s="31"/>
      <c r="I23" s="31"/>
      <c r="J23" s="31"/>
      <c r="K23" s="31"/>
    </row>
    <row r="24" spans="1:11">
      <c r="A24" s="34" t="s">
        <v>202</v>
      </c>
      <c r="B24" s="31" t="s">
        <v>37</v>
      </c>
      <c r="C24" s="31" t="s">
        <v>32</v>
      </c>
      <c r="D24" s="31" t="s">
        <v>36</v>
      </c>
      <c r="E24" s="31"/>
      <c r="F24" s="31"/>
      <c r="G24" s="31"/>
      <c r="H24" s="31"/>
      <c r="I24" s="31"/>
      <c r="J24" s="31"/>
      <c r="K24" s="31"/>
    </row>
    <row r="25" spans="1:11">
      <c r="A25" s="34" t="s">
        <v>203</v>
      </c>
      <c r="B25" s="31" t="s">
        <v>35</v>
      </c>
      <c r="C25" s="31" t="s">
        <v>32</v>
      </c>
      <c r="D25" s="31" t="s">
        <v>38</v>
      </c>
      <c r="E25" s="31"/>
      <c r="F25" s="31"/>
      <c r="G25" s="31"/>
      <c r="H25" s="31"/>
      <c r="I25" s="31"/>
      <c r="J25" s="31"/>
      <c r="K25" s="31"/>
    </row>
    <row r="26" spans="1:11">
      <c r="A26" s="31" t="s">
        <v>39</v>
      </c>
      <c r="B26" s="31" t="s">
        <v>39</v>
      </c>
      <c r="C26" s="31" t="s">
        <v>32</v>
      </c>
      <c r="D26" s="31" t="s">
        <v>40</v>
      </c>
      <c r="E26" s="31"/>
      <c r="F26" s="31"/>
      <c r="G26" s="31"/>
      <c r="H26" s="31"/>
      <c r="I26" s="31"/>
      <c r="J26" s="31"/>
      <c r="K26" s="31"/>
    </row>
    <row r="27" spans="1:11">
      <c r="A27" s="34" t="s">
        <v>92</v>
      </c>
      <c r="B27" s="31" t="s">
        <v>39</v>
      </c>
      <c r="C27" s="31" t="s">
        <v>32</v>
      </c>
      <c r="D27" s="31" t="s">
        <v>40</v>
      </c>
      <c r="E27" s="31"/>
      <c r="F27" s="31"/>
      <c r="G27" s="31"/>
      <c r="H27" s="31"/>
      <c r="I27" s="31"/>
      <c r="J27" s="31"/>
      <c r="K27" s="31"/>
    </row>
    <row r="28" spans="1:11">
      <c r="A28" s="34" t="s">
        <v>204</v>
      </c>
      <c r="B28" s="31" t="s">
        <v>39</v>
      </c>
      <c r="C28" s="31" t="s">
        <v>32</v>
      </c>
      <c r="D28" s="31" t="s">
        <v>40</v>
      </c>
      <c r="E28" s="31"/>
      <c r="F28" s="31"/>
      <c r="G28" s="31"/>
      <c r="H28" s="31"/>
      <c r="I28" s="31"/>
      <c r="J28" s="31"/>
      <c r="K28" s="31"/>
    </row>
    <row r="29" spans="1:11">
      <c r="A29" s="34" t="s">
        <v>205</v>
      </c>
      <c r="B29" s="31" t="s">
        <v>39</v>
      </c>
      <c r="C29" s="31" t="s">
        <v>32</v>
      </c>
      <c r="D29" s="31" t="s">
        <v>40</v>
      </c>
      <c r="E29" s="31"/>
      <c r="F29" s="31"/>
      <c r="G29" s="31"/>
      <c r="H29" s="31"/>
      <c r="I29" s="31"/>
      <c r="J29" s="31"/>
      <c r="K29" s="31"/>
    </row>
    <row r="30" spans="1:11">
      <c r="A30" s="34" t="s">
        <v>90</v>
      </c>
      <c r="B30" s="31" t="s">
        <v>39</v>
      </c>
      <c r="C30" s="31" t="s">
        <v>32</v>
      </c>
      <c r="D30" s="31" t="s">
        <v>40</v>
      </c>
      <c r="E30" s="31"/>
      <c r="F30" s="31"/>
      <c r="G30" s="31"/>
      <c r="H30" s="31"/>
      <c r="I30" s="31"/>
      <c r="J30" s="31"/>
      <c r="K30" s="31"/>
    </row>
    <row r="31" spans="1:11">
      <c r="A31" s="31" t="s">
        <v>41</v>
      </c>
      <c r="B31" s="31" t="s">
        <v>41</v>
      </c>
      <c r="C31" s="31" t="s">
        <v>32</v>
      </c>
      <c r="D31" s="31" t="s">
        <v>42</v>
      </c>
      <c r="E31" s="31"/>
      <c r="F31" s="31"/>
      <c r="G31" s="31"/>
      <c r="H31" s="31"/>
      <c r="I31" s="31"/>
      <c r="J31" s="31"/>
      <c r="K31" s="31"/>
    </row>
    <row r="32" spans="1:11">
      <c r="A32" s="31" t="s">
        <v>206</v>
      </c>
      <c r="B32" s="31" t="s">
        <v>43</v>
      </c>
      <c r="C32" s="31" t="s">
        <v>32</v>
      </c>
      <c r="D32" s="31" t="s">
        <v>14</v>
      </c>
      <c r="E32" s="31" t="s">
        <v>207</v>
      </c>
      <c r="F32" s="31"/>
      <c r="G32" s="31"/>
      <c r="H32" s="31"/>
      <c r="I32" s="31"/>
      <c r="J32" s="31"/>
      <c r="K32" s="31"/>
    </row>
    <row r="33" spans="1:11">
      <c r="A33" s="31" t="s">
        <v>208</v>
      </c>
      <c r="B33" s="31" t="s">
        <v>43</v>
      </c>
      <c r="C33" s="31" t="s">
        <v>32</v>
      </c>
      <c r="D33" s="31" t="s">
        <v>14</v>
      </c>
      <c r="E33" s="31"/>
      <c r="F33" s="31"/>
      <c r="G33" s="31"/>
      <c r="H33" s="31"/>
      <c r="I33" s="31"/>
      <c r="J33" s="31"/>
      <c r="K33" s="31"/>
    </row>
    <row r="34" spans="1:11">
      <c r="A34" s="31" t="s">
        <v>209</v>
      </c>
      <c r="B34" s="31" t="s">
        <v>43</v>
      </c>
      <c r="C34" s="31" t="s">
        <v>32</v>
      </c>
      <c r="D34" s="31" t="s">
        <v>14</v>
      </c>
      <c r="E34" s="31"/>
      <c r="F34" s="31"/>
      <c r="G34" s="31"/>
      <c r="H34" s="31"/>
      <c r="I34" s="31"/>
      <c r="J34" s="31"/>
      <c r="K34" s="31"/>
    </row>
    <row r="35" spans="1:11">
      <c r="A35" s="31" t="s">
        <v>210</v>
      </c>
      <c r="B35" s="31" t="s">
        <v>43</v>
      </c>
      <c r="C35" s="31" t="s">
        <v>32</v>
      </c>
      <c r="D35" s="31" t="s">
        <v>14</v>
      </c>
      <c r="E35" s="31"/>
      <c r="F35" s="31"/>
      <c r="G35" s="31"/>
      <c r="H35" s="31"/>
      <c r="I35" s="31"/>
      <c r="J35" s="31"/>
      <c r="K35" s="31"/>
    </row>
    <row r="36" spans="1:11">
      <c r="A36" s="31" t="s">
        <v>211</v>
      </c>
      <c r="B36" s="31" t="s">
        <v>43</v>
      </c>
      <c r="C36" s="31" t="s">
        <v>32</v>
      </c>
      <c r="D36" s="31" t="s">
        <v>14</v>
      </c>
      <c r="E36" s="31"/>
      <c r="F36" s="31"/>
      <c r="G36" s="31"/>
      <c r="H36" s="31"/>
      <c r="I36" s="31"/>
      <c r="J36" s="31"/>
      <c r="K36" s="31"/>
    </row>
    <row r="37" spans="1:11">
      <c r="A37" s="31" t="s">
        <v>212</v>
      </c>
      <c r="B37" s="31" t="s">
        <v>43</v>
      </c>
      <c r="C37" s="31" t="s">
        <v>32</v>
      </c>
      <c r="D37" s="31" t="s">
        <v>14</v>
      </c>
      <c r="E37" s="31"/>
      <c r="F37" s="31"/>
      <c r="G37" s="31"/>
      <c r="H37" s="31"/>
      <c r="I37" s="31"/>
      <c r="J37" s="31"/>
      <c r="K37" s="31"/>
    </row>
    <row r="38" spans="1:11">
      <c r="A38" s="31" t="s">
        <v>213</v>
      </c>
      <c r="B38" s="31" t="s">
        <v>43</v>
      </c>
      <c r="C38" s="31" t="s">
        <v>32</v>
      </c>
      <c r="D38" s="31" t="s">
        <v>14</v>
      </c>
      <c r="E38" s="31"/>
      <c r="F38" s="31"/>
      <c r="G38" s="31"/>
      <c r="H38" s="31"/>
      <c r="I38" s="31"/>
      <c r="J38" s="31"/>
      <c r="K38" s="31"/>
    </row>
    <row r="39" spans="1:11">
      <c r="A39" s="31" t="s">
        <v>214</v>
      </c>
      <c r="B39" s="31" t="s">
        <v>43</v>
      </c>
      <c r="C39" s="31" t="s">
        <v>32</v>
      </c>
      <c r="D39" s="31" t="s">
        <v>14</v>
      </c>
      <c r="E39" s="31"/>
      <c r="F39" s="31"/>
      <c r="G39" s="31"/>
      <c r="H39" s="31"/>
      <c r="I39" s="31"/>
      <c r="J39" s="31"/>
      <c r="K39" s="31"/>
    </row>
    <row r="40" spans="1:11">
      <c r="A40" s="34" t="s">
        <v>44</v>
      </c>
      <c r="B40" s="31" t="s">
        <v>44</v>
      </c>
      <c r="C40" s="31" t="s">
        <v>32</v>
      </c>
      <c r="D40" s="31" t="s">
        <v>45</v>
      </c>
      <c r="E40" s="31"/>
      <c r="F40" s="31"/>
      <c r="G40" s="31"/>
      <c r="H40" s="31"/>
      <c r="I40" s="31"/>
      <c r="J40" s="31"/>
      <c r="K40" s="31"/>
    </row>
    <row r="41" spans="1:11">
      <c r="A41" s="34" t="s">
        <v>46</v>
      </c>
      <c r="B41" s="31" t="s">
        <v>46</v>
      </c>
      <c r="C41" s="31" t="s">
        <v>32</v>
      </c>
      <c r="D41" s="31" t="s">
        <v>47</v>
      </c>
      <c r="E41" s="31"/>
      <c r="F41" s="31"/>
      <c r="G41" s="31"/>
      <c r="H41" s="31"/>
      <c r="I41" s="31"/>
      <c r="J41" s="31"/>
      <c r="K41" s="31"/>
    </row>
    <row r="42" spans="1:11">
      <c r="A42" s="34" t="s">
        <v>215</v>
      </c>
      <c r="B42" s="31" t="s">
        <v>46</v>
      </c>
      <c r="C42" s="31" t="s">
        <v>32</v>
      </c>
      <c r="D42" s="31" t="s">
        <v>47</v>
      </c>
      <c r="E42" s="31"/>
      <c r="F42" s="31"/>
      <c r="G42" s="31"/>
      <c r="H42" s="31"/>
      <c r="I42" s="31"/>
      <c r="J42" s="31"/>
      <c r="K42" s="31"/>
    </row>
    <row r="43" spans="1:11">
      <c r="A43" s="34" t="s">
        <v>216</v>
      </c>
      <c r="B43" s="31" t="s">
        <v>46</v>
      </c>
      <c r="C43" s="31" t="s">
        <v>32</v>
      </c>
      <c r="D43" s="31" t="s">
        <v>47</v>
      </c>
      <c r="E43" s="31"/>
      <c r="F43" s="31"/>
      <c r="G43" s="31"/>
      <c r="H43" s="31"/>
      <c r="I43" s="31"/>
      <c r="J43" s="31"/>
      <c r="K43" s="31"/>
    </row>
    <row r="44" spans="1:11">
      <c r="A44" s="34" t="s">
        <v>217</v>
      </c>
      <c r="B44" s="31" t="s">
        <v>46</v>
      </c>
      <c r="C44" s="31" t="s">
        <v>32</v>
      </c>
      <c r="D44" s="31" t="s">
        <v>47</v>
      </c>
      <c r="E44" s="31"/>
      <c r="F44" s="31"/>
      <c r="G44" s="31"/>
      <c r="H44" s="31"/>
      <c r="I44" s="31"/>
      <c r="J44" s="31"/>
      <c r="K44" s="31"/>
    </row>
    <row r="45" spans="1:11">
      <c r="A45" s="34" t="s">
        <v>218</v>
      </c>
      <c r="B45" s="31" t="s">
        <v>46</v>
      </c>
      <c r="C45" s="31" t="s">
        <v>32</v>
      </c>
      <c r="D45" s="31" t="s">
        <v>47</v>
      </c>
      <c r="E45" s="31"/>
      <c r="F45" s="31"/>
      <c r="G45" s="31"/>
      <c r="H45" s="31"/>
      <c r="I45" s="31"/>
      <c r="J45" s="31"/>
      <c r="K45" s="31"/>
    </row>
    <row r="46" spans="1:11">
      <c r="A46" s="34" t="s">
        <v>219</v>
      </c>
      <c r="B46" s="31" t="s">
        <v>48</v>
      </c>
      <c r="C46" s="31" t="s">
        <v>32</v>
      </c>
      <c r="D46" s="31" t="s">
        <v>220</v>
      </c>
      <c r="E46" s="31"/>
      <c r="F46" s="31"/>
      <c r="G46" s="31"/>
      <c r="H46" s="31"/>
      <c r="I46" s="31"/>
      <c r="J46" s="31"/>
      <c r="K46" s="31"/>
    </row>
    <row r="47" spans="1:11">
      <c r="A47" s="34" t="s">
        <v>221</v>
      </c>
      <c r="B47" s="31" t="s">
        <v>48</v>
      </c>
      <c r="C47" s="31" t="s">
        <v>32</v>
      </c>
      <c r="D47" s="31" t="s">
        <v>220</v>
      </c>
      <c r="E47" s="31" t="s">
        <v>49</v>
      </c>
      <c r="F47" s="31" t="s">
        <v>50</v>
      </c>
      <c r="G47" s="31" t="s">
        <v>51</v>
      </c>
      <c r="H47" s="31"/>
      <c r="I47" s="31"/>
      <c r="J47" s="31"/>
      <c r="K47" s="31"/>
    </row>
    <row r="48" spans="1:11">
      <c r="A48" s="34" t="s">
        <v>222</v>
      </c>
      <c r="B48" s="31" t="s">
        <v>48</v>
      </c>
      <c r="C48" s="31" t="s">
        <v>32</v>
      </c>
      <c r="D48" s="31" t="s">
        <v>220</v>
      </c>
      <c r="E48" s="31"/>
      <c r="F48" s="31"/>
      <c r="G48" s="31"/>
      <c r="H48" s="31"/>
      <c r="I48" s="31"/>
      <c r="J48" s="31"/>
      <c r="K48" s="31"/>
    </row>
    <row r="49" spans="1:11">
      <c r="A49" s="34" t="s">
        <v>223</v>
      </c>
      <c r="B49" s="31" t="s">
        <v>48</v>
      </c>
      <c r="C49" s="31" t="s">
        <v>32</v>
      </c>
      <c r="D49" s="31" t="s">
        <v>220</v>
      </c>
      <c r="E49" s="31"/>
      <c r="F49" s="31"/>
      <c r="G49" s="31"/>
      <c r="H49" s="31"/>
      <c r="I49" s="31"/>
      <c r="J49" s="31"/>
      <c r="K49" s="31"/>
    </row>
    <row r="50" spans="1:11">
      <c r="A50" s="35" t="s">
        <v>224</v>
      </c>
      <c r="B50" s="36" t="s">
        <v>53</v>
      </c>
      <c r="C50" s="36" t="s">
        <v>52</v>
      </c>
      <c r="D50" s="36" t="s">
        <v>54</v>
      </c>
      <c r="E50" s="31"/>
      <c r="F50" s="31"/>
      <c r="G50" s="31"/>
      <c r="H50" s="31"/>
      <c r="I50" s="31"/>
      <c r="J50" s="31"/>
      <c r="K50" s="31"/>
    </row>
    <row r="51" spans="1:11">
      <c r="A51" s="36" t="s">
        <v>225</v>
      </c>
      <c r="B51" s="36" t="s">
        <v>55</v>
      </c>
      <c r="C51" s="36" t="s">
        <v>52</v>
      </c>
      <c r="D51" s="36" t="s">
        <v>56</v>
      </c>
      <c r="E51" s="31"/>
      <c r="F51" s="31"/>
      <c r="G51" s="31"/>
      <c r="H51" s="31"/>
      <c r="I51" s="31"/>
      <c r="J51" s="31"/>
      <c r="K51" s="31"/>
    </row>
    <row r="52" spans="1:11">
      <c r="A52" s="35" t="s">
        <v>226</v>
      </c>
      <c r="B52" s="36" t="s">
        <v>55</v>
      </c>
      <c r="C52" s="36" t="s">
        <v>52</v>
      </c>
      <c r="D52" s="36" t="s">
        <v>56</v>
      </c>
      <c r="E52" s="31"/>
      <c r="F52" s="31"/>
      <c r="G52" s="31"/>
      <c r="H52" s="31"/>
      <c r="I52" s="31"/>
      <c r="J52" s="31"/>
      <c r="K52" s="31"/>
    </row>
    <row r="53" spans="1:11">
      <c r="A53" s="36" t="s">
        <v>227</v>
      </c>
      <c r="B53" s="36" t="s">
        <v>55</v>
      </c>
      <c r="C53" s="36" t="s">
        <v>52</v>
      </c>
      <c r="D53" s="36" t="s">
        <v>56</v>
      </c>
      <c r="E53" s="31"/>
      <c r="F53" s="31"/>
      <c r="G53" s="31"/>
      <c r="H53" s="31"/>
      <c r="I53" s="31"/>
      <c r="J53" s="31"/>
      <c r="K53" s="31"/>
    </row>
    <row r="54" spans="1:11">
      <c r="A54" s="36" t="s">
        <v>228</v>
      </c>
      <c r="B54" s="36" t="s">
        <v>55</v>
      </c>
      <c r="C54" s="36" t="s">
        <v>52</v>
      </c>
      <c r="D54" s="36" t="s">
        <v>56</v>
      </c>
      <c r="E54" s="31"/>
      <c r="F54" s="31"/>
      <c r="G54" s="31"/>
      <c r="H54" s="31"/>
      <c r="I54" s="31"/>
      <c r="J54" s="31"/>
      <c r="K54" s="31"/>
    </row>
    <row r="55" spans="1:11">
      <c r="A55" s="36" t="s">
        <v>229</v>
      </c>
      <c r="B55" s="36" t="s">
        <v>55</v>
      </c>
      <c r="C55" s="36" t="s">
        <v>52</v>
      </c>
      <c r="D55" s="36" t="s">
        <v>56</v>
      </c>
      <c r="E55" s="31"/>
      <c r="F55" s="31"/>
      <c r="G55" s="31"/>
      <c r="H55" s="31"/>
      <c r="I55" s="31"/>
      <c r="J55" s="31"/>
      <c r="K55" s="31"/>
    </row>
    <row r="56" spans="1:11">
      <c r="A56" s="36" t="s">
        <v>57</v>
      </c>
      <c r="B56" s="36" t="s">
        <v>57</v>
      </c>
      <c r="C56" s="36" t="s">
        <v>52</v>
      </c>
      <c r="D56" s="36" t="s">
        <v>58</v>
      </c>
      <c r="E56" s="31"/>
      <c r="F56" s="31"/>
      <c r="G56" s="31"/>
      <c r="H56" s="31"/>
      <c r="I56" s="31"/>
      <c r="J56" s="31"/>
      <c r="K56" s="31"/>
    </row>
    <row r="57" spans="1:11">
      <c r="A57" s="35" t="s">
        <v>230</v>
      </c>
      <c r="B57" s="36" t="s">
        <v>59</v>
      </c>
      <c r="C57" s="36" t="s">
        <v>52</v>
      </c>
      <c r="D57" s="36" t="s">
        <v>60</v>
      </c>
      <c r="E57" s="31"/>
      <c r="F57" s="31"/>
      <c r="G57" s="31"/>
      <c r="H57" s="31"/>
      <c r="I57" s="31"/>
      <c r="J57" s="31"/>
      <c r="K57" s="31"/>
    </row>
    <row r="58" spans="1:11">
      <c r="A58" s="35" t="s">
        <v>231</v>
      </c>
      <c r="B58" s="35" t="s">
        <v>59</v>
      </c>
      <c r="C58" s="36" t="s">
        <v>52</v>
      </c>
      <c r="D58" s="36" t="s">
        <v>60</v>
      </c>
      <c r="E58" s="31"/>
      <c r="F58" s="31"/>
      <c r="G58" s="31"/>
      <c r="H58" s="31"/>
      <c r="I58" s="31"/>
      <c r="J58" s="31"/>
      <c r="K58" s="31"/>
    </row>
    <row r="59" spans="1:11">
      <c r="A59" s="36" t="s">
        <v>61</v>
      </c>
      <c r="B59" s="36" t="s">
        <v>61</v>
      </c>
      <c r="C59" s="36" t="s">
        <v>52</v>
      </c>
      <c r="D59" s="36" t="s">
        <v>62</v>
      </c>
      <c r="E59" s="31"/>
      <c r="F59" s="31"/>
      <c r="G59" s="31"/>
      <c r="H59" s="31"/>
      <c r="I59" s="31"/>
      <c r="J59" s="31"/>
      <c r="K59" s="31"/>
    </row>
    <row r="60" spans="1:11">
      <c r="A60" s="35" t="s">
        <v>232</v>
      </c>
      <c r="B60" s="36" t="s">
        <v>61</v>
      </c>
      <c r="C60" s="36" t="s">
        <v>52</v>
      </c>
      <c r="D60" s="36" t="s">
        <v>62</v>
      </c>
      <c r="E60" s="31"/>
      <c r="F60" s="31"/>
      <c r="G60" s="31"/>
      <c r="H60" s="31"/>
      <c r="I60" s="31"/>
      <c r="J60" s="31"/>
      <c r="K60" s="31"/>
    </row>
    <row r="61" spans="1:11">
      <c r="A61" s="35" t="s">
        <v>233</v>
      </c>
      <c r="B61" s="36" t="s">
        <v>63</v>
      </c>
      <c r="C61" s="36" t="s">
        <v>52</v>
      </c>
      <c r="D61" s="36" t="s">
        <v>64</v>
      </c>
      <c r="E61" s="31"/>
      <c r="F61" s="31"/>
      <c r="G61" s="31"/>
      <c r="H61" s="31"/>
      <c r="I61" s="31"/>
      <c r="J61" s="31"/>
      <c r="K61" s="31"/>
    </row>
    <row r="62" spans="1:11">
      <c r="A62" s="35" t="s">
        <v>234</v>
      </c>
      <c r="B62" s="36" t="s">
        <v>65</v>
      </c>
      <c r="C62" s="36" t="s">
        <v>52</v>
      </c>
      <c r="D62" s="36" t="s">
        <v>66</v>
      </c>
      <c r="E62" s="31"/>
      <c r="F62" s="31"/>
      <c r="G62" s="31"/>
      <c r="H62" s="31"/>
      <c r="I62" s="31"/>
      <c r="J62" s="31"/>
      <c r="K62" s="31"/>
    </row>
    <row r="63" spans="1:11">
      <c r="A63" s="35" t="s">
        <v>235</v>
      </c>
      <c r="B63" s="35" t="s">
        <v>236</v>
      </c>
      <c r="C63" s="36" t="s">
        <v>52</v>
      </c>
      <c r="D63" s="36" t="s">
        <v>68</v>
      </c>
      <c r="E63" s="31"/>
      <c r="F63" s="31"/>
      <c r="G63" s="31"/>
      <c r="H63" s="31"/>
      <c r="I63" s="31"/>
      <c r="J63" s="31"/>
      <c r="K63" s="31"/>
    </row>
    <row r="64" spans="1:11">
      <c r="A64" s="35" t="s">
        <v>237</v>
      </c>
      <c r="B64" s="36" t="s">
        <v>69</v>
      </c>
      <c r="C64" s="36" t="s">
        <v>52</v>
      </c>
      <c r="D64" s="36" t="s">
        <v>79</v>
      </c>
      <c r="E64" s="31"/>
      <c r="F64" s="31"/>
      <c r="G64" s="31"/>
      <c r="H64" s="31"/>
      <c r="I64" s="31"/>
      <c r="J64" s="31"/>
      <c r="K64" s="31"/>
    </row>
    <row r="65" spans="1:11">
      <c r="A65" s="35" t="s">
        <v>238</v>
      </c>
      <c r="B65" s="36" t="s">
        <v>69</v>
      </c>
      <c r="C65" s="36" t="s">
        <v>52</v>
      </c>
      <c r="D65" s="36" t="s">
        <v>79</v>
      </c>
      <c r="E65" s="31"/>
      <c r="F65" s="31"/>
      <c r="G65" s="31"/>
      <c r="H65" s="31"/>
      <c r="I65" s="31"/>
      <c r="J65" s="31"/>
      <c r="K65" s="31"/>
    </row>
    <row r="66" spans="1:11">
      <c r="A66" s="35" t="s">
        <v>239</v>
      </c>
      <c r="B66" s="36" t="s">
        <v>69</v>
      </c>
      <c r="C66" s="36" t="s">
        <v>52</v>
      </c>
      <c r="D66" s="36" t="s">
        <v>79</v>
      </c>
      <c r="E66" s="31"/>
      <c r="F66" s="31"/>
      <c r="G66" s="31"/>
      <c r="H66" s="31"/>
      <c r="I66" s="31"/>
      <c r="J66" s="31"/>
      <c r="K66" s="31"/>
    </row>
    <row r="67" spans="1:11">
      <c r="A67" s="35" t="s">
        <v>240</v>
      </c>
      <c r="B67" s="36" t="s">
        <v>71</v>
      </c>
      <c r="C67" s="36" t="s">
        <v>52</v>
      </c>
      <c r="D67" s="36" t="s">
        <v>72</v>
      </c>
      <c r="E67" s="31"/>
      <c r="F67" s="31"/>
      <c r="G67" s="31"/>
      <c r="H67" s="31"/>
      <c r="I67" s="31"/>
      <c r="J67" s="31"/>
      <c r="K67" s="31"/>
    </row>
    <row r="68" spans="1:11">
      <c r="A68" s="35" t="s">
        <v>241</v>
      </c>
      <c r="B68" s="36" t="s">
        <v>73</v>
      </c>
      <c r="C68" s="36" t="s">
        <v>52</v>
      </c>
      <c r="D68" s="36" t="s">
        <v>74</v>
      </c>
      <c r="E68" s="31" t="s">
        <v>75</v>
      </c>
      <c r="F68" s="31" t="s">
        <v>76</v>
      </c>
      <c r="G68" s="31"/>
      <c r="H68" s="31"/>
      <c r="I68" s="31"/>
      <c r="J68" s="31"/>
      <c r="K68" s="31"/>
    </row>
    <row r="69" spans="1:11">
      <c r="A69" s="37" t="s">
        <v>242</v>
      </c>
      <c r="B69" s="38" t="s">
        <v>78</v>
      </c>
      <c r="C69" s="38" t="s">
        <v>77</v>
      </c>
      <c r="D69" s="38" t="s">
        <v>94</v>
      </c>
      <c r="E69" s="31"/>
      <c r="F69" s="31"/>
      <c r="G69" s="31"/>
      <c r="H69" s="31"/>
      <c r="I69" s="31"/>
      <c r="J69" s="31"/>
      <c r="K69" s="31"/>
    </row>
    <row r="70" spans="1:11">
      <c r="A70" s="37" t="s">
        <v>243</v>
      </c>
      <c r="B70" s="38" t="s">
        <v>80</v>
      </c>
      <c r="C70" s="38" t="s">
        <v>77</v>
      </c>
      <c r="D70" s="38" t="s">
        <v>81</v>
      </c>
      <c r="E70" s="31"/>
      <c r="F70" s="31"/>
      <c r="G70" s="31"/>
      <c r="H70" s="31"/>
      <c r="I70" s="31"/>
      <c r="J70" s="31"/>
      <c r="K70" s="31"/>
    </row>
    <row r="71" spans="1:11">
      <c r="A71" s="37" t="s">
        <v>244</v>
      </c>
      <c r="B71" s="38" t="s">
        <v>82</v>
      </c>
      <c r="C71" s="38" t="s">
        <v>77</v>
      </c>
      <c r="D71" s="38" t="s">
        <v>83</v>
      </c>
      <c r="E71" s="31"/>
      <c r="F71" s="31"/>
      <c r="G71" s="31"/>
      <c r="H71" s="31"/>
      <c r="I71" s="31"/>
      <c r="J71" s="31"/>
      <c r="K71" s="31"/>
    </row>
    <row r="72" spans="1:11">
      <c r="A72" s="39" t="s">
        <v>245</v>
      </c>
      <c r="B72" s="39" t="s">
        <v>82</v>
      </c>
      <c r="C72" s="39" t="s">
        <v>77</v>
      </c>
      <c r="D72" s="39" t="s">
        <v>83</v>
      </c>
      <c r="E72" s="31"/>
      <c r="F72" s="31"/>
      <c r="G72" s="31"/>
      <c r="H72" s="31"/>
      <c r="I72" s="31"/>
      <c r="J72" s="31"/>
      <c r="K72" s="31"/>
    </row>
    <row r="73" spans="1:11">
      <c r="A73" s="37" t="s">
        <v>246</v>
      </c>
      <c r="B73" s="38" t="s">
        <v>82</v>
      </c>
      <c r="C73" s="38" t="s">
        <v>77</v>
      </c>
      <c r="D73" s="38" t="s">
        <v>83</v>
      </c>
      <c r="E73" s="31"/>
      <c r="F73" s="31"/>
      <c r="G73" s="31"/>
      <c r="H73" s="31"/>
      <c r="I73" s="31"/>
      <c r="J73" s="31"/>
      <c r="K73" s="31"/>
    </row>
    <row r="74" spans="1:11">
      <c r="A74" s="37" t="s">
        <v>247</v>
      </c>
      <c r="B74" s="32" t="s">
        <v>151</v>
      </c>
      <c r="C74" s="32" t="s">
        <v>140</v>
      </c>
      <c r="D74" s="38" t="s">
        <v>148</v>
      </c>
      <c r="E74" s="31"/>
      <c r="F74" s="31"/>
      <c r="G74" s="31"/>
      <c r="H74" s="31"/>
      <c r="I74" s="31"/>
      <c r="J74" s="31"/>
      <c r="K74" s="31"/>
    </row>
    <row r="75" spans="1:11">
      <c r="A75" s="37" t="s">
        <v>248</v>
      </c>
      <c r="B75" s="38" t="s">
        <v>84</v>
      </c>
      <c r="C75" s="38" t="s">
        <v>77</v>
      </c>
      <c r="D75" s="38" t="s">
        <v>85</v>
      </c>
      <c r="E75" s="31"/>
      <c r="F75" s="31"/>
      <c r="G75" s="31"/>
      <c r="H75" s="31"/>
      <c r="I75" s="31"/>
      <c r="J75" s="31"/>
      <c r="K75" s="31"/>
    </row>
    <row r="76" spans="1:11">
      <c r="A76" s="38" t="s">
        <v>84</v>
      </c>
      <c r="B76" s="38" t="s">
        <v>84</v>
      </c>
      <c r="C76" s="38" t="s">
        <v>77</v>
      </c>
      <c r="D76" s="38" t="s">
        <v>85</v>
      </c>
      <c r="E76" s="31"/>
      <c r="F76" s="31"/>
      <c r="G76" s="31"/>
      <c r="H76" s="31"/>
      <c r="I76" s="31"/>
      <c r="J76" s="31"/>
      <c r="K76" s="31"/>
    </row>
    <row r="77" spans="1:11">
      <c r="A77" s="37" t="s">
        <v>249</v>
      </c>
      <c r="B77" s="38" t="s">
        <v>82</v>
      </c>
      <c r="C77" s="38" t="s">
        <v>77</v>
      </c>
      <c r="D77" s="38" t="s">
        <v>83</v>
      </c>
      <c r="E77" s="31"/>
      <c r="F77" s="31"/>
      <c r="G77" s="31"/>
      <c r="H77" s="31"/>
      <c r="I77" s="31"/>
      <c r="J77" s="31"/>
      <c r="K77" s="31"/>
    </row>
    <row r="78" spans="1:11">
      <c r="A78" s="37" t="s">
        <v>250</v>
      </c>
      <c r="B78" s="38" t="s">
        <v>84</v>
      </c>
      <c r="C78" s="38" t="s">
        <v>77</v>
      </c>
      <c r="D78" s="38" t="s">
        <v>85</v>
      </c>
      <c r="E78" s="31"/>
      <c r="F78" s="31"/>
      <c r="G78" s="31"/>
      <c r="H78" s="31"/>
      <c r="I78" s="31"/>
      <c r="J78" s="31"/>
      <c r="K78" s="31"/>
    </row>
    <row r="79" spans="1:11">
      <c r="A79" s="37" t="s">
        <v>251</v>
      </c>
      <c r="B79" s="38" t="s">
        <v>84</v>
      </c>
      <c r="C79" s="38" t="s">
        <v>77</v>
      </c>
      <c r="D79" s="38" t="s">
        <v>85</v>
      </c>
      <c r="E79" s="31"/>
      <c r="F79" s="31"/>
      <c r="G79" s="31"/>
      <c r="H79" s="31"/>
      <c r="I79" s="31"/>
      <c r="J79" s="31"/>
      <c r="K79" s="31"/>
    </row>
    <row r="80" spans="1:11">
      <c r="A80" s="37" t="s">
        <v>252</v>
      </c>
      <c r="B80" s="38" t="s">
        <v>86</v>
      </c>
      <c r="C80" s="38" t="s">
        <v>77</v>
      </c>
      <c r="D80" s="38" t="s">
        <v>14</v>
      </c>
      <c r="E80" s="31" t="s">
        <v>253</v>
      </c>
      <c r="F80" s="31"/>
      <c r="G80" s="31"/>
      <c r="H80" s="31"/>
      <c r="I80" s="31"/>
      <c r="J80" s="31"/>
      <c r="K80" s="31"/>
    </row>
    <row r="81" spans="1:11">
      <c r="A81" s="37" t="s">
        <v>254</v>
      </c>
      <c r="B81" s="38" t="s">
        <v>86</v>
      </c>
      <c r="C81" s="38" t="s">
        <v>77</v>
      </c>
      <c r="D81" s="38" t="s">
        <v>14</v>
      </c>
      <c r="E81" s="31"/>
      <c r="F81" s="31"/>
      <c r="G81" s="31"/>
      <c r="H81" s="31"/>
      <c r="I81" s="31"/>
      <c r="J81" s="31"/>
      <c r="K81" s="31"/>
    </row>
    <row r="82" spans="1:11">
      <c r="A82" s="37" t="s">
        <v>255</v>
      </c>
      <c r="B82" s="38" t="s">
        <v>86</v>
      </c>
      <c r="C82" s="38" t="s">
        <v>77</v>
      </c>
      <c r="D82" s="38" t="s">
        <v>14</v>
      </c>
      <c r="E82" s="31"/>
      <c r="F82" s="31"/>
      <c r="G82" s="31"/>
      <c r="H82" s="31"/>
      <c r="I82" s="31"/>
      <c r="J82" s="31"/>
      <c r="K82" s="31"/>
    </row>
    <row r="83" spans="1:11">
      <c r="A83" s="37" t="s">
        <v>256</v>
      </c>
      <c r="B83" s="38" t="s">
        <v>86</v>
      </c>
      <c r="C83" s="38" t="s">
        <v>77</v>
      </c>
      <c r="D83" s="38" t="s">
        <v>14</v>
      </c>
      <c r="E83" s="31"/>
      <c r="F83" s="31"/>
      <c r="G83" s="31"/>
      <c r="H83" s="31"/>
      <c r="I83" s="31"/>
      <c r="J83" s="31"/>
      <c r="K83" s="31"/>
    </row>
    <row r="84" spans="1:11">
      <c r="A84" s="37" t="s">
        <v>257</v>
      </c>
      <c r="B84" s="38" t="s">
        <v>86</v>
      </c>
      <c r="C84" s="38" t="s">
        <v>77</v>
      </c>
      <c r="D84" s="38" t="s">
        <v>14</v>
      </c>
      <c r="E84" s="31"/>
      <c r="F84" s="31"/>
      <c r="G84" s="31"/>
      <c r="H84" s="31"/>
      <c r="I84" s="31"/>
      <c r="J84" s="31"/>
      <c r="K84" s="31"/>
    </row>
    <row r="85" spans="1:11">
      <c r="A85" s="37" t="s">
        <v>258</v>
      </c>
      <c r="B85" s="38" t="s">
        <v>88</v>
      </c>
      <c r="C85" s="38" t="s">
        <v>77</v>
      </c>
      <c r="D85" s="37" t="s">
        <v>259</v>
      </c>
      <c r="E85" s="31"/>
      <c r="F85" s="31"/>
      <c r="G85" s="31"/>
      <c r="H85" s="31"/>
      <c r="I85" s="31"/>
      <c r="J85" s="31"/>
      <c r="K85" s="31"/>
    </row>
    <row r="86" spans="1:11">
      <c r="A86" s="37" t="s">
        <v>260</v>
      </c>
      <c r="B86" s="38" t="s">
        <v>88</v>
      </c>
      <c r="C86" s="38" t="s">
        <v>77</v>
      </c>
      <c r="D86" s="38" t="s">
        <v>14</v>
      </c>
      <c r="E86" s="31"/>
      <c r="F86" s="31"/>
      <c r="G86" s="31"/>
      <c r="H86" s="31"/>
      <c r="I86" s="31"/>
      <c r="J86" s="31"/>
      <c r="K86" s="31"/>
    </row>
    <row r="87" spans="1:11">
      <c r="A87" s="37" t="s">
        <v>261</v>
      </c>
      <c r="B87" s="38" t="s">
        <v>90</v>
      </c>
      <c r="C87" s="38" t="s">
        <v>77</v>
      </c>
      <c r="D87" s="38" t="s">
        <v>91</v>
      </c>
      <c r="E87" s="31"/>
      <c r="F87" s="31"/>
      <c r="G87" s="31"/>
      <c r="H87" s="31"/>
      <c r="I87" s="31"/>
      <c r="J87" s="31"/>
      <c r="K87" s="31"/>
    </row>
    <row r="88" spans="1:11">
      <c r="A88" s="37" t="s">
        <v>262</v>
      </c>
      <c r="B88" s="38" t="s">
        <v>92</v>
      </c>
      <c r="C88" s="38" t="s">
        <v>77</v>
      </c>
      <c r="D88" s="37" t="s">
        <v>14</v>
      </c>
      <c r="E88" s="31" t="s">
        <v>263</v>
      </c>
      <c r="F88" s="31"/>
      <c r="G88" s="31"/>
      <c r="H88" s="31"/>
      <c r="I88" s="31"/>
      <c r="J88" s="31"/>
      <c r="K88" s="31"/>
    </row>
    <row r="89" spans="1:11">
      <c r="A89" s="38" t="s">
        <v>264</v>
      </c>
      <c r="B89" s="38" t="s">
        <v>90</v>
      </c>
      <c r="C89" s="38" t="s">
        <v>77</v>
      </c>
      <c r="D89" s="38" t="s">
        <v>91</v>
      </c>
      <c r="E89" s="31"/>
      <c r="F89" s="31"/>
      <c r="G89" s="31"/>
      <c r="H89" s="31"/>
      <c r="I89" s="31"/>
      <c r="J89" s="31"/>
      <c r="K89" s="31"/>
    </row>
    <row r="90" spans="1:11">
      <c r="A90" s="38" t="s">
        <v>93</v>
      </c>
      <c r="B90" s="37" t="s">
        <v>93</v>
      </c>
      <c r="C90" s="38" t="s">
        <v>77</v>
      </c>
      <c r="D90" s="38" t="s">
        <v>94</v>
      </c>
      <c r="E90" s="31"/>
      <c r="F90" s="31"/>
      <c r="G90" s="31"/>
      <c r="H90" s="31"/>
      <c r="I90" s="31"/>
      <c r="J90" s="31"/>
      <c r="K90" s="31"/>
    </row>
    <row r="91" spans="1:11">
      <c r="A91" s="37" t="s">
        <v>265</v>
      </c>
      <c r="B91" s="38" t="s">
        <v>95</v>
      </c>
      <c r="C91" s="38" t="s">
        <v>77</v>
      </c>
      <c r="D91" s="38" t="s">
        <v>96</v>
      </c>
      <c r="E91" s="31" t="s">
        <v>97</v>
      </c>
      <c r="F91" s="31" t="s">
        <v>98</v>
      </c>
      <c r="G91" s="31" t="s">
        <v>99</v>
      </c>
      <c r="H91" s="31"/>
      <c r="I91" s="31"/>
      <c r="J91" s="31"/>
      <c r="K91" s="31"/>
    </row>
    <row r="92" spans="1:11">
      <c r="A92" s="37" t="s">
        <v>266</v>
      </c>
      <c r="B92" s="38" t="s">
        <v>95</v>
      </c>
      <c r="C92" s="38" t="s">
        <v>77</v>
      </c>
      <c r="D92" s="38" t="s">
        <v>96</v>
      </c>
      <c r="E92" s="31"/>
      <c r="F92" s="31"/>
      <c r="G92" s="31"/>
      <c r="H92" s="31"/>
      <c r="I92" s="31"/>
      <c r="J92" s="31"/>
      <c r="K92" s="31"/>
    </row>
    <row r="93" spans="1:11">
      <c r="A93" s="37" t="s">
        <v>267</v>
      </c>
      <c r="B93" s="38" t="s">
        <v>95</v>
      </c>
      <c r="C93" s="38" t="s">
        <v>77</v>
      </c>
      <c r="D93" s="38" t="s">
        <v>96</v>
      </c>
      <c r="E93" s="31"/>
      <c r="F93" s="31"/>
      <c r="G93" s="31"/>
      <c r="H93" s="31"/>
      <c r="I93" s="31"/>
      <c r="J93" s="31"/>
      <c r="K93" s="31"/>
    </row>
    <row r="94" spans="1:11">
      <c r="A94" s="37" t="s">
        <v>268</v>
      </c>
      <c r="B94" s="37" t="s">
        <v>95</v>
      </c>
      <c r="C94" s="38" t="s">
        <v>77</v>
      </c>
      <c r="D94" s="38" t="s">
        <v>96</v>
      </c>
      <c r="E94" s="31"/>
      <c r="F94" s="31"/>
      <c r="G94" s="31"/>
      <c r="H94" s="31"/>
      <c r="I94" s="31"/>
      <c r="J94" s="31"/>
      <c r="K94" s="31"/>
    </row>
    <row r="95" spans="1:11">
      <c r="A95" s="37" t="s">
        <v>269</v>
      </c>
      <c r="B95" s="37" t="s">
        <v>95</v>
      </c>
      <c r="C95" s="38" t="s">
        <v>77</v>
      </c>
      <c r="D95" s="38" t="s">
        <v>96</v>
      </c>
      <c r="E95" s="31"/>
      <c r="F95" s="31"/>
      <c r="G95" s="31"/>
      <c r="H95" s="31"/>
      <c r="I95" s="31"/>
      <c r="J95" s="31"/>
      <c r="K95" s="31"/>
    </row>
    <row r="96" spans="1:11">
      <c r="A96" s="40" t="s">
        <v>101</v>
      </c>
      <c r="B96" s="41" t="s">
        <v>101</v>
      </c>
      <c r="C96" s="41" t="s">
        <v>100</v>
      </c>
      <c r="D96" s="41" t="s">
        <v>102</v>
      </c>
      <c r="E96" s="31"/>
      <c r="F96" s="31"/>
      <c r="G96" s="31"/>
      <c r="H96" s="31"/>
      <c r="I96" s="31"/>
      <c r="J96" s="31"/>
      <c r="K96" s="31"/>
    </row>
    <row r="97" spans="1:11">
      <c r="A97" s="40" t="s">
        <v>270</v>
      </c>
      <c r="B97" s="40" t="s">
        <v>103</v>
      </c>
      <c r="C97" s="41" t="s">
        <v>100</v>
      </c>
      <c r="D97" s="41" t="s">
        <v>104</v>
      </c>
      <c r="E97" s="31"/>
      <c r="F97" s="31"/>
      <c r="G97" s="31"/>
      <c r="H97" s="31"/>
      <c r="I97" s="31"/>
      <c r="J97" s="31"/>
      <c r="K97" s="31"/>
    </row>
    <row r="98" spans="1:11">
      <c r="A98" s="41" t="s">
        <v>271</v>
      </c>
      <c r="B98" s="40" t="s">
        <v>103</v>
      </c>
      <c r="C98" s="41" t="s">
        <v>100</v>
      </c>
      <c r="D98" s="41" t="s">
        <v>104</v>
      </c>
      <c r="E98" s="31"/>
      <c r="F98" s="31"/>
      <c r="G98" s="31"/>
      <c r="H98" s="31"/>
      <c r="I98" s="31"/>
      <c r="J98" s="31"/>
      <c r="K98" s="31"/>
    </row>
    <row r="99" spans="1:11">
      <c r="A99" s="41" t="s">
        <v>111</v>
      </c>
      <c r="B99" s="40" t="s">
        <v>103</v>
      </c>
      <c r="C99" s="41" t="s">
        <v>100</v>
      </c>
      <c r="D99" s="41" t="s">
        <v>104</v>
      </c>
      <c r="E99" s="31"/>
      <c r="F99" s="31"/>
      <c r="G99" s="31"/>
      <c r="H99" s="31"/>
      <c r="I99" s="31"/>
      <c r="J99" s="31"/>
      <c r="K99" s="31"/>
    </row>
    <row r="100" spans="1:11">
      <c r="A100" s="41" t="s">
        <v>272</v>
      </c>
      <c r="B100" s="40" t="s">
        <v>103</v>
      </c>
      <c r="C100" s="41" t="s">
        <v>100</v>
      </c>
      <c r="D100" s="41" t="s">
        <v>104</v>
      </c>
      <c r="E100" s="31"/>
      <c r="F100" s="31"/>
      <c r="G100" s="31"/>
      <c r="H100" s="31"/>
      <c r="I100" s="31"/>
      <c r="J100" s="31"/>
      <c r="K100" s="31"/>
    </row>
    <row r="101" spans="1:11">
      <c r="A101" s="40" t="s">
        <v>273</v>
      </c>
      <c r="B101" s="40" t="s">
        <v>103</v>
      </c>
      <c r="C101" s="41" t="s">
        <v>100</v>
      </c>
      <c r="D101" s="41" t="s">
        <v>104</v>
      </c>
      <c r="E101" s="31"/>
      <c r="F101" s="31"/>
      <c r="G101" s="31"/>
      <c r="H101" s="31"/>
      <c r="I101" s="31"/>
      <c r="J101" s="31"/>
      <c r="K101" s="31"/>
    </row>
    <row r="102" spans="1:11">
      <c r="A102" s="40" t="s">
        <v>274</v>
      </c>
      <c r="B102" s="40" t="s">
        <v>103</v>
      </c>
      <c r="C102" s="41" t="s">
        <v>100</v>
      </c>
      <c r="D102" s="41" t="s">
        <v>104</v>
      </c>
      <c r="E102" s="31"/>
      <c r="F102" s="31"/>
      <c r="G102" s="31"/>
      <c r="H102" s="31"/>
      <c r="I102" s="31"/>
      <c r="J102" s="31"/>
      <c r="K102" s="31"/>
    </row>
    <row r="103" spans="1:11">
      <c r="A103" s="40" t="s">
        <v>275</v>
      </c>
      <c r="B103" s="40" t="s">
        <v>103</v>
      </c>
      <c r="C103" s="41" t="s">
        <v>100</v>
      </c>
      <c r="D103" s="41" t="s">
        <v>104</v>
      </c>
      <c r="E103" s="31"/>
      <c r="F103" s="31"/>
      <c r="G103" s="31"/>
      <c r="H103" s="31"/>
      <c r="I103" s="31"/>
      <c r="J103" s="31"/>
      <c r="K103" s="31"/>
    </row>
    <row r="104" spans="1:11">
      <c r="A104" s="40" t="s">
        <v>276</v>
      </c>
      <c r="B104" s="40" t="s">
        <v>105</v>
      </c>
      <c r="C104" s="41" t="s">
        <v>100</v>
      </c>
      <c r="D104" s="41" t="s">
        <v>106</v>
      </c>
      <c r="E104" s="31"/>
      <c r="F104" s="31"/>
      <c r="G104" s="31"/>
      <c r="H104" s="31"/>
      <c r="I104" s="31"/>
      <c r="J104" s="31"/>
      <c r="K104" s="31"/>
    </row>
    <row r="105" spans="1:11">
      <c r="A105" s="41" t="s">
        <v>277</v>
      </c>
      <c r="B105" s="40" t="s">
        <v>105</v>
      </c>
      <c r="C105" s="41" t="s">
        <v>100</v>
      </c>
      <c r="D105" s="41" t="s">
        <v>106</v>
      </c>
      <c r="E105" s="31"/>
      <c r="F105" s="31"/>
      <c r="G105" s="31"/>
      <c r="H105" s="31"/>
      <c r="I105" s="31"/>
      <c r="J105" s="31"/>
      <c r="K105" s="31"/>
    </row>
    <row r="106" spans="1:11">
      <c r="A106" s="40" t="s">
        <v>278</v>
      </c>
      <c r="B106" s="41" t="s">
        <v>107</v>
      </c>
      <c r="C106" s="41" t="s">
        <v>100</v>
      </c>
      <c r="D106" s="41" t="s">
        <v>108</v>
      </c>
      <c r="E106" s="31"/>
      <c r="F106" s="31"/>
      <c r="G106" s="31"/>
      <c r="H106" s="31"/>
      <c r="I106" s="31"/>
      <c r="J106" s="31"/>
      <c r="K106" s="31"/>
    </row>
    <row r="107" spans="1:11">
      <c r="A107" s="41" t="s">
        <v>109</v>
      </c>
      <c r="B107" s="41" t="s">
        <v>109</v>
      </c>
      <c r="C107" s="41" t="s">
        <v>100</v>
      </c>
      <c r="D107" s="41" t="s">
        <v>115</v>
      </c>
      <c r="E107" s="31"/>
      <c r="F107" s="31"/>
      <c r="G107" s="31"/>
      <c r="H107" s="31"/>
      <c r="I107" s="31"/>
      <c r="J107" s="31"/>
      <c r="K107" s="31"/>
    </row>
    <row r="108" spans="1:11">
      <c r="A108" s="41" t="s">
        <v>279</v>
      </c>
      <c r="B108" s="41" t="s">
        <v>111</v>
      </c>
      <c r="C108" s="41" t="s">
        <v>100</v>
      </c>
      <c r="D108" s="41" t="s">
        <v>14</v>
      </c>
      <c r="E108" s="31" t="s">
        <v>280</v>
      </c>
      <c r="F108" s="31"/>
      <c r="G108" s="31"/>
      <c r="H108" s="31"/>
      <c r="I108" s="31"/>
      <c r="J108" s="31"/>
      <c r="K108" s="31"/>
    </row>
    <row r="109" spans="1:11">
      <c r="A109" s="40" t="s">
        <v>281</v>
      </c>
      <c r="B109" s="41" t="s">
        <v>107</v>
      </c>
      <c r="C109" s="41" t="s">
        <v>100</v>
      </c>
      <c r="D109" s="41" t="s">
        <v>108</v>
      </c>
      <c r="E109" s="31"/>
      <c r="F109" s="31"/>
      <c r="G109" s="31"/>
      <c r="H109" s="31"/>
      <c r="I109" s="31"/>
      <c r="J109" s="31"/>
      <c r="K109" s="31"/>
    </row>
    <row r="110" spans="1:11">
      <c r="A110" s="40" t="s">
        <v>282</v>
      </c>
      <c r="B110" s="41" t="s">
        <v>111</v>
      </c>
      <c r="C110" s="41" t="s">
        <v>100</v>
      </c>
      <c r="D110" s="41" t="s">
        <v>283</v>
      </c>
      <c r="E110" s="31"/>
      <c r="F110" s="31"/>
      <c r="G110" s="31"/>
      <c r="H110" s="31"/>
      <c r="I110" s="31"/>
      <c r="J110" s="31"/>
      <c r="K110" s="31"/>
    </row>
    <row r="111" spans="1:11">
      <c r="A111" s="40" t="s">
        <v>284</v>
      </c>
      <c r="B111" s="41" t="s">
        <v>111</v>
      </c>
      <c r="C111" s="41" t="s">
        <v>100</v>
      </c>
      <c r="D111" s="41" t="s">
        <v>283</v>
      </c>
      <c r="E111" s="31"/>
      <c r="F111" s="31"/>
      <c r="G111" s="31"/>
      <c r="H111" s="31"/>
      <c r="I111" s="31"/>
      <c r="J111" s="31"/>
      <c r="K111" s="31"/>
    </row>
    <row r="112" spans="1:11">
      <c r="A112" s="41" t="s">
        <v>112</v>
      </c>
      <c r="B112" s="41" t="s">
        <v>112</v>
      </c>
      <c r="C112" s="41" t="s">
        <v>100</v>
      </c>
      <c r="D112" s="41" t="s">
        <v>113</v>
      </c>
      <c r="E112" s="31"/>
      <c r="F112" s="31"/>
      <c r="G112" s="31"/>
      <c r="H112" s="31"/>
      <c r="I112" s="31"/>
      <c r="J112" s="31"/>
      <c r="K112" s="31"/>
    </row>
    <row r="113" spans="1:11">
      <c r="A113" s="40" t="s">
        <v>285</v>
      </c>
      <c r="B113" s="41" t="s">
        <v>112</v>
      </c>
      <c r="C113" s="41" t="s">
        <v>100</v>
      </c>
      <c r="D113" s="41" t="s">
        <v>113</v>
      </c>
      <c r="E113" s="31"/>
      <c r="F113" s="31"/>
      <c r="G113" s="31"/>
      <c r="H113" s="31"/>
      <c r="I113" s="31"/>
      <c r="J113" s="31"/>
      <c r="K113" s="31"/>
    </row>
    <row r="114" spans="1:11">
      <c r="A114" s="40" t="s">
        <v>286</v>
      </c>
      <c r="B114" s="41" t="s">
        <v>112</v>
      </c>
      <c r="C114" s="41" t="s">
        <v>100</v>
      </c>
      <c r="D114" s="41" t="s">
        <v>113</v>
      </c>
      <c r="E114" s="31"/>
      <c r="F114" s="31"/>
      <c r="G114" s="31"/>
      <c r="H114" s="31"/>
      <c r="I114" s="31"/>
      <c r="J114" s="31"/>
      <c r="K114" s="31"/>
    </row>
    <row r="115" spans="1:11">
      <c r="A115" s="40" t="s">
        <v>287</v>
      </c>
      <c r="B115" s="41" t="s">
        <v>112</v>
      </c>
      <c r="C115" s="41" t="s">
        <v>100</v>
      </c>
      <c r="D115" s="41" t="s">
        <v>113</v>
      </c>
      <c r="E115" s="31"/>
      <c r="F115" s="31"/>
      <c r="G115" s="31"/>
      <c r="H115" s="31"/>
      <c r="I115" s="31"/>
      <c r="J115" s="31"/>
      <c r="K115" s="31"/>
    </row>
    <row r="116" spans="1:11">
      <c r="A116" s="40" t="s">
        <v>288</v>
      </c>
      <c r="B116" s="41" t="s">
        <v>112</v>
      </c>
      <c r="C116" s="41" t="s">
        <v>100</v>
      </c>
      <c r="D116" s="41" t="s">
        <v>113</v>
      </c>
      <c r="E116" s="31"/>
      <c r="F116" s="31"/>
      <c r="G116" s="31"/>
      <c r="H116" s="31"/>
      <c r="I116" s="31"/>
      <c r="J116" s="31"/>
      <c r="K116" s="31"/>
    </row>
    <row r="117" spans="1:11">
      <c r="A117" s="40" t="s">
        <v>289</v>
      </c>
      <c r="B117" s="41" t="s">
        <v>109</v>
      </c>
      <c r="C117" s="41" t="s">
        <v>100</v>
      </c>
      <c r="D117" s="41" t="s">
        <v>115</v>
      </c>
      <c r="E117" s="31"/>
      <c r="F117" s="31"/>
      <c r="G117" s="31"/>
      <c r="H117" s="31"/>
      <c r="I117" s="31"/>
      <c r="J117" s="31"/>
      <c r="K117" s="31"/>
    </row>
    <row r="118" spans="1:11">
      <c r="A118" s="41" t="s">
        <v>114</v>
      </c>
      <c r="B118" s="41" t="s">
        <v>109</v>
      </c>
      <c r="C118" s="41" t="s">
        <v>100</v>
      </c>
      <c r="D118" s="41" t="s">
        <v>290</v>
      </c>
      <c r="E118" s="31" t="s">
        <v>116</v>
      </c>
      <c r="F118" s="31" t="s">
        <v>117</v>
      </c>
      <c r="G118" s="31"/>
      <c r="H118" s="31"/>
      <c r="I118" s="31"/>
      <c r="J118" s="31"/>
      <c r="K118" s="31"/>
    </row>
    <row r="119" spans="1:11">
      <c r="A119" s="42" t="s">
        <v>291</v>
      </c>
      <c r="B119" s="43" t="s">
        <v>119</v>
      </c>
      <c r="C119" s="43" t="s">
        <v>118</v>
      </c>
      <c r="D119" s="43" t="s">
        <v>120</v>
      </c>
      <c r="E119" s="31"/>
      <c r="F119" s="31"/>
      <c r="G119" s="31"/>
      <c r="H119" s="31"/>
      <c r="I119" s="31"/>
      <c r="J119" s="31"/>
      <c r="K119" s="31"/>
    </row>
    <row r="120" spans="1:11">
      <c r="A120" s="42" t="s">
        <v>292</v>
      </c>
      <c r="B120" s="43" t="s">
        <v>121</v>
      </c>
      <c r="C120" s="43" t="s">
        <v>118</v>
      </c>
      <c r="D120" s="43" t="s">
        <v>122</v>
      </c>
      <c r="E120" s="31"/>
      <c r="F120" s="31"/>
      <c r="G120" s="31"/>
      <c r="H120" s="31"/>
      <c r="I120" s="31"/>
      <c r="J120" s="31"/>
      <c r="K120" s="31"/>
    </row>
    <row r="121" spans="1:11">
      <c r="A121" s="42" t="s">
        <v>293</v>
      </c>
      <c r="B121" s="43" t="s">
        <v>121</v>
      </c>
      <c r="C121" s="43" t="s">
        <v>118</v>
      </c>
      <c r="D121" s="43" t="s">
        <v>122</v>
      </c>
      <c r="E121" s="31"/>
      <c r="F121" s="31"/>
      <c r="G121" s="31"/>
      <c r="H121" s="31"/>
      <c r="I121" s="31"/>
      <c r="J121" s="31"/>
      <c r="K121" s="31"/>
    </row>
    <row r="122" spans="1:11">
      <c r="A122" s="42" t="s">
        <v>294</v>
      </c>
      <c r="B122" s="43" t="s">
        <v>121</v>
      </c>
      <c r="C122" s="43" t="s">
        <v>118</v>
      </c>
      <c r="D122" s="43" t="s">
        <v>122</v>
      </c>
      <c r="E122" s="31"/>
      <c r="F122" s="31"/>
      <c r="G122" s="31"/>
      <c r="H122" s="31"/>
      <c r="I122" s="31"/>
      <c r="J122" s="31"/>
      <c r="K122" s="31"/>
    </row>
    <row r="123" spans="1:11">
      <c r="A123" s="43" t="s">
        <v>123</v>
      </c>
      <c r="B123" s="42" t="s">
        <v>123</v>
      </c>
      <c r="C123" s="43" t="s">
        <v>118</v>
      </c>
      <c r="D123" s="43" t="s">
        <v>14</v>
      </c>
      <c r="E123" s="31" t="s">
        <v>295</v>
      </c>
      <c r="F123" s="31"/>
      <c r="G123" s="31"/>
      <c r="H123" s="31"/>
      <c r="I123" s="31"/>
      <c r="J123" s="31"/>
      <c r="K123" s="31"/>
    </row>
    <row r="124" spans="1:11">
      <c r="A124" s="43" t="s">
        <v>296</v>
      </c>
      <c r="B124" s="42" t="s">
        <v>123</v>
      </c>
      <c r="C124" s="43" t="s">
        <v>118</v>
      </c>
      <c r="D124" s="43" t="s">
        <v>14</v>
      </c>
      <c r="E124" s="31"/>
      <c r="F124" s="31"/>
      <c r="G124" s="31"/>
      <c r="H124" s="31"/>
      <c r="I124" s="31"/>
      <c r="J124" s="31"/>
      <c r="K124" s="31"/>
    </row>
    <row r="125" spans="1:11">
      <c r="A125" s="42" t="s">
        <v>125</v>
      </c>
      <c r="B125" s="42" t="s">
        <v>125</v>
      </c>
      <c r="C125" s="43" t="s">
        <v>118</v>
      </c>
      <c r="D125" s="43" t="s">
        <v>126</v>
      </c>
      <c r="E125" s="31"/>
      <c r="F125" s="31"/>
      <c r="G125" s="31"/>
      <c r="H125" s="31"/>
      <c r="I125" s="31"/>
      <c r="J125" s="31"/>
      <c r="K125" s="31"/>
    </row>
    <row r="126" spans="1:11">
      <c r="A126" s="42" t="s">
        <v>297</v>
      </c>
      <c r="B126" s="42" t="s">
        <v>125</v>
      </c>
      <c r="C126" s="43" t="s">
        <v>118</v>
      </c>
      <c r="D126" s="43" t="s">
        <v>126</v>
      </c>
      <c r="E126" s="31"/>
      <c r="F126" s="31"/>
      <c r="G126" s="31"/>
      <c r="H126" s="31"/>
      <c r="I126" s="31"/>
      <c r="J126" s="31"/>
      <c r="K126" s="31"/>
    </row>
    <row r="127" spans="1:11">
      <c r="A127" s="43" t="s">
        <v>298</v>
      </c>
      <c r="B127" s="42" t="s">
        <v>125</v>
      </c>
      <c r="C127" s="43" t="s">
        <v>118</v>
      </c>
      <c r="D127" s="43" t="s">
        <v>126</v>
      </c>
      <c r="E127" s="31"/>
      <c r="F127" s="31"/>
      <c r="G127" s="31"/>
      <c r="H127" s="31"/>
      <c r="I127" s="31"/>
      <c r="J127" s="31"/>
      <c r="K127" s="31"/>
    </row>
    <row r="128" spans="1:11">
      <c r="A128" s="42" t="s">
        <v>299</v>
      </c>
      <c r="B128" s="42" t="s">
        <v>125</v>
      </c>
      <c r="C128" s="43" t="s">
        <v>118</v>
      </c>
      <c r="D128" s="43" t="s">
        <v>126</v>
      </c>
      <c r="E128" s="31"/>
      <c r="F128" s="31"/>
      <c r="G128" s="31"/>
      <c r="H128" s="31"/>
      <c r="I128" s="31"/>
      <c r="J128" s="31"/>
      <c r="K128" s="31"/>
    </row>
    <row r="129" spans="1:11">
      <c r="A129" s="42" t="s">
        <v>300</v>
      </c>
      <c r="B129" s="42" t="s">
        <v>125</v>
      </c>
      <c r="C129" s="43" t="s">
        <v>118</v>
      </c>
      <c r="D129" s="43" t="s">
        <v>126</v>
      </c>
      <c r="E129" s="31"/>
      <c r="F129" s="31"/>
      <c r="G129" s="31"/>
      <c r="H129" s="31"/>
      <c r="I129" s="31"/>
      <c r="J129" s="31"/>
      <c r="K129" s="31"/>
    </row>
    <row r="130" spans="1:11">
      <c r="A130" s="43" t="s">
        <v>301</v>
      </c>
      <c r="B130" s="42" t="s">
        <v>127</v>
      </c>
      <c r="C130" s="43" t="s">
        <v>118</v>
      </c>
      <c r="D130" s="43" t="s">
        <v>128</v>
      </c>
      <c r="E130" s="31"/>
      <c r="F130" s="31"/>
      <c r="G130" s="31"/>
      <c r="H130" s="31"/>
      <c r="I130" s="31"/>
      <c r="J130" s="31"/>
      <c r="K130" s="31"/>
    </row>
    <row r="131" ht="13.15" customHeight="1" spans="1:11">
      <c r="A131" s="43" t="s">
        <v>302</v>
      </c>
      <c r="B131" s="42" t="s">
        <v>127</v>
      </c>
      <c r="C131" s="43" t="s">
        <v>118</v>
      </c>
      <c r="D131" s="43" t="s">
        <v>128</v>
      </c>
      <c r="E131" s="31"/>
      <c r="F131" s="31"/>
      <c r="G131" s="31"/>
      <c r="H131" s="31"/>
      <c r="I131" s="31"/>
      <c r="J131" s="31"/>
      <c r="K131" s="31"/>
    </row>
    <row r="132" spans="1:11">
      <c r="A132" s="42" t="s">
        <v>129</v>
      </c>
      <c r="B132" s="42" t="s">
        <v>127</v>
      </c>
      <c r="C132" s="43" t="s">
        <v>118</v>
      </c>
      <c r="D132" s="43" t="s">
        <v>128</v>
      </c>
      <c r="E132" s="31"/>
      <c r="F132" s="31"/>
      <c r="G132" s="31"/>
      <c r="H132" s="31"/>
      <c r="I132" s="31"/>
      <c r="J132" s="31"/>
      <c r="K132" s="31"/>
    </row>
    <row r="133" spans="1:11">
      <c r="A133" s="43" t="s">
        <v>303</v>
      </c>
      <c r="B133" s="42" t="s">
        <v>127</v>
      </c>
      <c r="C133" s="43" t="s">
        <v>118</v>
      </c>
      <c r="D133" s="42" t="s">
        <v>128</v>
      </c>
      <c r="E133" s="31"/>
      <c r="F133" s="31"/>
      <c r="G133" s="31"/>
      <c r="H133" s="31"/>
      <c r="I133" s="31"/>
      <c r="J133" s="31"/>
      <c r="K133" s="31"/>
    </row>
    <row r="134" spans="1:11">
      <c r="A134" s="43" t="s">
        <v>304</v>
      </c>
      <c r="B134" s="42" t="s">
        <v>127</v>
      </c>
      <c r="C134" s="43" t="s">
        <v>118</v>
      </c>
      <c r="D134" s="43" t="s">
        <v>128</v>
      </c>
      <c r="E134" s="31"/>
      <c r="F134" s="31"/>
      <c r="G134" s="31"/>
      <c r="H134" s="31"/>
      <c r="I134" s="31"/>
      <c r="J134" s="31"/>
      <c r="K134" s="31"/>
    </row>
    <row r="135" spans="1:11">
      <c r="A135" s="42" t="s">
        <v>305</v>
      </c>
      <c r="B135" s="42" t="s">
        <v>127</v>
      </c>
      <c r="C135" s="43" t="s">
        <v>118</v>
      </c>
      <c r="D135" s="43" t="s">
        <v>128</v>
      </c>
      <c r="E135" s="31"/>
      <c r="F135" s="31"/>
      <c r="G135" s="31"/>
      <c r="H135" s="31"/>
      <c r="I135" s="31"/>
      <c r="J135" s="31"/>
      <c r="K135" s="31"/>
    </row>
    <row r="136" spans="1:11">
      <c r="A136" s="42" t="s">
        <v>306</v>
      </c>
      <c r="B136" s="42" t="s">
        <v>127</v>
      </c>
      <c r="C136" s="43" t="s">
        <v>118</v>
      </c>
      <c r="D136" s="43" t="s">
        <v>128</v>
      </c>
      <c r="E136" s="31"/>
      <c r="F136" s="31"/>
      <c r="G136" s="31"/>
      <c r="H136" s="31"/>
      <c r="I136" s="31"/>
      <c r="J136" s="31"/>
      <c r="K136" s="31"/>
    </row>
    <row r="137" spans="1:11">
      <c r="A137" s="42" t="s">
        <v>307</v>
      </c>
      <c r="B137" s="42" t="s">
        <v>127</v>
      </c>
      <c r="C137" s="43" t="s">
        <v>118</v>
      </c>
      <c r="D137" s="43" t="s">
        <v>128</v>
      </c>
      <c r="E137" s="31"/>
      <c r="F137" s="31"/>
      <c r="G137" s="31"/>
      <c r="H137" s="31"/>
      <c r="I137" s="31"/>
      <c r="J137" s="31"/>
      <c r="K137" s="31"/>
    </row>
    <row r="138" spans="1:11">
      <c r="A138" s="42" t="s">
        <v>308</v>
      </c>
      <c r="B138" s="43" t="s">
        <v>129</v>
      </c>
      <c r="C138" s="43" t="s">
        <v>118</v>
      </c>
      <c r="D138" s="43" t="s">
        <v>130</v>
      </c>
      <c r="E138" s="31"/>
      <c r="F138" s="31"/>
      <c r="G138" s="31"/>
      <c r="H138" s="31"/>
      <c r="I138" s="31"/>
      <c r="J138" s="31"/>
      <c r="K138" s="31"/>
    </row>
    <row r="139" spans="1:11">
      <c r="A139" s="43" t="s">
        <v>131</v>
      </c>
      <c r="B139" s="43" t="s">
        <v>131</v>
      </c>
      <c r="C139" s="43" t="s">
        <v>118</v>
      </c>
      <c r="D139" s="43" t="s">
        <v>132</v>
      </c>
      <c r="E139" s="31"/>
      <c r="F139" s="31"/>
      <c r="G139" s="31"/>
      <c r="H139" s="31"/>
      <c r="I139" s="31"/>
      <c r="J139" s="31"/>
      <c r="K139" s="31"/>
    </row>
    <row r="140" spans="1:11">
      <c r="A140" s="43" t="s">
        <v>309</v>
      </c>
      <c r="B140" s="43" t="s">
        <v>131</v>
      </c>
      <c r="C140" s="43" t="s">
        <v>118</v>
      </c>
      <c r="D140" s="43" t="s">
        <v>132</v>
      </c>
      <c r="E140" s="31"/>
      <c r="F140" s="31"/>
      <c r="G140" s="31"/>
      <c r="H140" s="31"/>
      <c r="I140" s="31"/>
      <c r="J140" s="31"/>
      <c r="K140" s="31"/>
    </row>
    <row r="141" spans="1:11">
      <c r="A141" s="42" t="s">
        <v>310</v>
      </c>
      <c r="B141" s="43" t="s">
        <v>131</v>
      </c>
      <c r="C141" s="43" t="s">
        <v>118</v>
      </c>
      <c r="D141" s="43" t="s">
        <v>132</v>
      </c>
      <c r="E141" s="31"/>
      <c r="F141" s="31"/>
      <c r="G141" s="31"/>
      <c r="H141" s="31"/>
      <c r="I141" s="31"/>
      <c r="J141" s="31"/>
      <c r="K141" s="31"/>
    </row>
    <row r="142" spans="1:11">
      <c r="A142" s="42" t="s">
        <v>311</v>
      </c>
      <c r="B142" s="42" t="s">
        <v>125</v>
      </c>
      <c r="C142" s="43" t="s">
        <v>118</v>
      </c>
      <c r="D142" s="43" t="s">
        <v>126</v>
      </c>
      <c r="E142" s="31"/>
      <c r="F142" s="31"/>
      <c r="G142" s="31"/>
      <c r="H142" s="31"/>
      <c r="I142" s="31"/>
      <c r="J142" s="31"/>
      <c r="K142" s="31"/>
    </row>
    <row r="143" spans="1:11">
      <c r="A143" s="43" t="s">
        <v>312</v>
      </c>
      <c r="B143" s="43" t="s">
        <v>125</v>
      </c>
      <c r="C143" s="43" t="s">
        <v>118</v>
      </c>
      <c r="D143" s="43" t="s">
        <v>126</v>
      </c>
      <c r="E143" s="31"/>
      <c r="F143" s="31"/>
      <c r="G143" s="31"/>
      <c r="H143" s="31"/>
      <c r="I143" s="31"/>
      <c r="J143" s="31"/>
      <c r="K143" s="31"/>
    </row>
    <row r="144" spans="1:11">
      <c r="A144" s="43" t="s">
        <v>313</v>
      </c>
      <c r="B144" s="43" t="s">
        <v>131</v>
      </c>
      <c r="C144" s="43" t="s">
        <v>118</v>
      </c>
      <c r="D144" s="43" t="s">
        <v>132</v>
      </c>
      <c r="E144" s="31"/>
      <c r="F144" s="31"/>
      <c r="G144" s="31"/>
      <c r="H144" s="31"/>
      <c r="I144" s="31"/>
      <c r="J144" s="31"/>
      <c r="K144" s="31"/>
    </row>
    <row r="145" spans="1:11">
      <c r="A145" s="43" t="s">
        <v>133</v>
      </c>
      <c r="B145" s="43" t="s">
        <v>133</v>
      </c>
      <c r="C145" s="43" t="s">
        <v>118</v>
      </c>
      <c r="D145" s="43" t="s">
        <v>14</v>
      </c>
      <c r="E145" s="31" t="s">
        <v>314</v>
      </c>
      <c r="F145" s="31"/>
      <c r="G145" s="31"/>
      <c r="H145" s="31"/>
      <c r="I145" s="31"/>
      <c r="J145" s="31"/>
      <c r="K145" s="31"/>
    </row>
    <row r="146" spans="1:11">
      <c r="A146" s="42" t="s">
        <v>315</v>
      </c>
      <c r="B146" s="43" t="s">
        <v>135</v>
      </c>
      <c r="C146" s="43" t="s">
        <v>118</v>
      </c>
      <c r="D146" s="43" t="s">
        <v>316</v>
      </c>
      <c r="E146" s="31" t="s">
        <v>136</v>
      </c>
      <c r="F146" s="31" t="s">
        <v>137</v>
      </c>
      <c r="G146" s="31" t="s">
        <v>139</v>
      </c>
      <c r="I146" s="31"/>
      <c r="J146" s="31"/>
      <c r="K146" s="31"/>
    </row>
    <row r="147" s="29" customFormat="1" spans="1:11">
      <c r="A147" s="33" t="s">
        <v>317</v>
      </c>
      <c r="B147" s="32" t="s">
        <v>141</v>
      </c>
      <c r="C147" s="32" t="s">
        <v>140</v>
      </c>
      <c r="D147" s="32" t="s">
        <v>142</v>
      </c>
      <c r="E147" s="32"/>
      <c r="F147" s="32"/>
      <c r="G147" s="32"/>
      <c r="H147" s="32"/>
      <c r="I147" s="32"/>
      <c r="J147" s="32"/>
      <c r="K147" s="32"/>
    </row>
    <row r="148" s="29" customFormat="1" spans="1:11">
      <c r="A148" s="33" t="s">
        <v>318</v>
      </c>
      <c r="B148" s="32" t="s">
        <v>141</v>
      </c>
      <c r="C148" s="32" t="s">
        <v>140</v>
      </c>
      <c r="D148" s="32" t="s">
        <v>142</v>
      </c>
      <c r="E148" s="32"/>
      <c r="F148" s="32"/>
      <c r="G148" s="32"/>
      <c r="H148" s="32"/>
      <c r="I148" s="32"/>
      <c r="J148" s="32"/>
      <c r="K148" s="32"/>
    </row>
    <row r="149" s="29" customFormat="1" spans="1:11">
      <c r="A149" s="33" t="s">
        <v>319</v>
      </c>
      <c r="B149" s="33" t="s">
        <v>141</v>
      </c>
      <c r="C149" s="32" t="s">
        <v>140</v>
      </c>
      <c r="D149" s="33" t="s">
        <v>142</v>
      </c>
      <c r="E149" s="32"/>
      <c r="F149" s="32"/>
      <c r="G149" s="32"/>
      <c r="H149" s="32"/>
      <c r="I149" s="32"/>
      <c r="J149" s="32"/>
      <c r="K149" s="32"/>
    </row>
    <row r="150" s="29" customFormat="1" spans="1:11">
      <c r="A150" s="33" t="s">
        <v>320</v>
      </c>
      <c r="B150" s="32" t="s">
        <v>143</v>
      </c>
      <c r="C150" s="32" t="s">
        <v>140</v>
      </c>
      <c r="D150" s="32" t="s">
        <v>144</v>
      </c>
      <c r="E150" s="32"/>
      <c r="F150" s="32"/>
      <c r="G150" s="32"/>
      <c r="H150" s="32"/>
      <c r="I150" s="32"/>
      <c r="J150" s="32"/>
      <c r="K150" s="32"/>
    </row>
    <row r="151" s="29" customFormat="1" spans="1:11">
      <c r="A151" s="33" t="s">
        <v>63</v>
      </c>
      <c r="B151" s="32" t="s">
        <v>143</v>
      </c>
      <c r="C151" s="32" t="s">
        <v>140</v>
      </c>
      <c r="D151" s="32" t="s">
        <v>144</v>
      </c>
      <c r="E151" s="32"/>
      <c r="F151" s="32"/>
      <c r="G151" s="32"/>
      <c r="H151" s="32"/>
      <c r="I151" s="32"/>
      <c r="J151" s="32"/>
      <c r="K151" s="32"/>
    </row>
    <row r="152" s="29" customFormat="1" spans="1:11">
      <c r="A152" s="33" t="s">
        <v>321</v>
      </c>
      <c r="B152" s="33" t="s">
        <v>145</v>
      </c>
      <c r="C152" s="32" t="s">
        <v>140</v>
      </c>
      <c r="D152" s="32" t="s">
        <v>146</v>
      </c>
      <c r="E152" s="32"/>
      <c r="F152" s="32"/>
      <c r="G152" s="32"/>
      <c r="H152" s="32"/>
      <c r="I152" s="32"/>
      <c r="J152" s="32"/>
      <c r="K152" s="32"/>
    </row>
    <row r="153" s="29" customFormat="1" spans="1:11">
      <c r="A153" s="32" t="s">
        <v>322</v>
      </c>
      <c r="B153" s="33" t="s">
        <v>145</v>
      </c>
      <c r="C153" s="32" t="s">
        <v>140</v>
      </c>
      <c r="D153" s="32" t="s">
        <v>146</v>
      </c>
      <c r="E153" s="32"/>
      <c r="F153" s="32"/>
      <c r="G153" s="32"/>
      <c r="H153" s="32"/>
      <c r="I153" s="32"/>
      <c r="J153" s="32"/>
      <c r="K153" s="32"/>
    </row>
    <row r="154" s="29" customFormat="1" spans="1:11">
      <c r="A154" s="33" t="s">
        <v>323</v>
      </c>
      <c r="B154" s="33" t="s">
        <v>145</v>
      </c>
      <c r="C154" s="32" t="s">
        <v>140</v>
      </c>
      <c r="D154" s="32" t="s">
        <v>146</v>
      </c>
      <c r="E154" s="32"/>
      <c r="F154" s="32"/>
      <c r="G154" s="32"/>
      <c r="H154" s="32"/>
      <c r="I154" s="32"/>
      <c r="J154" s="32"/>
      <c r="K154" s="32"/>
    </row>
    <row r="155" s="29" customFormat="1" spans="1:11">
      <c r="A155" s="33" t="s">
        <v>324</v>
      </c>
      <c r="B155" s="33" t="s">
        <v>145</v>
      </c>
      <c r="C155" s="32" t="s">
        <v>140</v>
      </c>
      <c r="D155" s="32" t="s">
        <v>146</v>
      </c>
      <c r="E155" s="32"/>
      <c r="F155" s="32"/>
      <c r="G155" s="32"/>
      <c r="H155" s="32"/>
      <c r="I155" s="32"/>
      <c r="J155" s="32"/>
      <c r="K155" s="32"/>
    </row>
    <row r="156" s="29" customFormat="1" spans="1:11">
      <c r="A156" s="33" t="s">
        <v>325</v>
      </c>
      <c r="B156" s="33" t="s">
        <v>145</v>
      </c>
      <c r="C156" s="32" t="s">
        <v>140</v>
      </c>
      <c r="D156" s="32" t="s">
        <v>146</v>
      </c>
      <c r="E156" s="32"/>
      <c r="F156" s="32"/>
      <c r="G156" s="32"/>
      <c r="H156" s="32"/>
      <c r="I156" s="32"/>
      <c r="J156" s="32"/>
      <c r="K156" s="32"/>
    </row>
    <row r="157" s="29" customFormat="1" spans="1:11">
      <c r="A157" s="33" t="s">
        <v>326</v>
      </c>
      <c r="B157" s="33" t="s">
        <v>145</v>
      </c>
      <c r="C157" s="32" t="s">
        <v>140</v>
      </c>
      <c r="D157" s="32" t="s">
        <v>146</v>
      </c>
      <c r="E157" s="32"/>
      <c r="F157" s="32"/>
      <c r="G157" s="32"/>
      <c r="H157" s="32"/>
      <c r="I157" s="32"/>
      <c r="J157" s="32"/>
      <c r="K157" s="32"/>
    </row>
    <row r="158" s="29" customFormat="1" spans="1:11">
      <c r="A158" s="33" t="s">
        <v>327</v>
      </c>
      <c r="B158" s="33" t="s">
        <v>328</v>
      </c>
      <c r="C158" s="32" t="s">
        <v>140</v>
      </c>
      <c r="D158" s="32" t="s">
        <v>152</v>
      </c>
      <c r="E158" s="32"/>
      <c r="F158" s="32"/>
      <c r="G158" s="32"/>
      <c r="H158" s="32"/>
      <c r="I158" s="32"/>
      <c r="J158" s="32"/>
      <c r="K158" s="32"/>
    </row>
    <row r="159" s="29" customFormat="1" spans="1:11">
      <c r="A159" s="33" t="s">
        <v>329</v>
      </c>
      <c r="B159" s="33" t="s">
        <v>328</v>
      </c>
      <c r="C159" s="32" t="s">
        <v>140</v>
      </c>
      <c r="D159" s="32" t="s">
        <v>152</v>
      </c>
      <c r="E159" s="32"/>
      <c r="F159" s="32"/>
      <c r="G159" s="32"/>
      <c r="H159" s="32"/>
      <c r="I159" s="32"/>
      <c r="J159" s="32"/>
      <c r="K159" s="32"/>
    </row>
    <row r="160" s="29" customFormat="1" spans="1:11">
      <c r="A160" s="33" t="s">
        <v>330</v>
      </c>
      <c r="B160" s="32" t="s">
        <v>328</v>
      </c>
      <c r="C160" s="32" t="s">
        <v>140</v>
      </c>
      <c r="D160" s="32" t="s">
        <v>152</v>
      </c>
      <c r="E160" s="32"/>
      <c r="F160" s="32"/>
      <c r="G160" s="32"/>
      <c r="H160" s="32"/>
      <c r="I160" s="32"/>
      <c r="J160" s="32"/>
      <c r="K160" s="32"/>
    </row>
    <row r="161" s="29" customFormat="1" spans="1:11">
      <c r="A161" s="33" t="s">
        <v>331</v>
      </c>
      <c r="B161" s="33" t="s">
        <v>328</v>
      </c>
      <c r="C161" s="32" t="s">
        <v>140</v>
      </c>
      <c r="D161" s="32" t="s">
        <v>152</v>
      </c>
      <c r="E161" s="32"/>
      <c r="F161" s="32"/>
      <c r="G161" s="32"/>
      <c r="H161" s="32"/>
      <c r="I161" s="32"/>
      <c r="J161" s="32"/>
      <c r="K161" s="32"/>
    </row>
    <row r="162" s="29" customFormat="1" spans="1:11">
      <c r="A162" s="33" t="s">
        <v>332</v>
      </c>
      <c r="B162" s="33" t="s">
        <v>328</v>
      </c>
      <c r="C162" s="32" t="s">
        <v>140</v>
      </c>
      <c r="D162" s="32" t="s">
        <v>152</v>
      </c>
      <c r="E162" s="32"/>
      <c r="F162" s="32"/>
      <c r="G162" s="32"/>
      <c r="H162" s="32"/>
      <c r="I162" s="32"/>
      <c r="J162" s="32"/>
      <c r="K162" s="32"/>
    </row>
    <row r="163" s="29" customFormat="1" spans="1:11">
      <c r="A163" s="33" t="s">
        <v>333</v>
      </c>
      <c r="B163" s="32" t="s">
        <v>149</v>
      </c>
      <c r="C163" s="32" t="s">
        <v>140</v>
      </c>
      <c r="D163" s="32" t="s">
        <v>153</v>
      </c>
      <c r="E163" s="32"/>
      <c r="F163" s="32"/>
      <c r="G163" s="32"/>
      <c r="H163" s="32"/>
      <c r="I163" s="32"/>
      <c r="J163" s="32"/>
      <c r="K163" s="32"/>
    </row>
    <row r="164" s="29" customFormat="1" spans="1:11">
      <c r="A164" s="33" t="s">
        <v>334</v>
      </c>
      <c r="B164" s="32" t="s">
        <v>149</v>
      </c>
      <c r="C164" s="32" t="s">
        <v>140</v>
      </c>
      <c r="D164" s="33" t="s">
        <v>153</v>
      </c>
      <c r="F164" s="32"/>
      <c r="G164" s="32"/>
      <c r="H164" s="32"/>
      <c r="I164" s="32"/>
      <c r="J164" s="32"/>
      <c r="K164" s="32"/>
    </row>
    <row r="165" s="29" customFormat="1" spans="1:11">
      <c r="A165" s="33" t="s">
        <v>335</v>
      </c>
      <c r="B165" s="32" t="s">
        <v>151</v>
      </c>
      <c r="C165" s="32" t="s">
        <v>140</v>
      </c>
      <c r="D165" s="32" t="s">
        <v>148</v>
      </c>
      <c r="E165" s="32"/>
      <c r="F165" s="32"/>
      <c r="G165" s="32"/>
      <c r="H165" s="32"/>
      <c r="I165" s="32"/>
      <c r="J165" s="32"/>
      <c r="K165" s="32"/>
    </row>
    <row r="166" s="29" customFormat="1" spans="1:11">
      <c r="A166" s="33" t="s">
        <v>88</v>
      </c>
      <c r="B166" s="32" t="s">
        <v>151</v>
      </c>
      <c r="C166" s="32" t="s">
        <v>140</v>
      </c>
      <c r="D166" s="32" t="s">
        <v>148</v>
      </c>
      <c r="E166" s="32"/>
      <c r="F166" s="32"/>
      <c r="G166" s="32"/>
      <c r="H166" s="32"/>
      <c r="I166" s="32"/>
      <c r="J166" s="32"/>
      <c r="K166" s="32"/>
    </row>
    <row r="167" s="29" customFormat="1" spans="1:11">
      <c r="A167" s="33" t="s">
        <v>336</v>
      </c>
      <c r="B167" s="33" t="s">
        <v>151</v>
      </c>
      <c r="C167" s="32" t="s">
        <v>140</v>
      </c>
      <c r="D167" s="32" t="s">
        <v>148</v>
      </c>
      <c r="E167" s="32" t="s">
        <v>153</v>
      </c>
      <c r="F167" s="32"/>
      <c r="G167" s="32"/>
      <c r="H167" s="32"/>
      <c r="I167" s="32"/>
      <c r="J167" s="32"/>
      <c r="K167" s="32"/>
    </row>
    <row r="168" s="29" customFormat="1" spans="1:11">
      <c r="A168" s="33" t="s">
        <v>147</v>
      </c>
      <c r="B168" s="32" t="s">
        <v>151</v>
      </c>
      <c r="C168" s="32" t="s">
        <v>140</v>
      </c>
      <c r="D168" s="32" t="s">
        <v>148</v>
      </c>
      <c r="E168" s="32"/>
      <c r="F168" s="32"/>
      <c r="G168" s="32"/>
      <c r="H168" s="32"/>
      <c r="I168" s="32"/>
      <c r="J168" s="32"/>
      <c r="K168" s="32"/>
    </row>
    <row r="169" spans="1:11">
      <c r="A169" s="44"/>
      <c r="B169" s="44" t="s">
        <v>155</v>
      </c>
      <c r="C169" s="44" t="s">
        <v>154</v>
      </c>
      <c r="D169" s="44" t="s">
        <v>14</v>
      </c>
      <c r="E169" s="31" t="s">
        <v>337</v>
      </c>
      <c r="F169" s="31"/>
      <c r="G169" s="31"/>
      <c r="H169" s="31"/>
      <c r="I169" s="31"/>
      <c r="J169" s="31"/>
      <c r="K169" s="31"/>
    </row>
    <row r="170" spans="1:11">
      <c r="A170" s="44" t="s">
        <v>338</v>
      </c>
      <c r="B170" s="44" t="s">
        <v>158</v>
      </c>
      <c r="C170" s="44" t="s">
        <v>154</v>
      </c>
      <c r="D170" s="44" t="s">
        <v>159</v>
      </c>
      <c r="E170" s="31"/>
      <c r="F170" s="31"/>
      <c r="G170" s="31"/>
      <c r="H170" s="31"/>
      <c r="I170" s="31"/>
      <c r="J170" s="31"/>
      <c r="K170" s="31"/>
    </row>
    <row r="171" spans="1:11">
      <c r="A171" s="45" t="s">
        <v>339</v>
      </c>
      <c r="B171" s="44" t="s">
        <v>157</v>
      </c>
      <c r="C171" s="44" t="s">
        <v>154</v>
      </c>
      <c r="D171" s="45" t="s">
        <v>340</v>
      </c>
      <c r="E171" s="31"/>
      <c r="F171" s="31"/>
      <c r="G171" s="31"/>
      <c r="H171" s="31"/>
      <c r="I171" s="31"/>
      <c r="J171" s="31"/>
      <c r="K171" s="31"/>
    </row>
    <row r="172" spans="1:11">
      <c r="A172" s="45" t="s">
        <v>341</v>
      </c>
      <c r="B172" s="44" t="s">
        <v>157</v>
      </c>
      <c r="C172" s="44" t="s">
        <v>154</v>
      </c>
      <c r="D172" s="45" t="s">
        <v>340</v>
      </c>
      <c r="E172" s="31"/>
      <c r="F172" s="31"/>
      <c r="G172" s="31"/>
      <c r="H172" s="31"/>
      <c r="I172" s="31"/>
      <c r="J172" s="31"/>
      <c r="K172" s="31"/>
    </row>
    <row r="173" spans="1:11">
      <c r="A173" s="46"/>
      <c r="B173" s="46" t="s">
        <v>161</v>
      </c>
      <c r="C173" s="46" t="s">
        <v>160</v>
      </c>
      <c r="D173" s="46" t="s">
        <v>162</v>
      </c>
      <c r="E173" s="31"/>
      <c r="F173" s="31"/>
      <c r="G173" s="31"/>
      <c r="H173" s="31"/>
      <c r="I173" s="31"/>
      <c r="J173" s="31"/>
      <c r="K173" s="31"/>
    </row>
    <row r="174" spans="1:11">
      <c r="A174" s="46"/>
      <c r="B174" s="46" t="s">
        <v>163</v>
      </c>
      <c r="C174" s="46" t="s">
        <v>160</v>
      </c>
      <c r="D174" s="46" t="s">
        <v>342</v>
      </c>
      <c r="E174" s="31"/>
      <c r="F174" s="31"/>
      <c r="G174" s="31"/>
      <c r="H174" s="31"/>
      <c r="I174" s="31"/>
      <c r="J174" s="31"/>
      <c r="K174" s="31"/>
    </row>
    <row r="175" spans="1:11">
      <c r="A175" s="46"/>
      <c r="B175" s="46" t="s">
        <v>165</v>
      </c>
      <c r="C175" s="46" t="s">
        <v>160</v>
      </c>
      <c r="D175" s="46" t="s">
        <v>173</v>
      </c>
      <c r="E175" s="31"/>
      <c r="F175" s="31"/>
      <c r="G175" s="31"/>
      <c r="H175" s="31"/>
      <c r="I175" s="31"/>
      <c r="J175" s="31"/>
      <c r="K175" s="31"/>
    </row>
    <row r="176" spans="1:11">
      <c r="A176" s="46"/>
      <c r="B176" s="46" t="s">
        <v>167</v>
      </c>
      <c r="C176" s="46" t="s">
        <v>160</v>
      </c>
      <c r="D176" s="46" t="s">
        <v>170</v>
      </c>
      <c r="E176" s="31"/>
      <c r="F176" s="31"/>
      <c r="G176" s="31"/>
      <c r="H176" s="31"/>
      <c r="I176" s="31"/>
      <c r="J176" s="31"/>
      <c r="K176" s="31"/>
    </row>
    <row r="177" spans="1:11">
      <c r="A177" s="46"/>
      <c r="B177" s="46" t="s">
        <v>169</v>
      </c>
      <c r="C177" s="46" t="s">
        <v>160</v>
      </c>
      <c r="D177" s="46" t="s">
        <v>168</v>
      </c>
      <c r="E177" s="31"/>
      <c r="F177" s="31"/>
      <c r="H177" s="31"/>
      <c r="I177" s="31"/>
      <c r="J177" s="31"/>
      <c r="K177" s="31"/>
    </row>
    <row r="178" spans="1:11">
      <c r="A178" s="46"/>
      <c r="B178" s="46" t="s">
        <v>171</v>
      </c>
      <c r="C178" s="46" t="s">
        <v>160</v>
      </c>
      <c r="D178" s="46" t="s">
        <v>172</v>
      </c>
      <c r="E178" s="31" t="s">
        <v>173</v>
      </c>
      <c r="F178" s="31" t="s">
        <v>174</v>
      </c>
      <c r="G178" s="31"/>
      <c r="H178" s="31"/>
      <c r="I178" s="31"/>
      <c r="J178" s="31"/>
      <c r="K178" s="31"/>
    </row>
    <row r="180" spans="2:2">
      <c r="B180" t="s">
        <v>175</v>
      </c>
    </row>
  </sheetData>
  <autoFilter ref="A1:K18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7"/>
  <sheetViews>
    <sheetView zoomScale="115" zoomScaleNormal="115" topLeftCell="A235" workbookViewId="0">
      <pane xSplit="1" topLeftCell="B1" activePane="topRight" state="frozen"/>
      <selection/>
      <selection pane="topRight" activeCell="C255" sqref="C255"/>
    </sheetView>
  </sheetViews>
  <sheetFormatPr defaultColWidth="9" defaultRowHeight="13.5" outlineLevelCol="4"/>
  <cols>
    <col min="1" max="1" width="13.875" customWidth="1"/>
    <col min="2" max="2" width="20.125" customWidth="1"/>
    <col min="3" max="3" width="12.125" customWidth="1"/>
    <col min="4" max="4" width="17.375" style="26" customWidth="1"/>
  </cols>
  <sheetData>
    <row r="1" spans="1:5">
      <c r="A1" t="s">
        <v>4</v>
      </c>
      <c r="B1" t="s">
        <v>343</v>
      </c>
      <c r="C1" t="s">
        <v>344</v>
      </c>
      <c r="D1" s="27" t="s">
        <v>345</v>
      </c>
      <c r="E1" t="s">
        <v>346</v>
      </c>
    </row>
    <row r="2" spans="1:5">
      <c r="A2" t="s">
        <v>347</v>
      </c>
      <c r="B2">
        <v>0</v>
      </c>
      <c r="C2" t="e">
        <v>#N/A</v>
      </c>
      <c r="D2" s="26" t="e">
        <f>VLOOKUP(A2,'业务员-市场'!A:B,2,0)</f>
        <v>#N/A</v>
      </c>
      <c r="E2" t="e">
        <f>VLOOKUP(D2,'业务员-市场'!B:C,2,0)</f>
        <v>#N/A</v>
      </c>
    </row>
    <row r="3" spans="1:5">
      <c r="A3" t="s">
        <v>135</v>
      </c>
      <c r="B3" t="s">
        <v>348</v>
      </c>
      <c r="C3" t="s">
        <v>118</v>
      </c>
      <c r="D3" s="26" t="s">
        <v>135</v>
      </c>
      <c r="E3" t="s">
        <v>118</v>
      </c>
    </row>
    <row r="4" spans="1:5">
      <c r="A4" t="s">
        <v>349</v>
      </c>
      <c r="B4">
        <v>0</v>
      </c>
      <c r="C4" t="e">
        <v>#N/A</v>
      </c>
      <c r="D4" s="26">
        <f>B4</f>
        <v>0</v>
      </c>
      <c r="E4" t="e">
        <f>VLOOKUP(D4,'业务员-市场'!B:C,2,0)</f>
        <v>#N/A</v>
      </c>
    </row>
    <row r="5" spans="1:5">
      <c r="A5" t="s">
        <v>350</v>
      </c>
      <c r="B5">
        <v>0</v>
      </c>
      <c r="C5" t="e">
        <v>#N/A</v>
      </c>
      <c r="D5" s="26">
        <f>B5</f>
        <v>0</v>
      </c>
      <c r="E5" t="e">
        <f>VLOOKUP(D5,'业务员-市场'!B:C,2,0)</f>
        <v>#N/A</v>
      </c>
    </row>
    <row r="6" spans="1:5">
      <c r="A6" t="s">
        <v>217</v>
      </c>
      <c r="B6" t="s">
        <v>44</v>
      </c>
      <c r="C6" t="s">
        <v>32</v>
      </c>
      <c r="D6" s="26" t="str">
        <f>VLOOKUP(A6,'业务员-市场'!A:B,2,0)</f>
        <v>马尔代夫</v>
      </c>
      <c r="E6" t="str">
        <f>VLOOKUP(D6,'业务员-市场'!B:C,2,0)</f>
        <v>亚洲1</v>
      </c>
    </row>
    <row r="7" spans="1:5">
      <c r="A7" t="s">
        <v>351</v>
      </c>
      <c r="B7" t="s">
        <v>348</v>
      </c>
      <c r="C7" t="s">
        <v>118</v>
      </c>
      <c r="D7" s="26" t="s">
        <v>127</v>
      </c>
      <c r="E7" t="s">
        <v>118</v>
      </c>
    </row>
    <row r="8" spans="1:5">
      <c r="A8" s="28" t="s">
        <v>187</v>
      </c>
      <c r="B8" t="s">
        <v>18</v>
      </c>
      <c r="C8" t="s">
        <v>6</v>
      </c>
      <c r="D8" s="26" t="str">
        <f>VLOOKUP(A8,'业务员-市场'!A:B,2,0)</f>
        <v>俄罗斯（西南）</v>
      </c>
      <c r="E8" t="str">
        <f>VLOOKUP(D8,'业务员-市场'!B:C,2,0)</f>
        <v>俄罗斯</v>
      </c>
    </row>
    <row r="9" spans="1:5">
      <c r="A9" t="s">
        <v>243</v>
      </c>
      <c r="B9" t="s">
        <v>80</v>
      </c>
      <c r="C9" t="s">
        <v>77</v>
      </c>
      <c r="D9" s="26" t="str">
        <f>VLOOKUP(A9,'业务员-市场'!A:B,2,0)</f>
        <v>沙特工厂</v>
      </c>
      <c r="E9" t="str">
        <f>VLOOKUP(D9,'业务员-市场'!B:C,2,0)</f>
        <v>中东</v>
      </c>
    </row>
    <row r="10" spans="1:5">
      <c r="A10" t="s">
        <v>237</v>
      </c>
      <c r="B10" t="s">
        <v>69</v>
      </c>
      <c r="C10" t="s">
        <v>52</v>
      </c>
      <c r="D10" s="26" t="str">
        <f>VLOOKUP(A10,'业务员-市场'!A:B,2,0)</f>
        <v>印度私营</v>
      </c>
      <c r="E10" t="str">
        <f>VLOOKUP(D10,'业务员-市场'!B:C,2,0)</f>
        <v>亚洲2</v>
      </c>
    </row>
    <row r="11" spans="1:5">
      <c r="A11" t="s">
        <v>352</v>
      </c>
      <c r="B11" t="s">
        <v>112</v>
      </c>
      <c r="C11" t="s">
        <v>100</v>
      </c>
      <c r="D11" s="26" t="str">
        <f>B11</f>
        <v>阿塞拜疆</v>
      </c>
      <c r="E11" t="str">
        <f>VLOOKUP(D11,'业务员-市场'!B:C,2,0)</f>
        <v>中亚</v>
      </c>
    </row>
    <row r="12" spans="1:5">
      <c r="A12" t="s">
        <v>353</v>
      </c>
      <c r="B12" t="s">
        <v>353</v>
      </c>
      <c r="C12" t="s">
        <v>140</v>
      </c>
      <c r="D12" s="26" t="s">
        <v>143</v>
      </c>
      <c r="E12" t="s">
        <v>140</v>
      </c>
    </row>
    <row r="13" spans="1:5">
      <c r="A13" s="29" t="s">
        <v>250</v>
      </c>
      <c r="B13" s="29" t="s">
        <v>84</v>
      </c>
      <c r="C13" s="29" t="s">
        <v>77</v>
      </c>
      <c r="D13" s="26" t="str">
        <f>VLOOKUP(A13,'业务员-市场'!A:B,2,0)</f>
        <v>科威特</v>
      </c>
      <c r="E13" t="str">
        <f>VLOOKUP(D13,'业务员-市场'!B:C,2,0)</f>
        <v>中东</v>
      </c>
    </row>
    <row r="14" spans="1:5">
      <c r="A14" t="s">
        <v>88</v>
      </c>
      <c r="B14" t="s">
        <v>88</v>
      </c>
      <c r="C14" t="s">
        <v>77</v>
      </c>
      <c r="D14" s="26" t="str">
        <f>VLOOKUP(A14,'业务员-市场'!A:B,2,0)</f>
        <v>埃及-2</v>
      </c>
      <c r="E14" t="str">
        <f>VLOOKUP(D14,'业务员-市场'!B:C,2,0)</f>
        <v>非洲</v>
      </c>
    </row>
    <row r="15" spans="1:5">
      <c r="A15" t="s">
        <v>338</v>
      </c>
      <c r="B15" t="s">
        <v>158</v>
      </c>
      <c r="C15" t="s">
        <v>154</v>
      </c>
      <c r="D15" s="26" t="str">
        <f>VLOOKUP(A15,'业务员-市场'!A:B,2,0)</f>
        <v>英国意大利</v>
      </c>
      <c r="E15" t="str">
        <f>VLOOKUP(D15,'业务员-市场'!B:C,2,0)</f>
        <v>欧洲</v>
      </c>
    </row>
    <row r="16" spans="1:5">
      <c r="A16" t="s">
        <v>354</v>
      </c>
      <c r="B16" t="s">
        <v>57</v>
      </c>
      <c r="C16" t="s">
        <v>52</v>
      </c>
      <c r="D16" s="26" t="str">
        <f>B16</f>
        <v>巴基斯坦</v>
      </c>
      <c r="E16" t="str">
        <f>VLOOKUP(D16,'业务员-市场'!B:C,2,0)</f>
        <v>亚洲2</v>
      </c>
    </row>
    <row r="17" spans="1:5">
      <c r="A17" t="s">
        <v>355</v>
      </c>
      <c r="B17" t="s">
        <v>353</v>
      </c>
      <c r="C17" t="s">
        <v>140</v>
      </c>
      <c r="D17" s="26" t="s">
        <v>143</v>
      </c>
      <c r="E17" t="s">
        <v>140</v>
      </c>
    </row>
    <row r="18" spans="1:5">
      <c r="A18" t="s">
        <v>92</v>
      </c>
      <c r="B18" t="s">
        <v>39</v>
      </c>
      <c r="C18" t="s">
        <v>32</v>
      </c>
      <c r="D18" s="26" t="str">
        <f>VLOOKUP(A18,'业务员-市场'!A:B,2,0)</f>
        <v>泰国</v>
      </c>
      <c r="E18" t="str">
        <f>VLOOKUP(D18,'业务员-市场'!B:C,2,0)</f>
        <v>亚洲1</v>
      </c>
    </row>
    <row r="19" spans="1:5">
      <c r="A19" t="s">
        <v>84</v>
      </c>
      <c r="B19" t="s">
        <v>84</v>
      </c>
      <c r="C19" t="s">
        <v>77</v>
      </c>
      <c r="D19" s="26" t="str">
        <f>VLOOKUP(A19,'业务员-市场'!A:B,2,0)</f>
        <v>科威特</v>
      </c>
      <c r="E19" t="str">
        <f>VLOOKUP(D19,'业务员-市场'!B:C,2,0)</f>
        <v>中东</v>
      </c>
    </row>
    <row r="20" spans="1:5">
      <c r="A20" t="s">
        <v>244</v>
      </c>
      <c r="B20" t="s">
        <v>82</v>
      </c>
      <c r="C20" t="s">
        <v>77</v>
      </c>
      <c r="D20" s="26" t="str">
        <f>VLOOKUP(A20,'业务员-市场'!A:B,2,0)</f>
        <v>沙特-1</v>
      </c>
      <c r="E20" t="str">
        <f>VLOOKUP(D20,'业务员-市场'!B:C,2,0)</f>
        <v>中东</v>
      </c>
    </row>
    <row r="21" spans="1:5">
      <c r="A21" t="s">
        <v>205</v>
      </c>
      <c r="B21" t="s">
        <v>39</v>
      </c>
      <c r="C21" t="s">
        <v>32</v>
      </c>
      <c r="D21" s="26" t="str">
        <f>VLOOKUP(A21,'业务员-市场'!A:B,2,0)</f>
        <v>泰国</v>
      </c>
      <c r="E21" t="str">
        <f>VLOOKUP(D21,'业务员-市场'!B:C,2,0)</f>
        <v>亚洲1</v>
      </c>
    </row>
    <row r="22" spans="1:5">
      <c r="A22" t="s">
        <v>254</v>
      </c>
      <c r="B22" t="s">
        <v>86</v>
      </c>
      <c r="C22" t="s">
        <v>77</v>
      </c>
      <c r="D22" s="26" t="str">
        <f>VLOOKUP(A22,'业务员-市场'!A:B,2,0)</f>
        <v>阿联酋-1</v>
      </c>
      <c r="E22" t="str">
        <f>VLOOKUP(D22,'业务员-市场'!B:C,2,0)</f>
        <v>中东</v>
      </c>
    </row>
    <row r="23" spans="1:5">
      <c r="A23" t="s">
        <v>260</v>
      </c>
      <c r="B23" t="s">
        <v>88</v>
      </c>
      <c r="C23" t="s">
        <v>77</v>
      </c>
      <c r="D23" s="26" t="str">
        <f>VLOOKUP(A23,'业务员-市场'!A:B,2,0)</f>
        <v>卡塔尔</v>
      </c>
      <c r="E23" t="str">
        <f>VLOOKUP(D23,'业务员-市场'!B:C,2,0)</f>
        <v>中东</v>
      </c>
    </row>
    <row r="24" spans="1:5">
      <c r="A24" t="s">
        <v>90</v>
      </c>
      <c r="B24" t="s">
        <v>39</v>
      </c>
      <c r="C24" t="s">
        <v>32</v>
      </c>
      <c r="D24" s="26" t="str">
        <f>VLOOKUP(A24,'业务员-市场'!A:B,2,0)</f>
        <v>泰国</v>
      </c>
      <c r="E24" t="str">
        <f>VLOOKUP(D24,'业务员-市场'!B:C,2,0)</f>
        <v>亚洲1</v>
      </c>
    </row>
    <row r="25" spans="1:5">
      <c r="A25" t="s">
        <v>265</v>
      </c>
      <c r="B25" t="s">
        <v>39</v>
      </c>
      <c r="C25" t="s">
        <v>32</v>
      </c>
      <c r="D25" s="26" t="str">
        <f>VLOOKUP(A25,'业务员-市场'!A:B,2,0)</f>
        <v>伊朗+阿曼</v>
      </c>
      <c r="E25" t="str">
        <f>VLOOKUP(D25,'业务员-市场'!B:C,2,0)</f>
        <v>中东</v>
      </c>
    </row>
    <row r="26" spans="1:5">
      <c r="A26" t="s">
        <v>356</v>
      </c>
      <c r="B26">
        <v>0</v>
      </c>
      <c r="C26" t="e">
        <v>#N/A</v>
      </c>
      <c r="D26" s="26">
        <f>B26</f>
        <v>0</v>
      </c>
      <c r="E26" t="e">
        <f>VLOOKUP(D26,'业务员-市场'!B:C,2,0)</f>
        <v>#N/A</v>
      </c>
    </row>
    <row r="27" spans="1:5">
      <c r="A27" t="s">
        <v>357</v>
      </c>
      <c r="B27">
        <v>0</v>
      </c>
      <c r="C27" t="e">
        <v>#N/A</v>
      </c>
      <c r="D27" s="26">
        <f>B27</f>
        <v>0</v>
      </c>
      <c r="E27" t="e">
        <f>VLOOKUP(D27,'业务员-市场'!B:C,2,0)</f>
        <v>#N/A</v>
      </c>
    </row>
    <row r="28" spans="1:5">
      <c r="A28" t="s">
        <v>358</v>
      </c>
      <c r="B28">
        <v>0</v>
      </c>
      <c r="C28" t="e">
        <v>#N/A</v>
      </c>
      <c r="D28" s="26">
        <f>B28</f>
        <v>0</v>
      </c>
      <c r="E28" t="e">
        <f>VLOOKUP(D28,'业务员-市场'!B:C,2,0)</f>
        <v>#N/A</v>
      </c>
    </row>
    <row r="29" spans="1:5">
      <c r="A29" t="s">
        <v>359</v>
      </c>
      <c r="B29" t="s">
        <v>39</v>
      </c>
      <c r="C29" t="s">
        <v>32</v>
      </c>
      <c r="D29" s="26" t="str">
        <f>B29</f>
        <v>泰国</v>
      </c>
      <c r="E29" t="str">
        <f>VLOOKUP(D29,'业务员-市场'!B:C,2,0)</f>
        <v>亚洲1</v>
      </c>
    </row>
    <row r="30" spans="1:5">
      <c r="A30" t="s">
        <v>360</v>
      </c>
      <c r="B30" t="s">
        <v>39</v>
      </c>
      <c r="C30" t="s">
        <v>32</v>
      </c>
      <c r="D30" s="26" t="str">
        <f>B30</f>
        <v>泰国</v>
      </c>
      <c r="E30" t="str">
        <f>VLOOKUP(D30,'业务员-市场'!B:C,2,0)</f>
        <v>亚洲1</v>
      </c>
    </row>
    <row r="31" spans="1:5">
      <c r="A31" t="s">
        <v>206</v>
      </c>
      <c r="B31" t="s">
        <v>43</v>
      </c>
      <c r="C31" t="s">
        <v>32</v>
      </c>
      <c r="D31" s="26" t="str">
        <f>VLOOKUP(A31,'业务员-市场'!A:B,2,0)</f>
        <v>金三角</v>
      </c>
      <c r="E31" t="str">
        <f>VLOOKUP(D31,'业务员-市场'!B:C,2,0)</f>
        <v>亚洲1</v>
      </c>
    </row>
    <row r="32" spans="1:5">
      <c r="A32" t="s">
        <v>57</v>
      </c>
      <c r="B32" t="s">
        <v>57</v>
      </c>
      <c r="C32" t="s">
        <v>52</v>
      </c>
      <c r="D32" s="26" t="str">
        <f>VLOOKUP(A32,'业务员-市场'!A:B,2,0)</f>
        <v>巴基斯坦</v>
      </c>
      <c r="E32" t="str">
        <f>VLOOKUP(D32,'业务员-市场'!B:C,2,0)</f>
        <v>亚洲2</v>
      </c>
    </row>
    <row r="33" spans="1:5">
      <c r="A33" t="s">
        <v>230</v>
      </c>
      <c r="B33" t="s">
        <v>59</v>
      </c>
      <c r="C33" t="s">
        <v>52</v>
      </c>
      <c r="D33" s="26" t="str">
        <f>VLOOKUP(A33,'业务员-市场'!A:B,2,0)</f>
        <v>孟加拉-1</v>
      </c>
      <c r="E33" t="str">
        <f>VLOOKUP(D33,'业务员-市场'!B:C,2,0)</f>
        <v>亚洲2</v>
      </c>
    </row>
    <row r="34" spans="1:5">
      <c r="A34" t="s">
        <v>46</v>
      </c>
      <c r="B34" t="s">
        <v>46</v>
      </c>
      <c r="C34" t="s">
        <v>32</v>
      </c>
      <c r="D34" s="26" t="str">
        <f>VLOOKUP(A34,'业务员-市场'!A:B,2,0)</f>
        <v>马尔代夫</v>
      </c>
      <c r="E34" t="str">
        <f>VLOOKUP(D34,'业务员-市场'!B:C,2,0)</f>
        <v>亚洲1</v>
      </c>
    </row>
    <row r="35" spans="1:5">
      <c r="A35" t="s">
        <v>299</v>
      </c>
      <c r="B35" t="s">
        <v>125</v>
      </c>
      <c r="C35" t="s">
        <v>118</v>
      </c>
      <c r="D35" s="26" t="str">
        <f>VLOOKUP(A35,'业务员-市场'!A:B,2,0)</f>
        <v>智利</v>
      </c>
      <c r="E35" t="str">
        <f>VLOOKUP(D35,'业务员-市场'!B:C,2,0)</f>
        <v>美洲</v>
      </c>
    </row>
    <row r="36" spans="1:5">
      <c r="A36" t="s">
        <v>298</v>
      </c>
      <c r="B36" t="s">
        <v>125</v>
      </c>
      <c r="C36" t="s">
        <v>118</v>
      </c>
      <c r="D36" s="26" t="str">
        <f>VLOOKUP(A36,'业务员-市场'!A:B,2,0)</f>
        <v>智利</v>
      </c>
      <c r="E36" t="str">
        <f>VLOOKUP(D36,'业务员-市场'!B:C,2,0)</f>
        <v>美洲</v>
      </c>
    </row>
    <row r="37" spans="1:5">
      <c r="A37" t="s">
        <v>304</v>
      </c>
      <c r="B37" t="s">
        <v>127</v>
      </c>
      <c r="C37" t="s">
        <v>118</v>
      </c>
      <c r="D37" s="26" t="str">
        <f>VLOOKUP(A37,'业务员-市场'!A:B,2,0)</f>
        <v>加勒比海</v>
      </c>
      <c r="E37" t="str">
        <f>VLOOKUP(D37,'业务员-市场'!B:C,2,0)</f>
        <v>美洲</v>
      </c>
    </row>
    <row r="38" spans="1:5">
      <c r="A38" t="s">
        <v>361</v>
      </c>
      <c r="B38">
        <v>0</v>
      </c>
      <c r="C38" t="e">
        <v>#N/A</v>
      </c>
      <c r="D38" s="26">
        <f>B38</f>
        <v>0</v>
      </c>
      <c r="E38" t="e">
        <f>VLOOKUP(D38,'业务员-市场'!B:C,2,0)</f>
        <v>#N/A</v>
      </c>
    </row>
    <row r="39" spans="1:5">
      <c r="A39" t="s">
        <v>123</v>
      </c>
      <c r="B39" t="s">
        <v>123</v>
      </c>
      <c r="C39" t="s">
        <v>118</v>
      </c>
      <c r="D39" s="26" t="str">
        <f>VLOOKUP(A39,'业务员-市场'!A:B,2,0)</f>
        <v>秘鲁</v>
      </c>
      <c r="E39" t="str">
        <f>VLOOKUP(D39,'业务员-市场'!B:C,2,0)</f>
        <v>美洲</v>
      </c>
    </row>
    <row r="40" spans="1:5">
      <c r="A40" t="s">
        <v>362</v>
      </c>
      <c r="B40">
        <v>0</v>
      </c>
      <c r="C40" t="e">
        <v>#N/A</v>
      </c>
      <c r="D40" s="26">
        <f>B40</f>
        <v>0</v>
      </c>
      <c r="E40" t="e">
        <f>VLOOKUP(D40,'业务员-市场'!B:C,2,0)</f>
        <v>#N/A</v>
      </c>
    </row>
    <row r="41" spans="1:5">
      <c r="A41" t="s">
        <v>363</v>
      </c>
      <c r="B41">
        <v>0</v>
      </c>
      <c r="C41" t="e">
        <v>#N/A</v>
      </c>
      <c r="D41" s="26">
        <f>B41</f>
        <v>0</v>
      </c>
      <c r="E41" t="e">
        <f>VLOOKUP(D41,'业务员-市场'!B:C,2,0)</f>
        <v>#N/A</v>
      </c>
    </row>
    <row r="42" spans="1:5">
      <c r="A42" t="s">
        <v>125</v>
      </c>
      <c r="B42" t="s">
        <v>125</v>
      </c>
      <c r="C42" t="s">
        <v>118</v>
      </c>
      <c r="D42" s="26" t="str">
        <f>VLOOKUP(A42,'业务员-市场'!A:B,2,0)</f>
        <v>智利</v>
      </c>
      <c r="E42" t="str">
        <f>VLOOKUP(D42,'业务员-市场'!B:C,2,0)</f>
        <v>美洲</v>
      </c>
    </row>
    <row r="43" spans="1:5">
      <c r="A43" t="s">
        <v>296</v>
      </c>
      <c r="B43" t="s">
        <v>123</v>
      </c>
      <c r="C43" t="s">
        <v>118</v>
      </c>
      <c r="D43" s="26" t="str">
        <f>VLOOKUP(A43,'业务员-市场'!A:B,2,0)</f>
        <v>秘鲁</v>
      </c>
      <c r="E43" t="str">
        <f>VLOOKUP(D43,'业务员-市场'!B:C,2,0)</f>
        <v>美洲</v>
      </c>
    </row>
    <row r="44" spans="1:5">
      <c r="A44" t="s">
        <v>313</v>
      </c>
      <c r="B44" t="s">
        <v>131</v>
      </c>
      <c r="C44" t="s">
        <v>118</v>
      </c>
      <c r="D44" s="26" t="str">
        <f>VLOOKUP(A44,'业务员-市场'!A:B,2,0)</f>
        <v>哥伦比亚</v>
      </c>
      <c r="E44" t="str">
        <f>VLOOKUP(D44,'业务员-市场'!B:C,2,0)</f>
        <v>美洲</v>
      </c>
    </row>
    <row r="45" spans="1:5">
      <c r="A45" t="s">
        <v>297</v>
      </c>
      <c r="B45" t="s">
        <v>125</v>
      </c>
      <c r="C45" t="s">
        <v>118</v>
      </c>
      <c r="D45" s="26" t="str">
        <f>VLOOKUP(A45,'业务员-市场'!A:B,2,0)</f>
        <v>智利</v>
      </c>
      <c r="E45" t="str">
        <f>VLOOKUP(D45,'业务员-市场'!B:C,2,0)</f>
        <v>美洲</v>
      </c>
    </row>
    <row r="46" spans="1:5">
      <c r="A46" t="s">
        <v>309</v>
      </c>
      <c r="B46" t="s">
        <v>131</v>
      </c>
      <c r="C46" t="s">
        <v>118</v>
      </c>
      <c r="D46" s="26" t="str">
        <f>VLOOKUP(A46,'业务员-市场'!A:B,2,0)</f>
        <v>哥伦比亚</v>
      </c>
      <c r="E46" t="str">
        <f>VLOOKUP(D46,'业务员-市场'!B:C,2,0)</f>
        <v>美洲</v>
      </c>
    </row>
    <row r="47" spans="1:5">
      <c r="A47" t="s">
        <v>131</v>
      </c>
      <c r="B47" t="s">
        <v>131</v>
      </c>
      <c r="C47" t="s">
        <v>118</v>
      </c>
      <c r="D47" s="26" t="str">
        <f>VLOOKUP(A47,'业务员-市场'!A:B,2,0)</f>
        <v>哥伦比亚</v>
      </c>
      <c r="E47" t="str">
        <f>VLOOKUP(D47,'业务员-市场'!B:C,2,0)</f>
        <v>美洲</v>
      </c>
    </row>
    <row r="48" spans="1:5">
      <c r="A48" t="s">
        <v>302</v>
      </c>
      <c r="B48" t="s">
        <v>127</v>
      </c>
      <c r="C48" t="s">
        <v>118</v>
      </c>
      <c r="D48" s="26" t="str">
        <f>VLOOKUP(A48,'业务员-市场'!A:B,2,0)</f>
        <v>加勒比海</v>
      </c>
      <c r="E48" t="str">
        <f>VLOOKUP(D48,'业务员-市场'!B:C,2,0)</f>
        <v>美洲</v>
      </c>
    </row>
    <row r="49" spans="1:5">
      <c r="A49" t="s">
        <v>129</v>
      </c>
      <c r="B49" t="s">
        <v>127</v>
      </c>
      <c r="C49" t="s">
        <v>118</v>
      </c>
      <c r="D49" s="26" t="str">
        <f>VLOOKUP(A49,'业务员-市场'!A:B,2,0)</f>
        <v>加勒比海</v>
      </c>
      <c r="E49" t="str">
        <f>VLOOKUP(D49,'业务员-市场'!B:C,2,0)</f>
        <v>美洲</v>
      </c>
    </row>
    <row r="50" spans="1:5">
      <c r="A50" t="s">
        <v>291</v>
      </c>
      <c r="B50" t="s">
        <v>119</v>
      </c>
      <c r="C50" t="s">
        <v>118</v>
      </c>
      <c r="D50" s="26" t="str">
        <f>VLOOKUP(A50,'业务员-市场'!A:B,2,0)</f>
        <v>墨西哥-1</v>
      </c>
      <c r="E50" t="str">
        <f>VLOOKUP(D50,'业务员-市场'!B:C,2,0)</f>
        <v>美洲</v>
      </c>
    </row>
    <row r="51" spans="1:5">
      <c r="A51" t="s">
        <v>303</v>
      </c>
      <c r="B51" t="s">
        <v>127</v>
      </c>
      <c r="C51" t="s">
        <v>118</v>
      </c>
      <c r="D51" s="26" t="str">
        <f>VLOOKUP(A51,'业务员-市场'!A:B,2,0)</f>
        <v>加勒比海</v>
      </c>
      <c r="E51" t="str">
        <f>VLOOKUP(D51,'业务员-市场'!B:C,2,0)</f>
        <v>美洲</v>
      </c>
    </row>
    <row r="52" spans="1:5">
      <c r="A52" t="s">
        <v>301</v>
      </c>
      <c r="B52" t="s">
        <v>127</v>
      </c>
      <c r="C52" t="s">
        <v>118</v>
      </c>
      <c r="D52" s="26" t="str">
        <f>VLOOKUP(A52,'业务员-市场'!A:B,2,0)</f>
        <v>加勒比海</v>
      </c>
      <c r="E52" t="str">
        <f>VLOOKUP(D52,'业务员-市场'!B:C,2,0)</f>
        <v>美洲</v>
      </c>
    </row>
    <row r="53" spans="1:5">
      <c r="A53" t="s">
        <v>147</v>
      </c>
      <c r="B53" t="s">
        <v>147</v>
      </c>
      <c r="C53" t="s">
        <v>140</v>
      </c>
      <c r="D53" s="26" t="s">
        <v>151</v>
      </c>
      <c r="E53" t="str">
        <f>VLOOKUP(D53,'业务员-市场'!B:C,2,0)</f>
        <v>非洲</v>
      </c>
    </row>
    <row r="54" spans="1:5">
      <c r="A54" t="s">
        <v>322</v>
      </c>
      <c r="B54" t="s">
        <v>145</v>
      </c>
      <c r="C54" t="s">
        <v>140</v>
      </c>
      <c r="D54" s="26" t="str">
        <f>VLOOKUP(A54,'业务员-市场'!A:B,2,0)</f>
        <v>尼日利亚/埃塞俄比亚</v>
      </c>
      <c r="E54" t="str">
        <f>VLOOKUP(D54,'业务员-市场'!B:C,2,0)</f>
        <v>非洲</v>
      </c>
    </row>
    <row r="55" spans="1:5">
      <c r="A55" t="s">
        <v>334</v>
      </c>
      <c r="B55" t="s">
        <v>364</v>
      </c>
      <c r="C55" t="s">
        <v>140</v>
      </c>
      <c r="D55" s="26" t="s">
        <v>149</v>
      </c>
      <c r="E55" t="str">
        <f>VLOOKUP(D55,'业务员-市场'!B:C,2,0)</f>
        <v>非洲</v>
      </c>
    </row>
    <row r="56" spans="1:5">
      <c r="A56" s="28" t="s">
        <v>251</v>
      </c>
      <c r="B56" t="s">
        <v>84</v>
      </c>
      <c r="C56" t="s">
        <v>77</v>
      </c>
      <c r="D56" s="26" t="str">
        <f>VLOOKUP(A56,'业务员-市场'!A:B,2,0)</f>
        <v>科威特</v>
      </c>
      <c r="E56" t="str">
        <f>VLOOKUP(D56,'业务员-市场'!B:C,2,0)</f>
        <v>中东</v>
      </c>
    </row>
    <row r="57" spans="1:5">
      <c r="A57" t="s">
        <v>365</v>
      </c>
      <c r="B57">
        <v>0</v>
      </c>
      <c r="C57" t="e">
        <v>#N/A</v>
      </c>
      <c r="D57" s="26">
        <f t="shared" ref="D57:D60" si="0">B57</f>
        <v>0</v>
      </c>
      <c r="E57" t="e">
        <f>VLOOKUP(D57,'业务员-市场'!B:C,2,0)</f>
        <v>#N/A</v>
      </c>
    </row>
    <row r="58" spans="1:5">
      <c r="A58" t="s">
        <v>366</v>
      </c>
      <c r="B58" t="s">
        <v>364</v>
      </c>
      <c r="C58" t="s">
        <v>140</v>
      </c>
      <c r="D58" s="26" t="s">
        <v>141</v>
      </c>
      <c r="E58" t="str">
        <f>VLOOKUP(D58,'业务员-市场'!B:C,2,0)</f>
        <v>非洲</v>
      </c>
    </row>
    <row r="59" spans="1:5">
      <c r="A59" t="s">
        <v>367</v>
      </c>
      <c r="B59">
        <v>0</v>
      </c>
      <c r="C59" t="e">
        <v>#N/A</v>
      </c>
      <c r="D59" s="26">
        <f t="shared" si="0"/>
        <v>0</v>
      </c>
      <c r="E59" t="e">
        <f>VLOOKUP(D59,'业务员-市场'!B:C,2,0)</f>
        <v>#N/A</v>
      </c>
    </row>
    <row r="60" spans="1:5">
      <c r="A60" t="s">
        <v>368</v>
      </c>
      <c r="B60">
        <v>0</v>
      </c>
      <c r="C60" t="e">
        <v>#N/A</v>
      </c>
      <c r="D60" s="26">
        <f t="shared" si="0"/>
        <v>0</v>
      </c>
      <c r="E60" t="e">
        <f>VLOOKUP(D60,'业务员-市场'!B:C,2,0)</f>
        <v>#N/A</v>
      </c>
    </row>
    <row r="61" spans="1:5">
      <c r="A61" t="s">
        <v>369</v>
      </c>
      <c r="B61" t="s">
        <v>364</v>
      </c>
      <c r="C61" t="s">
        <v>140</v>
      </c>
      <c r="D61" s="26" t="s">
        <v>141</v>
      </c>
      <c r="E61" t="str">
        <f>VLOOKUP(D61,'业务员-市场'!B:C,2,0)</f>
        <v>非洲</v>
      </c>
    </row>
    <row r="62" spans="1:5">
      <c r="A62" t="s">
        <v>331</v>
      </c>
      <c r="B62">
        <v>0</v>
      </c>
      <c r="C62" t="e">
        <v>#N/A</v>
      </c>
      <c r="D62" s="26" t="s">
        <v>328</v>
      </c>
      <c r="E62" t="str">
        <f>VLOOKUP(D62,'业务员-市场'!B:C,2,0)</f>
        <v>非洲</v>
      </c>
    </row>
    <row r="63" spans="1:5">
      <c r="A63" t="s">
        <v>318</v>
      </c>
      <c r="B63" t="s">
        <v>364</v>
      </c>
      <c r="C63" t="s">
        <v>140</v>
      </c>
      <c r="D63" s="26" t="s">
        <v>141</v>
      </c>
      <c r="E63" t="str">
        <f>VLOOKUP(D63,'业务员-市场'!B:C,2,0)</f>
        <v>非洲</v>
      </c>
    </row>
    <row r="64" spans="1:5">
      <c r="A64" t="s">
        <v>370</v>
      </c>
      <c r="B64">
        <v>0</v>
      </c>
      <c r="C64" t="e">
        <v>#N/A</v>
      </c>
      <c r="D64" s="26">
        <f>B64</f>
        <v>0</v>
      </c>
      <c r="E64" t="e">
        <f>VLOOKUP(D64,'业务员-市场'!B:C,2,0)</f>
        <v>#N/A</v>
      </c>
    </row>
    <row r="65" spans="1:5">
      <c r="A65" t="s">
        <v>371</v>
      </c>
      <c r="B65" t="s">
        <v>364</v>
      </c>
      <c r="C65" t="s">
        <v>140</v>
      </c>
      <c r="D65" s="26" t="s">
        <v>141</v>
      </c>
      <c r="E65" t="str">
        <f>VLOOKUP(D65,'业务员-市场'!B:C,2,0)</f>
        <v>非洲</v>
      </c>
    </row>
    <row r="66" spans="1:5">
      <c r="A66" t="s">
        <v>325</v>
      </c>
      <c r="B66" t="s">
        <v>364</v>
      </c>
      <c r="C66" t="s">
        <v>140</v>
      </c>
      <c r="D66" s="26" t="str">
        <f>VLOOKUP(A66,'业务员-市场'!A:B,2,0)</f>
        <v>尼日利亚/埃塞俄比亚</v>
      </c>
      <c r="E66" t="str">
        <f>VLOOKUP(D66,'业务员-市场'!B:C,2,0)</f>
        <v>非洲</v>
      </c>
    </row>
    <row r="67" spans="1:5">
      <c r="A67" t="s">
        <v>372</v>
      </c>
      <c r="B67">
        <v>0</v>
      </c>
      <c r="C67" t="e">
        <v>#N/A</v>
      </c>
      <c r="D67" s="26">
        <f>B67</f>
        <v>0</v>
      </c>
      <c r="E67" t="e">
        <f>VLOOKUP(D67,'业务员-市场'!B:C,2,0)</f>
        <v>#N/A</v>
      </c>
    </row>
    <row r="68" spans="1:5">
      <c r="A68" t="s">
        <v>373</v>
      </c>
      <c r="B68" t="s">
        <v>364</v>
      </c>
      <c r="C68" t="s">
        <v>140</v>
      </c>
      <c r="D68" s="26" t="s">
        <v>141</v>
      </c>
      <c r="E68" t="str">
        <f>VLOOKUP(D68,'业务员-市场'!B:C,2,0)</f>
        <v>非洲</v>
      </c>
    </row>
    <row r="69" spans="1:5">
      <c r="A69" t="s">
        <v>329</v>
      </c>
      <c r="D69" s="26" t="s">
        <v>328</v>
      </c>
      <c r="E69" t="s">
        <v>140</v>
      </c>
    </row>
    <row r="70" spans="1:5">
      <c r="A70" t="s">
        <v>374</v>
      </c>
      <c r="B70">
        <v>0</v>
      </c>
      <c r="C70" t="e">
        <v>#N/A</v>
      </c>
      <c r="D70" s="26">
        <f>B70</f>
        <v>0</v>
      </c>
      <c r="E70" t="e">
        <f>VLOOKUP(D70,'业务员-市场'!B:C,2,0)</f>
        <v>#N/A</v>
      </c>
    </row>
    <row r="71" spans="1:5">
      <c r="A71" t="s">
        <v>375</v>
      </c>
      <c r="B71" t="s">
        <v>364</v>
      </c>
      <c r="C71" t="s">
        <v>140</v>
      </c>
      <c r="D71" s="26" t="s">
        <v>141</v>
      </c>
      <c r="E71" t="str">
        <f>VLOOKUP(D71,'业务员-市场'!B:C,2,0)</f>
        <v>非洲</v>
      </c>
    </row>
    <row r="72" spans="1:5">
      <c r="A72" t="s">
        <v>376</v>
      </c>
      <c r="B72" t="s">
        <v>364</v>
      </c>
      <c r="C72" t="s">
        <v>140</v>
      </c>
      <c r="D72" s="26" t="s">
        <v>141</v>
      </c>
      <c r="E72" t="str">
        <f>VLOOKUP(D72,'业务员-市场'!B:C,2,0)</f>
        <v>非洲</v>
      </c>
    </row>
    <row r="73" spans="1:5">
      <c r="A73" t="s">
        <v>377</v>
      </c>
      <c r="B73" t="s">
        <v>364</v>
      </c>
      <c r="C73" t="s">
        <v>140</v>
      </c>
      <c r="D73" s="26" t="s">
        <v>141</v>
      </c>
      <c r="E73" t="str">
        <f>VLOOKUP(D73,'业务员-市场'!B:C,2,0)</f>
        <v>非洲</v>
      </c>
    </row>
    <row r="74" spans="1:5">
      <c r="A74" t="s">
        <v>317</v>
      </c>
      <c r="B74" t="s">
        <v>364</v>
      </c>
      <c r="C74" t="s">
        <v>140</v>
      </c>
      <c r="D74" s="26" t="s">
        <v>141</v>
      </c>
      <c r="E74" t="str">
        <f>VLOOKUP(D74,'业务员-市场'!B:C,2,0)</f>
        <v>非洲</v>
      </c>
    </row>
    <row r="75" spans="1:5">
      <c r="A75" t="s">
        <v>378</v>
      </c>
      <c r="B75" t="s">
        <v>364</v>
      </c>
      <c r="C75" t="s">
        <v>140</v>
      </c>
      <c r="D75" s="26" t="s">
        <v>18</v>
      </c>
      <c r="E75" t="str">
        <f>VLOOKUP(D75,'业务员-市场'!B:C,2,0)</f>
        <v>俄罗斯</v>
      </c>
    </row>
    <row r="76" spans="1:5">
      <c r="A76" t="s">
        <v>319</v>
      </c>
      <c r="B76" t="s">
        <v>364</v>
      </c>
      <c r="C76" t="s">
        <v>140</v>
      </c>
      <c r="D76" s="26" t="s">
        <v>141</v>
      </c>
      <c r="E76" t="str">
        <f>VLOOKUP(D76,'业务员-市场'!B:C,2,0)</f>
        <v>非洲</v>
      </c>
    </row>
    <row r="77" spans="1:5">
      <c r="A77" t="s">
        <v>330</v>
      </c>
      <c r="B77" t="s">
        <v>364</v>
      </c>
      <c r="C77" t="s">
        <v>140</v>
      </c>
      <c r="D77" s="26" t="str">
        <f>VLOOKUP(A77,'业务员-市场'!A:B,2,0)</f>
        <v>非洲法语区</v>
      </c>
      <c r="E77" t="str">
        <f>VLOOKUP(D77,'业务员-市场'!B:C,2,0)</f>
        <v>非洲</v>
      </c>
    </row>
    <row r="78" spans="1:5">
      <c r="A78" t="s">
        <v>379</v>
      </c>
      <c r="B78">
        <v>0</v>
      </c>
      <c r="C78" t="e">
        <v>#N/A</v>
      </c>
      <c r="D78" s="26">
        <f>B78</f>
        <v>0</v>
      </c>
      <c r="E78" t="e">
        <f>VLOOKUP(D78,'业务员-市场'!B:C,2,0)</f>
        <v>#N/A</v>
      </c>
    </row>
    <row r="79" spans="1:5">
      <c r="A79" t="s">
        <v>380</v>
      </c>
      <c r="B79">
        <v>0</v>
      </c>
      <c r="C79" t="e">
        <v>#N/A</v>
      </c>
      <c r="D79" s="26">
        <f>B79</f>
        <v>0</v>
      </c>
      <c r="E79" t="e">
        <f>VLOOKUP(D79,'业务员-市场'!B:C,2,0)</f>
        <v>#N/A</v>
      </c>
    </row>
    <row r="80" spans="1:5">
      <c r="A80" t="s">
        <v>200</v>
      </c>
      <c r="B80">
        <v>0</v>
      </c>
      <c r="C80" t="e">
        <v>#N/A</v>
      </c>
      <c r="D80" s="26" t="str">
        <f>VLOOKUP(A80,'业务员-市场'!A:B,2,0)</f>
        <v>朝鲜-韩国</v>
      </c>
      <c r="E80" t="str">
        <f>VLOOKUP(D80,'业务员-市场'!B:C,2,0)</f>
        <v>亚洲1</v>
      </c>
    </row>
    <row r="81" spans="1:5">
      <c r="A81" t="s">
        <v>381</v>
      </c>
      <c r="B81" t="s">
        <v>101</v>
      </c>
      <c r="C81" t="s">
        <v>100</v>
      </c>
      <c r="D81" s="26" t="str">
        <f>B81</f>
        <v>蒙古</v>
      </c>
      <c r="E81" t="str">
        <f>VLOOKUP(D81,'业务员-市场'!B:C,2,0)</f>
        <v>中亚</v>
      </c>
    </row>
    <row r="82" spans="1:5">
      <c r="A82" t="s">
        <v>382</v>
      </c>
      <c r="B82" t="s">
        <v>348</v>
      </c>
      <c r="C82" t="s">
        <v>118</v>
      </c>
      <c r="D82" s="26" t="s">
        <v>127</v>
      </c>
      <c r="E82" t="s">
        <v>118</v>
      </c>
    </row>
    <row r="83" spans="1:5">
      <c r="A83" t="s">
        <v>321</v>
      </c>
      <c r="B83" t="s">
        <v>145</v>
      </c>
      <c r="C83" t="s">
        <v>140</v>
      </c>
      <c r="D83" s="26" t="str">
        <f>VLOOKUP(A83,'业务员-市场'!A:B,2,0)</f>
        <v>尼日利亚/埃塞俄比亚</v>
      </c>
      <c r="E83" t="str">
        <f>VLOOKUP(D83,'业务员-市场'!B:C,2,0)</f>
        <v>非洲</v>
      </c>
    </row>
    <row r="84" spans="1:5">
      <c r="A84" t="s">
        <v>198</v>
      </c>
      <c r="B84" t="s">
        <v>33</v>
      </c>
      <c r="C84" t="s">
        <v>32</v>
      </c>
      <c r="D84" s="26" t="str">
        <f>VLOOKUP(A84,'业务员-市场'!A:B,2,0)</f>
        <v>朝鲜-韩国</v>
      </c>
      <c r="E84" t="str">
        <f>VLOOKUP(D84,'业务员-市场'!B:C,2,0)</f>
        <v>亚洲1</v>
      </c>
    </row>
    <row r="85" spans="1:5">
      <c r="A85" t="s">
        <v>383</v>
      </c>
      <c r="B85">
        <v>0</v>
      </c>
      <c r="C85" t="e">
        <v>#N/A</v>
      </c>
      <c r="D85" s="26">
        <f t="shared" ref="D85:D101" si="1">B85</f>
        <v>0</v>
      </c>
      <c r="E85" t="e">
        <f>VLOOKUP(D85,'业务员-市场'!B:C,2,0)</f>
        <v>#N/A</v>
      </c>
    </row>
    <row r="86" spans="1:5">
      <c r="A86" t="s">
        <v>384</v>
      </c>
      <c r="B86" t="s">
        <v>158</v>
      </c>
      <c r="C86" t="s">
        <v>154</v>
      </c>
      <c r="D86" s="26" t="str">
        <f t="shared" si="1"/>
        <v>英国意大利</v>
      </c>
      <c r="E86" t="str">
        <f>VLOOKUP(D86,'业务员-市场'!B:C,2,0)</f>
        <v>欧洲</v>
      </c>
    </row>
    <row r="87" spans="1:5">
      <c r="A87" t="s">
        <v>385</v>
      </c>
      <c r="B87">
        <v>0</v>
      </c>
      <c r="C87" t="e">
        <v>#N/A</v>
      </c>
      <c r="D87" s="26">
        <f t="shared" si="1"/>
        <v>0</v>
      </c>
      <c r="E87" t="e">
        <f>VLOOKUP(D87,'业务员-市场'!B:C,2,0)</f>
        <v>#N/A</v>
      </c>
    </row>
    <row r="88" spans="1:5">
      <c r="A88" t="s">
        <v>386</v>
      </c>
      <c r="B88">
        <v>0</v>
      </c>
      <c r="C88" t="e">
        <v>#N/A</v>
      </c>
      <c r="D88" s="26">
        <f t="shared" si="1"/>
        <v>0</v>
      </c>
      <c r="E88" t="e">
        <f>VLOOKUP(D88,'业务员-市场'!B:C,2,0)</f>
        <v>#N/A</v>
      </c>
    </row>
    <row r="89" spans="1:5">
      <c r="A89" t="s">
        <v>387</v>
      </c>
      <c r="B89">
        <v>0</v>
      </c>
      <c r="C89" t="e">
        <v>#N/A</v>
      </c>
      <c r="D89" s="26">
        <f t="shared" si="1"/>
        <v>0</v>
      </c>
      <c r="E89" t="e">
        <f>VLOOKUP(D89,'业务员-市场'!B:C,2,0)</f>
        <v>#N/A</v>
      </c>
    </row>
    <row r="90" spans="1:5">
      <c r="A90" t="s">
        <v>388</v>
      </c>
      <c r="B90" t="s">
        <v>158</v>
      </c>
      <c r="C90" t="s">
        <v>154</v>
      </c>
      <c r="D90" s="26" t="str">
        <f t="shared" si="1"/>
        <v>英国意大利</v>
      </c>
      <c r="E90" t="str">
        <f>VLOOKUP(D90,'业务员-市场'!B:C,2,0)</f>
        <v>欧洲</v>
      </c>
    </row>
    <row r="91" spans="1:5">
      <c r="A91" t="s">
        <v>389</v>
      </c>
      <c r="B91" t="s">
        <v>158</v>
      </c>
      <c r="C91" t="s">
        <v>154</v>
      </c>
      <c r="D91" s="26" t="str">
        <f t="shared" si="1"/>
        <v>英国意大利</v>
      </c>
      <c r="E91" t="str">
        <f>VLOOKUP(D91,'业务员-市场'!B:C,2,0)</f>
        <v>欧洲</v>
      </c>
    </row>
    <row r="92" spans="1:5">
      <c r="A92" t="s">
        <v>390</v>
      </c>
      <c r="B92">
        <v>0</v>
      </c>
      <c r="C92" t="e">
        <v>#N/A</v>
      </c>
      <c r="D92" s="26">
        <f t="shared" si="1"/>
        <v>0</v>
      </c>
      <c r="E92" t="e">
        <f>VLOOKUP(D92,'业务员-市场'!B:C,2,0)</f>
        <v>#N/A</v>
      </c>
    </row>
    <row r="93" spans="1:5">
      <c r="A93" t="s">
        <v>391</v>
      </c>
      <c r="B93" t="s">
        <v>158</v>
      </c>
      <c r="C93" t="s">
        <v>154</v>
      </c>
      <c r="D93" s="26" t="str">
        <f t="shared" si="1"/>
        <v>英国意大利</v>
      </c>
      <c r="E93" t="str">
        <f>VLOOKUP(D93,'业务员-市场'!B:C,2,0)</f>
        <v>欧洲</v>
      </c>
    </row>
    <row r="94" spans="1:5">
      <c r="A94" t="s">
        <v>392</v>
      </c>
      <c r="B94" t="s">
        <v>158</v>
      </c>
      <c r="C94" t="s">
        <v>154</v>
      </c>
      <c r="D94" s="26" t="str">
        <f t="shared" si="1"/>
        <v>英国意大利</v>
      </c>
      <c r="E94" t="str">
        <f>VLOOKUP(D94,'业务员-市场'!B:C,2,0)</f>
        <v>欧洲</v>
      </c>
    </row>
    <row r="95" spans="1:5">
      <c r="A95" t="s">
        <v>393</v>
      </c>
      <c r="B95" t="s">
        <v>109</v>
      </c>
      <c r="C95" t="s">
        <v>100</v>
      </c>
      <c r="D95" s="26" t="str">
        <f t="shared" si="1"/>
        <v>乌兹别克斯坦</v>
      </c>
      <c r="E95" t="str">
        <f>VLOOKUP(D95,'业务员-市场'!B:C,2,0)</f>
        <v>中亚</v>
      </c>
    </row>
    <row r="96" spans="1:5">
      <c r="A96" t="s">
        <v>394</v>
      </c>
      <c r="B96" t="s">
        <v>158</v>
      </c>
      <c r="C96" t="s">
        <v>154</v>
      </c>
      <c r="D96" s="26" t="str">
        <f t="shared" si="1"/>
        <v>英国意大利</v>
      </c>
      <c r="E96" t="str">
        <f>VLOOKUP(D96,'业务员-市场'!B:C,2,0)</f>
        <v>欧洲</v>
      </c>
    </row>
    <row r="97" spans="1:5">
      <c r="A97" t="s">
        <v>395</v>
      </c>
      <c r="B97" t="s">
        <v>158</v>
      </c>
      <c r="C97" t="s">
        <v>154</v>
      </c>
      <c r="D97" s="26" t="str">
        <f t="shared" si="1"/>
        <v>英国意大利</v>
      </c>
      <c r="E97" t="str">
        <f>VLOOKUP(D97,'业务员-市场'!B:C,2,0)</f>
        <v>欧洲</v>
      </c>
    </row>
    <row r="98" spans="1:5">
      <c r="A98" t="s">
        <v>396</v>
      </c>
      <c r="B98">
        <v>0</v>
      </c>
      <c r="C98" t="e">
        <v>#N/A</v>
      </c>
      <c r="D98" s="26">
        <f t="shared" si="1"/>
        <v>0</v>
      </c>
      <c r="E98" t="e">
        <f>VLOOKUP(D98,'业务员-市场'!B:C,2,0)</f>
        <v>#N/A</v>
      </c>
    </row>
    <row r="99" spans="1:5">
      <c r="A99" t="s">
        <v>397</v>
      </c>
      <c r="B99">
        <v>0</v>
      </c>
      <c r="C99" t="e">
        <v>#N/A</v>
      </c>
      <c r="D99" s="26">
        <f t="shared" si="1"/>
        <v>0</v>
      </c>
      <c r="E99" t="e">
        <f>VLOOKUP(D99,'业务员-市场'!B:C,2,0)</f>
        <v>#N/A</v>
      </c>
    </row>
    <row r="100" spans="1:5">
      <c r="A100" t="s">
        <v>398</v>
      </c>
      <c r="B100">
        <v>0</v>
      </c>
      <c r="C100" t="e">
        <v>#N/A</v>
      </c>
      <c r="D100" s="26">
        <f t="shared" si="1"/>
        <v>0</v>
      </c>
      <c r="E100" t="e">
        <f>VLOOKUP(D100,'业务员-市场'!B:C,2,0)</f>
        <v>#N/A</v>
      </c>
    </row>
    <row r="101" spans="1:5">
      <c r="A101" t="s">
        <v>399</v>
      </c>
      <c r="B101" t="s">
        <v>158</v>
      </c>
      <c r="C101" t="s">
        <v>154</v>
      </c>
      <c r="D101" s="26" t="str">
        <f t="shared" si="1"/>
        <v>英国意大利</v>
      </c>
      <c r="E101" t="str">
        <f>VLOOKUP(D101,'业务员-市场'!B:C,2,0)</f>
        <v>欧洲</v>
      </c>
    </row>
    <row r="102" spans="1:5">
      <c r="A102" t="s">
        <v>181</v>
      </c>
      <c r="B102" t="s">
        <v>11</v>
      </c>
      <c r="C102" t="s">
        <v>6</v>
      </c>
      <c r="D102" s="26" t="str">
        <f>VLOOKUP(A102,'业务员-市场'!A:B,2,0)</f>
        <v>俄罗斯（东部）</v>
      </c>
      <c r="E102" t="str">
        <f>VLOOKUP(D102,'业务员-市场'!B:C,2,0)</f>
        <v>俄罗斯</v>
      </c>
    </row>
    <row r="103" spans="1:5">
      <c r="A103" t="s">
        <v>177</v>
      </c>
      <c r="B103" t="s">
        <v>7</v>
      </c>
      <c r="C103" t="s">
        <v>6</v>
      </c>
      <c r="D103" s="26" t="str">
        <f>VLOOKUP(A103,'业务员-市场'!A:B,2,0)</f>
        <v>俄罗斯（中部）</v>
      </c>
      <c r="E103" t="str">
        <f>VLOOKUP(D103,'业务员-市场'!B:C,2,0)</f>
        <v>俄罗斯</v>
      </c>
    </row>
    <row r="104" spans="1:5">
      <c r="A104" t="s">
        <v>112</v>
      </c>
      <c r="B104" t="s">
        <v>112</v>
      </c>
      <c r="C104" t="s">
        <v>100</v>
      </c>
      <c r="D104" s="26" t="str">
        <f>VLOOKUP(A104,'业务员-市场'!A:B,2,0)</f>
        <v>阿塞拜疆</v>
      </c>
      <c r="E104" t="str">
        <f>VLOOKUP(D104,'业务员-市场'!B:C,2,0)</f>
        <v>中亚</v>
      </c>
    </row>
    <row r="105" spans="1:5">
      <c r="A105" t="s">
        <v>400</v>
      </c>
      <c r="B105" t="s">
        <v>158</v>
      </c>
      <c r="C105" t="s">
        <v>154</v>
      </c>
      <c r="D105" s="26" t="str">
        <f>B105</f>
        <v>英国意大利</v>
      </c>
      <c r="E105" t="str">
        <f>VLOOKUP(D105,'业务员-市场'!B:C,2,0)</f>
        <v>欧洲</v>
      </c>
    </row>
    <row r="106" spans="1:5">
      <c r="A106" t="s">
        <v>114</v>
      </c>
      <c r="B106" t="s">
        <v>158</v>
      </c>
      <c r="C106" t="s">
        <v>154</v>
      </c>
      <c r="D106" s="26" t="str">
        <f>VLOOKUP(A106,'业务员-市场'!A:B,2,0)</f>
        <v>乌兹别克斯坦</v>
      </c>
      <c r="E106" t="str">
        <f>VLOOKUP(D106,'业务员-市场'!B:C,2,0)</f>
        <v>中亚</v>
      </c>
    </row>
    <row r="107" spans="1:5">
      <c r="A107" t="s">
        <v>401</v>
      </c>
      <c r="B107">
        <v>0</v>
      </c>
      <c r="C107" t="e">
        <v>#N/A</v>
      </c>
      <c r="D107" s="26">
        <f>B107</f>
        <v>0</v>
      </c>
      <c r="E107" t="e">
        <f>VLOOKUP(D107,'业务员-市场'!B:C,2,0)</f>
        <v>#N/A</v>
      </c>
    </row>
    <row r="108" spans="1:5">
      <c r="A108" t="s">
        <v>238</v>
      </c>
      <c r="B108" t="s">
        <v>158</v>
      </c>
      <c r="C108" t="s">
        <v>154</v>
      </c>
      <c r="D108" s="26" t="s">
        <v>69</v>
      </c>
      <c r="E108" t="str">
        <f>VLOOKUP(D108,'业务员-市场'!B:C,2,0)</f>
        <v>亚洲2</v>
      </c>
    </row>
    <row r="109" spans="1:5">
      <c r="A109" t="s">
        <v>109</v>
      </c>
      <c r="B109" t="s">
        <v>109</v>
      </c>
      <c r="C109" t="s">
        <v>100</v>
      </c>
      <c r="D109" s="26" t="str">
        <f>VLOOKUP(A109,'业务员-市场'!A:B,2,0)</f>
        <v>乌兹别克斯坦</v>
      </c>
      <c r="E109" t="str">
        <f>VLOOKUP(D109,'业务员-市场'!B:C,2,0)</f>
        <v>中亚</v>
      </c>
    </row>
    <row r="110" spans="1:5">
      <c r="A110" t="s">
        <v>271</v>
      </c>
      <c r="B110" t="s">
        <v>103</v>
      </c>
      <c r="C110" t="s">
        <v>100</v>
      </c>
      <c r="D110" s="26" t="str">
        <f>VLOOKUP(A110,'业务员-市场'!A:B,2,0)</f>
        <v>哈萨克斯坦-1</v>
      </c>
      <c r="E110" t="str">
        <f>VLOOKUP(D110,'业务员-市场'!B:C,2,0)</f>
        <v>中亚</v>
      </c>
    </row>
    <row r="111" spans="1:5">
      <c r="A111" t="s">
        <v>270</v>
      </c>
      <c r="B111" t="s">
        <v>103</v>
      </c>
      <c r="C111" t="s">
        <v>100</v>
      </c>
      <c r="D111" s="26" t="str">
        <f>VLOOKUP(A111,'业务员-市场'!A:B,2,0)</f>
        <v>哈萨克斯坦-1</v>
      </c>
      <c r="E111" t="str">
        <f>VLOOKUP(D111,'业务员-市场'!B:C,2,0)</f>
        <v>中亚</v>
      </c>
    </row>
    <row r="112" spans="1:5">
      <c r="A112" t="s">
        <v>111</v>
      </c>
      <c r="B112" t="s">
        <v>103</v>
      </c>
      <c r="C112" t="s">
        <v>100</v>
      </c>
      <c r="D112" s="26" t="str">
        <f>VLOOKUP(A112,'业务员-市场'!A:B,2,0)</f>
        <v>哈萨克斯坦-1</v>
      </c>
      <c r="E112" t="str">
        <f>VLOOKUP(D112,'业务员-市场'!B:C,2,0)</f>
        <v>中亚</v>
      </c>
    </row>
    <row r="113" spans="1:5">
      <c r="A113" t="s">
        <v>272</v>
      </c>
      <c r="B113" t="s">
        <v>103</v>
      </c>
      <c r="C113" t="s">
        <v>100</v>
      </c>
      <c r="D113" s="26" t="str">
        <f>VLOOKUP(A113,'业务员-市场'!A:B,2,0)</f>
        <v>哈萨克斯坦-1</v>
      </c>
      <c r="E113" t="str">
        <f>VLOOKUP(D113,'业务员-市场'!B:C,2,0)</f>
        <v>中亚</v>
      </c>
    </row>
    <row r="114" spans="1:5">
      <c r="A114" t="s">
        <v>402</v>
      </c>
      <c r="B114" t="s">
        <v>109</v>
      </c>
      <c r="C114" t="s">
        <v>100</v>
      </c>
      <c r="D114" s="26" t="str">
        <f>B114</f>
        <v>乌兹别克斯坦</v>
      </c>
      <c r="E114" t="str">
        <f>VLOOKUP(D114,'业务员-市场'!B:C,2,0)</f>
        <v>中亚</v>
      </c>
    </row>
    <row r="115" spans="1:5">
      <c r="A115" t="s">
        <v>273</v>
      </c>
      <c r="B115" t="s">
        <v>103</v>
      </c>
      <c r="C115" t="s">
        <v>100</v>
      </c>
      <c r="D115" s="26" t="str">
        <f>VLOOKUP(A115,'业务员-市场'!A:B,2,0)</f>
        <v>哈萨克斯坦-1</v>
      </c>
      <c r="E115" t="str">
        <f>VLOOKUP(D115,'业务员-市场'!B:C,2,0)</f>
        <v>中亚</v>
      </c>
    </row>
    <row r="116" spans="1:5">
      <c r="A116" t="s">
        <v>197</v>
      </c>
      <c r="B116" t="s">
        <v>33</v>
      </c>
      <c r="C116" t="s">
        <v>32</v>
      </c>
      <c r="D116" s="26" t="str">
        <f>VLOOKUP(A116,'业务员-市场'!A:B,2,0)</f>
        <v>朝鲜-韩国</v>
      </c>
      <c r="E116" t="str">
        <f>VLOOKUP(D116,'业务员-市场'!B:C,2,0)</f>
        <v>亚洲1</v>
      </c>
    </row>
    <row r="117" spans="1:5">
      <c r="A117" t="s">
        <v>199</v>
      </c>
      <c r="B117">
        <v>0</v>
      </c>
      <c r="C117" t="e">
        <v>#N/A</v>
      </c>
      <c r="D117" s="26" t="str">
        <f>VLOOKUP(A117,'业务员-市场'!A:B,2,0)</f>
        <v>朝鲜-韩国</v>
      </c>
      <c r="E117" t="str">
        <f>VLOOKUP(D117,'业务员-市场'!B:C,2,0)</f>
        <v>亚洲1</v>
      </c>
    </row>
    <row r="118" spans="1:5">
      <c r="A118" t="s">
        <v>208</v>
      </c>
      <c r="B118" t="s">
        <v>43</v>
      </c>
      <c r="C118" t="s">
        <v>32</v>
      </c>
      <c r="D118" s="26" t="str">
        <f>VLOOKUP(A118,'业务员-市场'!A:B,2,0)</f>
        <v>金三角</v>
      </c>
      <c r="E118" t="str">
        <f>VLOOKUP(D118,'业务员-市场'!B:C,2,0)</f>
        <v>亚洲1</v>
      </c>
    </row>
    <row r="119" spans="1:5">
      <c r="A119" t="s">
        <v>209</v>
      </c>
      <c r="B119" t="s">
        <v>43</v>
      </c>
      <c r="C119" t="s">
        <v>32</v>
      </c>
      <c r="D119" s="26" t="str">
        <f>VLOOKUP(A119,'业务员-市场'!A:B,2,0)</f>
        <v>金三角</v>
      </c>
      <c r="E119" t="str">
        <f>VLOOKUP(D119,'业务员-市场'!B:C,2,0)</f>
        <v>亚洲1</v>
      </c>
    </row>
    <row r="120" spans="1:5">
      <c r="A120" t="s">
        <v>210</v>
      </c>
      <c r="B120" t="s">
        <v>43</v>
      </c>
      <c r="C120" t="s">
        <v>32</v>
      </c>
      <c r="D120" s="26" t="str">
        <f>VLOOKUP(A120,'业务员-市场'!A:B,2,0)</f>
        <v>金三角</v>
      </c>
      <c r="E120" t="str">
        <f>VLOOKUP(D120,'业务员-市场'!B:C,2,0)</f>
        <v>亚洲1</v>
      </c>
    </row>
    <row r="121" spans="1:5">
      <c r="A121" t="s">
        <v>216</v>
      </c>
      <c r="B121" t="s">
        <v>61</v>
      </c>
      <c r="C121" t="s">
        <v>52</v>
      </c>
      <c r="D121" s="26" t="str">
        <f>VLOOKUP(A121,'业务员-市场'!A:B,2,0)</f>
        <v>马尔代夫</v>
      </c>
      <c r="E121" t="str">
        <f>VLOOKUP(D121,'业务员-市场'!B:C,2,0)</f>
        <v>亚洲1</v>
      </c>
    </row>
    <row r="122" spans="1:5">
      <c r="A122" t="s">
        <v>235</v>
      </c>
      <c r="B122" t="s">
        <v>403</v>
      </c>
      <c r="C122" t="s">
        <v>52</v>
      </c>
      <c r="D122" s="26" t="str">
        <f>VLOOKUP(A122,'业务员-市场'!A:B,2,0)</f>
        <v>越南-1（工厂）</v>
      </c>
      <c r="E122" t="str">
        <f>VLOOKUP(D122,'业务员-市场'!B:C,2,0)</f>
        <v>亚洲2</v>
      </c>
    </row>
    <row r="123" spans="1:5">
      <c r="A123" t="s">
        <v>63</v>
      </c>
      <c r="B123" t="s">
        <v>63</v>
      </c>
      <c r="C123" t="s">
        <v>52</v>
      </c>
      <c r="D123" s="26" t="str">
        <f>VLOOKUP(A123,'业务员-市场'!A:B,2,0)</f>
        <v>埃及-1</v>
      </c>
      <c r="E123" t="str">
        <f>VLOOKUP(D123,'业务员-市场'!B:C,2,0)</f>
        <v>非洲</v>
      </c>
    </row>
    <row r="124" spans="1:5">
      <c r="A124" t="s">
        <v>39</v>
      </c>
      <c r="B124" t="s">
        <v>39</v>
      </c>
      <c r="C124" t="s">
        <v>32</v>
      </c>
      <c r="D124" s="26" t="str">
        <f>VLOOKUP(A124,'业务员-市场'!A:B,2,0)</f>
        <v>泰国</v>
      </c>
      <c r="E124" t="str">
        <f>VLOOKUP(D124,'业务员-市场'!B:C,2,0)</f>
        <v>亚洲1</v>
      </c>
    </row>
    <row r="125" spans="1:5">
      <c r="A125" t="s">
        <v>222</v>
      </c>
      <c r="B125" t="s">
        <v>33</v>
      </c>
      <c r="C125" t="s">
        <v>32</v>
      </c>
      <c r="D125" s="26" t="str">
        <f>VLOOKUP(A125,'业务员-市场'!A:B,2,0)</f>
        <v>香港-台湾</v>
      </c>
      <c r="E125" t="str">
        <f>VLOOKUP(D125,'业务员-市场'!B:C,2,0)</f>
        <v>亚洲1</v>
      </c>
    </row>
    <row r="126" spans="1:5">
      <c r="A126" t="s">
        <v>219</v>
      </c>
      <c r="D126" s="26" t="s">
        <v>41</v>
      </c>
      <c r="E126" t="s">
        <v>32</v>
      </c>
    </row>
    <row r="127" spans="1:5">
      <c r="A127" t="s">
        <v>225</v>
      </c>
      <c r="B127" t="s">
        <v>55</v>
      </c>
      <c r="C127" t="s">
        <v>52</v>
      </c>
      <c r="D127" s="26" t="str">
        <f>VLOOKUP(A127,'业务员-市场'!A:B,2,0)</f>
        <v>印度公建</v>
      </c>
      <c r="E127" t="str">
        <f>VLOOKUP(D127,'业务员-市场'!B:C,2,0)</f>
        <v>亚洲2</v>
      </c>
    </row>
    <row r="128" spans="1:5">
      <c r="A128" t="s">
        <v>232</v>
      </c>
      <c r="B128" t="s">
        <v>61</v>
      </c>
      <c r="C128" t="s">
        <v>52</v>
      </c>
      <c r="D128" s="26" t="str">
        <f>B128</f>
        <v>澳大利亚</v>
      </c>
      <c r="E128" t="str">
        <f>VLOOKUP(D128,'业务员-市场'!B:C,2,0)</f>
        <v>亚洲2</v>
      </c>
    </row>
    <row r="129" spans="1:5">
      <c r="A129" t="s">
        <v>44</v>
      </c>
      <c r="B129" t="s">
        <v>44</v>
      </c>
      <c r="C129" t="s">
        <v>32</v>
      </c>
      <c r="D129" s="26" t="str">
        <f>VLOOKUP(A129,'业务员-市场'!A:B,2,0)</f>
        <v>马来西亚</v>
      </c>
      <c r="E129" t="str">
        <f>VLOOKUP(D129,'业务员-市场'!B:C,2,0)</f>
        <v>亚洲1</v>
      </c>
    </row>
    <row r="130" spans="1:5">
      <c r="A130" t="s">
        <v>101</v>
      </c>
      <c r="B130" t="s">
        <v>101</v>
      </c>
      <c r="C130" t="s">
        <v>100</v>
      </c>
      <c r="D130" s="26" t="str">
        <f>VLOOKUP(A130,'业务员-市场'!A:B,2,0)</f>
        <v>蒙古</v>
      </c>
      <c r="E130" t="str">
        <f>VLOOKUP(D130,'业务员-市场'!B:C,2,0)</f>
        <v>中亚</v>
      </c>
    </row>
    <row r="131" spans="1:5">
      <c r="A131" t="s">
        <v>204</v>
      </c>
      <c r="B131" t="s">
        <v>39</v>
      </c>
      <c r="C131" t="s">
        <v>32</v>
      </c>
      <c r="D131" s="26" t="str">
        <f>VLOOKUP(A131,'业务员-市场'!A:B,2,0)</f>
        <v>泰国</v>
      </c>
      <c r="E131" t="str">
        <f>VLOOKUP(D131,'业务员-市场'!B:C,2,0)</f>
        <v>亚洲1</v>
      </c>
    </row>
    <row r="132" spans="1:5">
      <c r="A132" t="s">
        <v>404</v>
      </c>
      <c r="B132" t="s">
        <v>61</v>
      </c>
      <c r="C132" t="s">
        <v>52</v>
      </c>
      <c r="D132" s="26" t="str">
        <f>B132</f>
        <v>澳大利亚</v>
      </c>
      <c r="E132" t="str">
        <f>VLOOKUP(D132,'业务员-市场'!B:C,2,0)</f>
        <v>亚洲2</v>
      </c>
    </row>
    <row r="133" spans="1:5">
      <c r="A133" t="s">
        <v>234</v>
      </c>
      <c r="B133" t="s">
        <v>65</v>
      </c>
      <c r="C133" t="s">
        <v>52</v>
      </c>
      <c r="D133" s="26" t="str">
        <f>VLOOKUP(A133,'业务员-市场'!A:B,2,0)</f>
        <v>印尼-1</v>
      </c>
      <c r="E133" t="str">
        <f>VLOOKUP(D133,'业务员-市场'!B:C,2,0)</f>
        <v>亚洲2</v>
      </c>
    </row>
    <row r="134" spans="1:5">
      <c r="A134" t="s">
        <v>227</v>
      </c>
      <c r="B134" t="s">
        <v>55</v>
      </c>
      <c r="C134" t="s">
        <v>52</v>
      </c>
      <c r="D134" s="26" t="str">
        <f>VLOOKUP(A134,'业务员-市场'!A:B,2,0)</f>
        <v>印度公建</v>
      </c>
      <c r="E134" t="str">
        <f>VLOOKUP(D134,'业务员-市场'!B:C,2,0)</f>
        <v>亚洲2</v>
      </c>
    </row>
    <row r="135" spans="1:5">
      <c r="A135" t="s">
        <v>201</v>
      </c>
      <c r="B135" t="s">
        <v>35</v>
      </c>
      <c r="C135" t="s">
        <v>32</v>
      </c>
      <c r="D135" s="26" t="str">
        <f>VLOOKUP(A135,'业务员-市场'!A:B,2,0)</f>
        <v>新加坡市政会</v>
      </c>
      <c r="E135" t="str">
        <f>VLOOKUP(D135,'业务员-市场'!B:C,2,0)</f>
        <v>亚洲1</v>
      </c>
    </row>
    <row r="136" spans="1:5">
      <c r="A136" t="s">
        <v>61</v>
      </c>
      <c r="B136" t="s">
        <v>61</v>
      </c>
      <c r="C136" t="s">
        <v>52</v>
      </c>
      <c r="D136" s="26" t="str">
        <f>VLOOKUP(A136,'业务员-市场'!A:B,2,0)</f>
        <v>澳大利亚</v>
      </c>
      <c r="E136" t="str">
        <f>VLOOKUP(D136,'业务员-市场'!B:C,2,0)</f>
        <v>亚洲2</v>
      </c>
    </row>
    <row r="137" spans="1:5">
      <c r="A137" t="s">
        <v>327</v>
      </c>
      <c r="B137" t="s">
        <v>147</v>
      </c>
      <c r="C137" t="s">
        <v>140</v>
      </c>
      <c r="D137" s="26" t="s">
        <v>328</v>
      </c>
      <c r="E137" t="str">
        <f>VLOOKUP(D137,'业务员-市场'!B:C,2,0)</f>
        <v>非洲</v>
      </c>
    </row>
    <row r="138" spans="1:5">
      <c r="A138" t="s">
        <v>405</v>
      </c>
      <c r="B138" t="s">
        <v>61</v>
      </c>
      <c r="C138" t="s">
        <v>52</v>
      </c>
      <c r="D138" s="26" t="str">
        <f t="shared" ref="D138:D142" si="2">B138</f>
        <v>澳大利亚</v>
      </c>
      <c r="E138" t="str">
        <f>VLOOKUP(D138,'业务员-市场'!B:C,2,0)</f>
        <v>亚洲2</v>
      </c>
    </row>
    <row r="139" spans="1:5">
      <c r="A139" t="s">
        <v>406</v>
      </c>
      <c r="B139" t="s">
        <v>364</v>
      </c>
      <c r="C139" t="s">
        <v>140</v>
      </c>
      <c r="D139" s="26" t="s">
        <v>141</v>
      </c>
      <c r="E139" t="str">
        <f>VLOOKUP(D139,'业务员-市场'!B:C,2,0)</f>
        <v>非洲</v>
      </c>
    </row>
    <row r="140" spans="1:5">
      <c r="A140" t="s">
        <v>407</v>
      </c>
      <c r="B140" t="s">
        <v>123</v>
      </c>
      <c r="C140" t="s">
        <v>118</v>
      </c>
      <c r="D140" s="26" t="str">
        <f t="shared" si="2"/>
        <v>秘鲁</v>
      </c>
      <c r="E140" t="str">
        <f>VLOOKUP(D140,'业务员-市场'!B:C,2,0)</f>
        <v>美洲</v>
      </c>
    </row>
    <row r="141" spans="1:5">
      <c r="A141" t="s">
        <v>408</v>
      </c>
      <c r="B141" t="s">
        <v>78</v>
      </c>
      <c r="C141" t="s">
        <v>77</v>
      </c>
      <c r="D141" s="26" t="str">
        <f t="shared" si="2"/>
        <v>阿联酋-2</v>
      </c>
      <c r="E141" t="str">
        <f>VLOOKUP(D141,'业务员-市场'!B:C,2,0)</f>
        <v>中东</v>
      </c>
    </row>
    <row r="142" spans="1:5">
      <c r="A142" t="s">
        <v>409</v>
      </c>
      <c r="B142" t="s">
        <v>158</v>
      </c>
      <c r="C142" t="s">
        <v>154</v>
      </c>
      <c r="D142" s="26" t="str">
        <f t="shared" si="2"/>
        <v>英国意大利</v>
      </c>
      <c r="E142" t="str">
        <f>VLOOKUP(D142,'业务员-市场'!B:C,2,0)</f>
        <v>欧洲</v>
      </c>
    </row>
    <row r="143" spans="1:5">
      <c r="A143" t="s">
        <v>276</v>
      </c>
      <c r="B143" t="s">
        <v>410</v>
      </c>
      <c r="C143" t="s">
        <v>100</v>
      </c>
      <c r="D143" s="26" t="str">
        <f>VLOOKUP(A143,'业务员-市场'!A:B,2,0)</f>
        <v>塔吉克/哈萨克斯坦-2</v>
      </c>
      <c r="E143" t="str">
        <f>VLOOKUP(D143,'业务员-市场'!B:C,2,0)</f>
        <v>中亚</v>
      </c>
    </row>
    <row r="144" spans="1:5">
      <c r="A144" t="s">
        <v>333</v>
      </c>
      <c r="B144" t="s">
        <v>364</v>
      </c>
      <c r="C144" t="s">
        <v>140</v>
      </c>
      <c r="D144" s="26" t="str">
        <f>VLOOKUP(A144,'业务员-市场'!A:B,2,0)</f>
        <v>南非/安格拉</v>
      </c>
      <c r="E144" t="str">
        <f>VLOOKUP(D144,'业务员-市场'!B:C,2,0)</f>
        <v>非洲</v>
      </c>
    </row>
    <row r="145" spans="1:5">
      <c r="A145" t="s">
        <v>377</v>
      </c>
      <c r="B145" t="s">
        <v>364</v>
      </c>
      <c r="C145" t="s">
        <v>140</v>
      </c>
      <c r="D145" s="26" t="s">
        <v>141</v>
      </c>
      <c r="E145" t="str">
        <f>VLOOKUP(D145,'业务员-市场'!B:C,2,0)</f>
        <v>非洲</v>
      </c>
    </row>
    <row r="146" spans="1:5">
      <c r="A146" t="s">
        <v>411</v>
      </c>
      <c r="B146" t="s">
        <v>57</v>
      </c>
      <c r="C146" t="s">
        <v>52</v>
      </c>
      <c r="D146" s="26" t="str">
        <f t="shared" ref="D146:D150" si="3">B146</f>
        <v>巴基斯坦</v>
      </c>
      <c r="E146" t="str">
        <f>VLOOKUP(D146,'业务员-市场'!B:C,2,0)</f>
        <v>亚洲2</v>
      </c>
    </row>
    <row r="147" spans="1:5">
      <c r="A147" t="s">
        <v>412</v>
      </c>
      <c r="B147" t="s">
        <v>103</v>
      </c>
      <c r="C147" t="s">
        <v>100</v>
      </c>
      <c r="D147" s="26" t="str">
        <f t="shared" si="3"/>
        <v>哈萨克斯坦-1</v>
      </c>
      <c r="E147" t="str">
        <f>VLOOKUP(D147,'业务员-市场'!B:C,2,0)</f>
        <v>中亚</v>
      </c>
    </row>
    <row r="148" spans="1:5">
      <c r="A148" t="s">
        <v>413</v>
      </c>
      <c r="B148" t="s">
        <v>63</v>
      </c>
      <c r="C148" t="s">
        <v>52</v>
      </c>
      <c r="D148" s="26" t="str">
        <f t="shared" si="3"/>
        <v>菲律宾</v>
      </c>
      <c r="E148" t="str">
        <f>VLOOKUP(D148,'业务员-市场'!B:C,2,0)</f>
        <v>亚洲2</v>
      </c>
    </row>
    <row r="149" spans="1:5">
      <c r="A149" t="s">
        <v>414</v>
      </c>
      <c r="B149" t="s">
        <v>415</v>
      </c>
      <c r="C149" t="s">
        <v>77</v>
      </c>
      <c r="D149" s="26" t="s">
        <v>95</v>
      </c>
      <c r="E149" t="s">
        <v>77</v>
      </c>
    </row>
    <row r="150" spans="1:5">
      <c r="A150" t="s">
        <v>416</v>
      </c>
      <c r="B150" t="s">
        <v>92</v>
      </c>
      <c r="C150" t="s">
        <v>77</v>
      </c>
      <c r="D150" s="26" t="str">
        <f t="shared" si="3"/>
        <v>巴勒斯坦</v>
      </c>
      <c r="E150" t="str">
        <f>VLOOKUP(D150,'业务员-市场'!B:C,2,0)</f>
        <v>中东</v>
      </c>
    </row>
    <row r="151" spans="1:5">
      <c r="A151" t="s">
        <v>417</v>
      </c>
      <c r="B151" t="s">
        <v>415</v>
      </c>
      <c r="C151" t="s">
        <v>77</v>
      </c>
      <c r="D151" s="26" t="s">
        <v>95</v>
      </c>
      <c r="E151" t="s">
        <v>77</v>
      </c>
    </row>
    <row r="152" spans="1:5">
      <c r="A152" t="s">
        <v>242</v>
      </c>
      <c r="B152" t="s">
        <v>78</v>
      </c>
      <c r="C152" t="s">
        <v>77</v>
      </c>
      <c r="D152" s="26" t="str">
        <f>VLOOKUP(A152,'业务员-市场'!A:B,2,0)</f>
        <v>阿联酋-2</v>
      </c>
      <c r="E152" t="str">
        <f>VLOOKUP(D152,'业务员-市场'!B:C,2,0)</f>
        <v>中东</v>
      </c>
    </row>
    <row r="153" spans="1:5">
      <c r="A153" t="s">
        <v>246</v>
      </c>
      <c r="B153" t="s">
        <v>82</v>
      </c>
      <c r="C153" t="s">
        <v>77</v>
      </c>
      <c r="D153" s="26" t="str">
        <f>VLOOKUP(A153,'业务员-市场'!A:B,2,0)</f>
        <v>沙特-1</v>
      </c>
      <c r="E153" t="str">
        <f>VLOOKUP(D153,'业务员-市场'!B:C,2,0)</f>
        <v>中东</v>
      </c>
    </row>
    <row r="154" spans="1:5">
      <c r="A154" t="s">
        <v>305</v>
      </c>
      <c r="B154" t="s">
        <v>127</v>
      </c>
      <c r="C154" t="s">
        <v>118</v>
      </c>
      <c r="D154" s="26" t="str">
        <f>VLOOKUP(A154,'业务员-市场'!A:B,2,0)</f>
        <v>加勒比海</v>
      </c>
      <c r="E154" t="str">
        <f>VLOOKUP(D154,'业务员-市场'!B:C,2,0)</f>
        <v>美洲</v>
      </c>
    </row>
    <row r="155" spans="1:5">
      <c r="A155" t="s">
        <v>418</v>
      </c>
      <c r="B155" t="s">
        <v>158</v>
      </c>
      <c r="C155" t="s">
        <v>154</v>
      </c>
      <c r="D155" s="26" t="str">
        <f>B155</f>
        <v>英国意大利</v>
      </c>
      <c r="E155" t="str">
        <f>VLOOKUP(D155,'业务员-市场'!B:C,2,0)</f>
        <v>欧洲</v>
      </c>
    </row>
    <row r="156" spans="1:5">
      <c r="A156" t="s">
        <v>419</v>
      </c>
      <c r="B156" t="s">
        <v>158</v>
      </c>
      <c r="C156" t="s">
        <v>154</v>
      </c>
      <c r="D156" s="26" t="str">
        <f>B156</f>
        <v>英国意大利</v>
      </c>
      <c r="E156" t="str">
        <f>VLOOKUP(D156,'业务员-市场'!B:C,2,0)</f>
        <v>欧洲</v>
      </c>
    </row>
    <row r="157" spans="1:5">
      <c r="A157" t="s">
        <v>420</v>
      </c>
      <c r="B157" t="s">
        <v>158</v>
      </c>
      <c r="C157" t="s">
        <v>154</v>
      </c>
      <c r="D157" s="26" t="str">
        <f>B157</f>
        <v>英国意大利</v>
      </c>
      <c r="E157" t="str">
        <f>VLOOKUP(D157,'业务员-市场'!B:C,2,0)</f>
        <v>欧洲</v>
      </c>
    </row>
    <row r="158" spans="1:5">
      <c r="A158" t="s">
        <v>421</v>
      </c>
      <c r="B158" t="s">
        <v>158</v>
      </c>
      <c r="C158" t="s">
        <v>154</v>
      </c>
      <c r="D158" s="26" t="str">
        <f>B158</f>
        <v>英国意大利</v>
      </c>
      <c r="E158" t="str">
        <f>VLOOKUP(D158,'业务员-市场'!B:C,2,0)</f>
        <v>欧洲</v>
      </c>
    </row>
    <row r="159" spans="1:5">
      <c r="A159" t="s">
        <v>200</v>
      </c>
      <c r="B159" t="s">
        <v>33</v>
      </c>
      <c r="C159" t="s">
        <v>32</v>
      </c>
      <c r="D159" s="26" t="str">
        <f>VLOOKUP(A159,'业务员-市场'!A:B,2,0)</f>
        <v>朝鲜-韩国</v>
      </c>
      <c r="E159" t="str">
        <f>VLOOKUP(D159,'业务员-市场'!B:C,2,0)</f>
        <v>亚洲1</v>
      </c>
    </row>
    <row r="160" spans="1:5">
      <c r="A160" t="s">
        <v>199</v>
      </c>
      <c r="B160" t="s">
        <v>33</v>
      </c>
      <c r="C160" t="s">
        <v>32</v>
      </c>
      <c r="D160" s="26" t="str">
        <f>VLOOKUP(A160,'业务员-市场'!A:B,2,0)</f>
        <v>朝鲜-韩国</v>
      </c>
      <c r="E160" t="str">
        <f>VLOOKUP(D160,'业务员-市场'!B:C,2,0)</f>
        <v>亚洲1</v>
      </c>
    </row>
    <row r="161" spans="1:5">
      <c r="A161" t="s">
        <v>202</v>
      </c>
      <c r="B161" t="s">
        <v>37</v>
      </c>
      <c r="C161" t="s">
        <v>32</v>
      </c>
      <c r="D161" s="26" t="str">
        <f>VLOOKUP(A161,'业务员-市场'!A:B,2,0)</f>
        <v>新加坡HDB</v>
      </c>
      <c r="E161" t="str">
        <f>VLOOKUP(D161,'业务员-市场'!B:C,2,0)</f>
        <v>亚洲1</v>
      </c>
    </row>
    <row r="162" spans="1:5">
      <c r="A162" t="s">
        <v>180</v>
      </c>
      <c r="B162" t="s">
        <v>9</v>
      </c>
      <c r="C162" t="s">
        <v>6</v>
      </c>
      <c r="D162" s="26" t="str">
        <f>VLOOKUP(A162,'业务员-市场'!A:B,2,0)</f>
        <v>俄罗斯（西部）</v>
      </c>
      <c r="E162" t="str">
        <f>VLOOKUP(D162,'业务员-市场'!B:C,2,0)</f>
        <v>俄罗斯</v>
      </c>
    </row>
    <row r="163" spans="1:5">
      <c r="A163" t="s">
        <v>293</v>
      </c>
      <c r="B163" t="s">
        <v>121</v>
      </c>
      <c r="C163" t="s">
        <v>118</v>
      </c>
      <c r="D163" s="26" t="str">
        <f>VLOOKUP(A163,'业务员-市场'!A:B,2,0)</f>
        <v>墨西哥-2</v>
      </c>
      <c r="E163" t="str">
        <f>VLOOKUP(D163,'业务员-市场'!B:C,2,0)</f>
        <v>美洲</v>
      </c>
    </row>
    <row r="164" spans="1:5">
      <c r="A164" t="s">
        <v>422</v>
      </c>
      <c r="B164" t="s">
        <v>61</v>
      </c>
      <c r="C164" t="s">
        <v>52</v>
      </c>
      <c r="D164" s="26" t="str">
        <f>B164</f>
        <v>澳大利亚</v>
      </c>
      <c r="E164" t="str">
        <f>VLOOKUP(D164,'业务员-市场'!B:C,2,0)</f>
        <v>亚洲2</v>
      </c>
    </row>
    <row r="165" spans="1:5">
      <c r="A165" t="s">
        <v>186</v>
      </c>
      <c r="B165" t="s">
        <v>18</v>
      </c>
      <c r="C165" t="s">
        <v>6</v>
      </c>
      <c r="D165" s="26" t="str">
        <f>VLOOKUP(A165,'业务员-市场'!A:B,2,0)</f>
        <v>俄罗斯（西南）</v>
      </c>
      <c r="E165" t="str">
        <f>VLOOKUP(D165,'业务员-市场'!B:C,2,0)</f>
        <v>俄罗斯</v>
      </c>
    </row>
    <row r="166" spans="1:5">
      <c r="A166" t="s">
        <v>179</v>
      </c>
      <c r="B166" t="s">
        <v>9</v>
      </c>
      <c r="C166" t="s">
        <v>6</v>
      </c>
      <c r="D166" s="26" t="str">
        <f>VLOOKUP(A166,'业务员-市场'!A:B,2,0)</f>
        <v>俄罗斯（西部）</v>
      </c>
      <c r="E166" t="str">
        <f>VLOOKUP(D166,'业务员-市场'!B:C,2,0)</f>
        <v>俄罗斯</v>
      </c>
    </row>
    <row r="167" spans="1:5">
      <c r="A167" t="s">
        <v>178</v>
      </c>
      <c r="B167" t="s">
        <v>7</v>
      </c>
      <c r="C167" t="s">
        <v>6</v>
      </c>
      <c r="D167" s="26" t="str">
        <f>VLOOKUP(A167,'业务员-市场'!A:B,2,0)</f>
        <v>俄罗斯（中部）</v>
      </c>
      <c r="E167" t="str">
        <f>VLOOKUP(D167,'业务员-市场'!B:C,2,0)</f>
        <v>俄罗斯</v>
      </c>
    </row>
    <row r="168" spans="1:5">
      <c r="A168" t="s">
        <v>93</v>
      </c>
      <c r="B168" t="s">
        <v>415</v>
      </c>
      <c r="C168" t="s">
        <v>77</v>
      </c>
      <c r="D168" s="26" t="str">
        <f>VLOOKUP(A168,'业务员-市场'!A:B,2,0)</f>
        <v>阿联酋3</v>
      </c>
      <c r="E168" t="str">
        <f>VLOOKUP(D168,'业务员-市场'!B:C,2,0)</f>
        <v>中东</v>
      </c>
    </row>
    <row r="169" spans="1:5">
      <c r="A169" t="s">
        <v>255</v>
      </c>
      <c r="B169" t="s">
        <v>86</v>
      </c>
      <c r="C169" t="s">
        <v>77</v>
      </c>
      <c r="D169" s="26" t="str">
        <f>VLOOKUP(A169,'业务员-市场'!A:B,2,0)</f>
        <v>阿联酋-1</v>
      </c>
      <c r="E169" t="str">
        <f>VLOOKUP(D169,'业务员-市场'!B:C,2,0)</f>
        <v>中东</v>
      </c>
    </row>
    <row r="170" spans="1:5">
      <c r="A170" t="s">
        <v>224</v>
      </c>
      <c r="B170" t="s">
        <v>53</v>
      </c>
      <c r="C170" t="s">
        <v>52</v>
      </c>
      <c r="D170" s="26" t="str">
        <f>VLOOKUP(A170,'业务员-市场'!A:B,2,0)</f>
        <v>越南-2</v>
      </c>
      <c r="E170" t="str">
        <f>VLOOKUP(D170,'业务员-市场'!B:C,2,0)</f>
        <v>亚洲2</v>
      </c>
    </row>
    <row r="171" spans="1:5">
      <c r="A171" t="s">
        <v>185</v>
      </c>
      <c r="B171" t="s">
        <v>16</v>
      </c>
      <c r="C171" t="s">
        <v>6</v>
      </c>
      <c r="D171" s="26" t="str">
        <f>VLOOKUP(A171,'业务员-市场'!A:B,2,0)</f>
        <v>俄罗斯（中南）</v>
      </c>
      <c r="E171" t="str">
        <f>VLOOKUP(D171,'业务员-市场'!B:C,2,0)</f>
        <v>俄罗斯</v>
      </c>
    </row>
    <row r="172" spans="1:5">
      <c r="A172" t="s">
        <v>423</v>
      </c>
      <c r="B172" t="s">
        <v>84</v>
      </c>
      <c r="C172" t="s">
        <v>77</v>
      </c>
      <c r="D172" s="26" t="str">
        <f>B172</f>
        <v>科威特</v>
      </c>
      <c r="E172" t="str">
        <f>VLOOKUP(D172,'业务员-市场'!B:C,2,0)</f>
        <v>中东</v>
      </c>
    </row>
    <row r="173" spans="1:5">
      <c r="A173" t="s">
        <v>247</v>
      </c>
      <c r="B173" t="s">
        <v>82</v>
      </c>
      <c r="C173" t="s">
        <v>77</v>
      </c>
      <c r="D173" s="26" t="str">
        <f>VLOOKUP(A173,'业务员-市场'!A:B,2,0)</f>
        <v>埃及-2</v>
      </c>
      <c r="E173" t="str">
        <f>VLOOKUP(D173,'业务员-市场'!B:C,2,0)</f>
        <v>非洲</v>
      </c>
    </row>
    <row r="174" spans="1:5">
      <c r="A174" t="s">
        <v>424</v>
      </c>
      <c r="B174" t="s">
        <v>415</v>
      </c>
      <c r="C174" t="s">
        <v>77</v>
      </c>
      <c r="D174" s="26" t="s">
        <v>95</v>
      </c>
      <c r="E174" t="str">
        <f>VLOOKUP(D174,'业务员-市场'!B:C,2,0)</f>
        <v>中东</v>
      </c>
    </row>
    <row r="175" spans="1:5">
      <c r="A175" t="s">
        <v>277</v>
      </c>
      <c r="B175" t="s">
        <v>425</v>
      </c>
      <c r="C175" t="s">
        <v>100</v>
      </c>
      <c r="D175" s="26" t="str">
        <f>VLOOKUP(A175,'业务员-市场'!A:B,2,0)</f>
        <v>塔吉克/哈萨克斯坦-2</v>
      </c>
      <c r="E175" t="str">
        <f>VLOOKUP(D175,'业务员-市场'!B:C,2,0)</f>
        <v>中亚</v>
      </c>
    </row>
    <row r="176" spans="1:5">
      <c r="A176" t="s">
        <v>281</v>
      </c>
      <c r="B176" t="s">
        <v>415</v>
      </c>
      <c r="C176" t="s">
        <v>77</v>
      </c>
      <c r="D176" s="26" t="str">
        <f>VLOOKUP(A176,'业务员-市场'!A:B,2,0)</f>
        <v>哈萨克斯坦-3</v>
      </c>
      <c r="E176" t="str">
        <f>VLOOKUP(D176,'业务员-市场'!B:C,2,0)</f>
        <v>中亚</v>
      </c>
    </row>
    <row r="177" spans="1:5">
      <c r="A177" s="28" t="s">
        <v>226</v>
      </c>
      <c r="B177" t="s">
        <v>53</v>
      </c>
      <c r="C177" t="s">
        <v>52</v>
      </c>
      <c r="D177" s="26" t="s">
        <v>53</v>
      </c>
      <c r="E177" t="str">
        <f>VLOOKUP(D177,'业务员-市场'!B:C,2,0)</f>
        <v>亚洲2</v>
      </c>
    </row>
    <row r="178" spans="1:5">
      <c r="A178" t="s">
        <v>320</v>
      </c>
      <c r="B178" t="s">
        <v>353</v>
      </c>
      <c r="C178" t="s">
        <v>140</v>
      </c>
      <c r="D178" s="26" t="str">
        <f>VLOOKUP(A178,'业务员-市场'!A:B,2,0)</f>
        <v>埃及-1</v>
      </c>
      <c r="E178" t="str">
        <f>VLOOKUP(D178,'业务员-市场'!B:C,2,0)</f>
        <v>非洲</v>
      </c>
    </row>
    <row r="179" spans="1:5">
      <c r="A179" t="s">
        <v>261</v>
      </c>
      <c r="B179" t="s">
        <v>90</v>
      </c>
      <c r="C179" t="s">
        <v>77</v>
      </c>
      <c r="D179" s="26" t="str">
        <f>VLOOKUP(A179,'业务员-市场'!A:B,2,0)</f>
        <v>伊拉克</v>
      </c>
      <c r="E179" t="str">
        <f>VLOOKUP(D179,'业务员-市场'!B:C,2,0)</f>
        <v>中东</v>
      </c>
    </row>
    <row r="180" spans="1:5">
      <c r="A180" t="s">
        <v>426</v>
      </c>
      <c r="B180" t="s">
        <v>127</v>
      </c>
      <c r="C180" t="s">
        <v>118</v>
      </c>
      <c r="D180" s="26" t="str">
        <f>B180</f>
        <v>加勒比海</v>
      </c>
      <c r="E180" t="str">
        <f>VLOOKUP(D180,'业务员-市场'!B:C,2,0)</f>
        <v>美洲</v>
      </c>
    </row>
    <row r="181" spans="1:5">
      <c r="A181" t="s">
        <v>427</v>
      </c>
      <c r="B181" t="s">
        <v>131</v>
      </c>
      <c r="C181" t="s">
        <v>118</v>
      </c>
      <c r="D181" s="26" t="str">
        <f>B181</f>
        <v>哥伦比亚</v>
      </c>
      <c r="E181" t="str">
        <f>VLOOKUP(D181,'业务员-市场'!B:C,2,0)</f>
        <v>美洲</v>
      </c>
    </row>
    <row r="182" spans="1:5">
      <c r="A182" t="s">
        <v>292</v>
      </c>
      <c r="B182" t="s">
        <v>121</v>
      </c>
      <c r="C182" t="s">
        <v>118</v>
      </c>
      <c r="D182" s="26" t="str">
        <f>VLOOKUP(A182,'业务员-市场'!A:B,2,0)</f>
        <v>墨西哥-2</v>
      </c>
      <c r="E182" t="str">
        <f>VLOOKUP(D182,'业务员-市场'!B:C,2,0)</f>
        <v>美洲</v>
      </c>
    </row>
    <row r="183" spans="1:5">
      <c r="A183" t="s">
        <v>326</v>
      </c>
      <c r="B183" t="s">
        <v>84</v>
      </c>
      <c r="C183" t="s">
        <v>77</v>
      </c>
      <c r="D183" s="26" t="s">
        <v>145</v>
      </c>
      <c r="E183" t="s">
        <v>140</v>
      </c>
    </row>
    <row r="184" spans="1:5">
      <c r="A184" t="s">
        <v>428</v>
      </c>
      <c r="B184" t="s">
        <v>59</v>
      </c>
      <c r="C184" t="s">
        <v>52</v>
      </c>
      <c r="D184" s="26" t="str">
        <f>B184</f>
        <v>孟加拉-1</v>
      </c>
      <c r="E184" t="str">
        <f>VLOOKUP(D184,'业务员-市场'!B:C,2,0)</f>
        <v>亚洲2</v>
      </c>
    </row>
    <row r="185" spans="1:5">
      <c r="A185" t="s">
        <v>221</v>
      </c>
      <c r="B185" t="s">
        <v>33</v>
      </c>
      <c r="C185" t="s">
        <v>32</v>
      </c>
      <c r="D185" s="26" t="str">
        <f>VLOOKUP(A185,'业务员-市场'!A:B,2,0)</f>
        <v>香港-台湾</v>
      </c>
      <c r="E185" t="str">
        <f>VLOOKUP(D185,'业务员-市场'!B:C,2,0)</f>
        <v>亚洲1</v>
      </c>
    </row>
    <row r="186" spans="1:5">
      <c r="A186" t="s">
        <v>256</v>
      </c>
      <c r="B186" t="s">
        <v>86</v>
      </c>
      <c r="C186" t="s">
        <v>77</v>
      </c>
      <c r="D186" s="26" t="str">
        <f>VLOOKUP(A186,'业务员-市场'!A:B,2,0)</f>
        <v>阿联酋-1</v>
      </c>
      <c r="E186" t="str">
        <f>VLOOKUP(D186,'业务员-市场'!B:C,2,0)</f>
        <v>中东</v>
      </c>
    </row>
    <row r="187" spans="1:5">
      <c r="A187" t="s">
        <v>335</v>
      </c>
      <c r="B187" t="s">
        <v>88</v>
      </c>
      <c r="C187" t="s">
        <v>77</v>
      </c>
      <c r="D187" s="26" t="str">
        <f>VLOOKUP(A187,'业务员-市场'!A:B,2,0)</f>
        <v>埃及-2</v>
      </c>
      <c r="E187" t="str">
        <f>VLOOKUP(D187,'业务员-市场'!B:C,2,0)</f>
        <v>非洲</v>
      </c>
    </row>
    <row r="188" spans="1:5">
      <c r="A188" t="s">
        <v>429</v>
      </c>
      <c r="B188" t="s">
        <v>131</v>
      </c>
      <c r="C188" t="s">
        <v>118</v>
      </c>
      <c r="D188" s="26" t="str">
        <f>B188</f>
        <v>哥伦比亚</v>
      </c>
      <c r="E188" t="str">
        <f>VLOOKUP(D188,'业务员-市场'!B:C,2,0)</f>
        <v>美洲</v>
      </c>
    </row>
    <row r="189" spans="1:5">
      <c r="A189" t="s">
        <v>430</v>
      </c>
      <c r="B189" t="s">
        <v>61</v>
      </c>
      <c r="C189" t="s">
        <v>52</v>
      </c>
      <c r="D189" s="26" t="str">
        <f>B189</f>
        <v>澳大利亚</v>
      </c>
      <c r="E189" t="str">
        <f>VLOOKUP(D189,'业务员-市场'!B:C,2,0)</f>
        <v>亚洲2</v>
      </c>
    </row>
    <row r="190" spans="1:5">
      <c r="A190" t="s">
        <v>257</v>
      </c>
      <c r="B190" t="s">
        <v>86</v>
      </c>
      <c r="C190" t="s">
        <v>77</v>
      </c>
      <c r="D190" s="26" t="str">
        <f>VLOOKUP(A190,'业务员-市场'!A:B,2,0)</f>
        <v>阿联酋-1</v>
      </c>
      <c r="E190" t="str">
        <f>VLOOKUP(D190,'业务员-市场'!B:C,2,0)</f>
        <v>中东</v>
      </c>
    </row>
    <row r="191" spans="1:5">
      <c r="A191" t="s">
        <v>431</v>
      </c>
      <c r="B191" t="s">
        <v>46</v>
      </c>
      <c r="C191" t="s">
        <v>32</v>
      </c>
      <c r="D191" s="26" t="str">
        <f>B191</f>
        <v>马尔代夫</v>
      </c>
      <c r="E191" t="str">
        <f>VLOOKUP(D191,'业务员-市场'!B:C,2,0)</f>
        <v>亚洲1</v>
      </c>
    </row>
    <row r="192" spans="1:5">
      <c r="A192" t="s">
        <v>215</v>
      </c>
      <c r="B192" t="s">
        <v>61</v>
      </c>
      <c r="C192" t="s">
        <v>52</v>
      </c>
      <c r="D192" s="26" t="str">
        <f>VLOOKUP(A192,'业务员-市场'!A:B,2,0)</f>
        <v>马尔代夫</v>
      </c>
      <c r="E192" t="str">
        <f>VLOOKUP(D192,'业务员-市场'!B:C,2,0)</f>
        <v>亚洲1</v>
      </c>
    </row>
    <row r="193" spans="1:5">
      <c r="A193" t="s">
        <v>432</v>
      </c>
      <c r="B193" t="s">
        <v>53</v>
      </c>
      <c r="C193" t="s">
        <v>52</v>
      </c>
      <c r="D193" s="26" t="str">
        <f>B193</f>
        <v>越南-2</v>
      </c>
      <c r="E193" t="str">
        <f>VLOOKUP(D193,'业务员-市场'!B:C,2,0)</f>
        <v>亚洲2</v>
      </c>
    </row>
    <row r="194" spans="1:5">
      <c r="A194" t="s">
        <v>306</v>
      </c>
      <c r="B194" t="s">
        <v>127</v>
      </c>
      <c r="C194" t="s">
        <v>118</v>
      </c>
      <c r="D194" s="26" t="str">
        <f>VLOOKUP(A194,'业务员-市场'!A:B,2,0)</f>
        <v>加勒比海</v>
      </c>
      <c r="E194" t="str">
        <f>VLOOKUP(D194,'业务员-市场'!B:C,2,0)</f>
        <v>美洲</v>
      </c>
    </row>
    <row r="195" spans="1:5">
      <c r="A195" t="s">
        <v>433</v>
      </c>
      <c r="B195" t="s">
        <v>415</v>
      </c>
      <c r="C195" t="s">
        <v>77</v>
      </c>
      <c r="D195" s="26" t="s">
        <v>95</v>
      </c>
      <c r="E195" t="s">
        <v>77</v>
      </c>
    </row>
    <row r="196" spans="1:5">
      <c r="A196" t="s">
        <v>211</v>
      </c>
      <c r="B196" t="s">
        <v>43</v>
      </c>
      <c r="C196" t="s">
        <v>32</v>
      </c>
      <c r="D196" s="26" t="str">
        <f>VLOOKUP(A196,'业务员-市场'!A:B,2,0)</f>
        <v>金三角</v>
      </c>
      <c r="E196" t="str">
        <f>VLOOKUP(D196,'业务员-市场'!B:C,2,0)</f>
        <v>亚洲1</v>
      </c>
    </row>
    <row r="197" spans="1:5">
      <c r="A197" t="s">
        <v>228</v>
      </c>
      <c r="B197" t="s">
        <v>55</v>
      </c>
      <c r="C197" t="s">
        <v>52</v>
      </c>
      <c r="D197" s="26" t="str">
        <f>VLOOKUP(A197,'业务员-市场'!A:B,2,0)</f>
        <v>印度公建</v>
      </c>
      <c r="E197" t="str">
        <f>VLOOKUP(D197,'业务员-市场'!B:C,2,0)</f>
        <v>亚洲2</v>
      </c>
    </row>
    <row r="198" spans="1:5">
      <c r="A198" t="s">
        <v>188</v>
      </c>
      <c r="B198" t="s">
        <v>18</v>
      </c>
      <c r="C198" t="s">
        <v>6</v>
      </c>
      <c r="D198" s="26" t="str">
        <f>VLOOKUP(A198,'业务员-市场'!A:B,2,0)</f>
        <v>俄罗斯（西南）</v>
      </c>
      <c r="E198" t="str">
        <f>VLOOKUP(D198,'业务员-市场'!B:C,2,0)</f>
        <v>俄罗斯</v>
      </c>
    </row>
    <row r="199" spans="1:5">
      <c r="A199" t="s">
        <v>268</v>
      </c>
      <c r="B199" t="s">
        <v>80</v>
      </c>
      <c r="C199" t="s">
        <v>77</v>
      </c>
      <c r="D199" s="26" t="s">
        <v>95</v>
      </c>
      <c r="E199" t="str">
        <f>VLOOKUP(D199,'业务员-市场'!B:C,2,0)</f>
        <v>中东</v>
      </c>
    </row>
    <row r="200" spans="1:5">
      <c r="A200" t="s">
        <v>434</v>
      </c>
      <c r="B200" t="s">
        <v>403</v>
      </c>
      <c r="C200" t="s">
        <v>52</v>
      </c>
      <c r="D200" s="26" t="s">
        <v>67</v>
      </c>
      <c r="E200" t="s">
        <v>52</v>
      </c>
    </row>
    <row r="201" spans="1:5">
      <c r="A201" t="s">
        <v>248</v>
      </c>
      <c r="B201" t="s">
        <v>84</v>
      </c>
      <c r="C201" t="s">
        <v>77</v>
      </c>
      <c r="D201" s="26" t="str">
        <f>B201</f>
        <v>科威特</v>
      </c>
      <c r="E201" t="str">
        <f>VLOOKUP(D201,'业务员-市场'!B:C,2,0)</f>
        <v>中东</v>
      </c>
    </row>
    <row r="202" spans="1:5">
      <c r="A202" t="s">
        <v>435</v>
      </c>
      <c r="B202" t="s">
        <v>353</v>
      </c>
      <c r="C202" t="s">
        <v>140</v>
      </c>
      <c r="D202" s="26" t="s">
        <v>143</v>
      </c>
      <c r="E202" t="s">
        <v>140</v>
      </c>
    </row>
    <row r="203" spans="1:5">
      <c r="A203" t="s">
        <v>436</v>
      </c>
      <c r="B203" t="s">
        <v>9</v>
      </c>
      <c r="C203" t="s">
        <v>6</v>
      </c>
      <c r="D203" s="26" t="str">
        <f>B203</f>
        <v>俄罗斯（西部）</v>
      </c>
      <c r="E203" t="str">
        <f>VLOOKUP(D203,'业务员-市场'!B:C,2,0)</f>
        <v>俄罗斯</v>
      </c>
    </row>
    <row r="204" spans="1:5">
      <c r="A204" t="s">
        <v>300</v>
      </c>
      <c r="B204" t="s">
        <v>125</v>
      </c>
      <c r="C204" t="s">
        <v>118</v>
      </c>
      <c r="D204" s="26" t="str">
        <f>VLOOKUP(A204,'业务员-市场'!A:B,2,0)</f>
        <v>智利</v>
      </c>
      <c r="E204" t="str">
        <f>VLOOKUP(D204,'业务员-市场'!B:C,2,0)</f>
        <v>美洲</v>
      </c>
    </row>
    <row r="205" spans="1:5">
      <c r="A205" t="s">
        <v>285</v>
      </c>
      <c r="B205" t="s">
        <v>112</v>
      </c>
      <c r="C205" t="s">
        <v>100</v>
      </c>
      <c r="D205" s="26" t="str">
        <f>VLOOKUP(A205,'业务员-市场'!A:B,2,0)</f>
        <v>阿塞拜疆</v>
      </c>
      <c r="E205" t="str">
        <f>VLOOKUP(D205,'业务员-市场'!B:C,2,0)</f>
        <v>中亚</v>
      </c>
    </row>
    <row r="206" spans="1:5">
      <c r="A206" t="s">
        <v>437</v>
      </c>
      <c r="B206" t="s">
        <v>18</v>
      </c>
      <c r="C206" t="s">
        <v>6</v>
      </c>
      <c r="D206" s="26" t="str">
        <f>B206</f>
        <v>俄罗斯（西南）</v>
      </c>
      <c r="E206" t="str">
        <f>VLOOKUP(D206,'业务员-市场'!B:C,2,0)</f>
        <v>俄罗斯</v>
      </c>
    </row>
    <row r="207" spans="1:5">
      <c r="A207" t="s">
        <v>212</v>
      </c>
      <c r="B207" t="s">
        <v>43</v>
      </c>
      <c r="C207" t="s">
        <v>32</v>
      </c>
      <c r="D207" s="26" t="str">
        <f>VLOOKUP(A207,'业务员-市场'!A:B,2,0)</f>
        <v>金三角</v>
      </c>
      <c r="E207" t="str">
        <f>VLOOKUP(D207,'业务员-市场'!B:C,2,0)</f>
        <v>亚洲1</v>
      </c>
    </row>
    <row r="208" spans="1:5">
      <c r="A208" t="s">
        <v>438</v>
      </c>
      <c r="B208" t="s">
        <v>86</v>
      </c>
      <c r="C208" t="s">
        <v>77</v>
      </c>
      <c r="D208" s="26" t="str">
        <f>B208</f>
        <v>阿联酋-1</v>
      </c>
      <c r="E208" t="str">
        <f>VLOOKUP(D208,'业务员-市场'!B:C,2,0)</f>
        <v>中东</v>
      </c>
    </row>
    <row r="209" spans="1:5">
      <c r="A209" t="s">
        <v>439</v>
      </c>
      <c r="B209" t="s">
        <v>65</v>
      </c>
      <c r="C209" t="s">
        <v>52</v>
      </c>
      <c r="D209" s="26" t="str">
        <f>B209</f>
        <v>印尼-1</v>
      </c>
      <c r="E209" t="str">
        <f>VLOOKUP(D209,'业务员-市场'!B:C,2,0)</f>
        <v>亚洲2</v>
      </c>
    </row>
    <row r="210" spans="1:5">
      <c r="A210" t="s">
        <v>213</v>
      </c>
      <c r="B210" t="s">
        <v>43</v>
      </c>
      <c r="C210" t="s">
        <v>32</v>
      </c>
      <c r="D210" s="26" t="str">
        <f>VLOOKUP(A210,'业务员-市场'!A:B,2,0)</f>
        <v>金三角</v>
      </c>
      <c r="E210" t="str">
        <f>VLOOKUP(D210,'业务员-市场'!B:C,2,0)</f>
        <v>亚洲1</v>
      </c>
    </row>
    <row r="211" spans="1:5">
      <c r="A211" t="s">
        <v>214</v>
      </c>
      <c r="B211" t="s">
        <v>43</v>
      </c>
      <c r="C211" t="s">
        <v>32</v>
      </c>
      <c r="D211" s="26" t="str">
        <f>VLOOKUP(A211,'业务员-市场'!A:B,2,0)</f>
        <v>金三角</v>
      </c>
      <c r="E211" t="str">
        <f>VLOOKUP(D211,'业务员-市场'!B:C,2,0)</f>
        <v>亚洲1</v>
      </c>
    </row>
    <row r="212" spans="1:5">
      <c r="A212" t="s">
        <v>307</v>
      </c>
      <c r="B212" t="s">
        <v>127</v>
      </c>
      <c r="C212" t="s">
        <v>118</v>
      </c>
      <c r="D212" s="26" t="str">
        <f>VLOOKUP(A212,'业务员-市场'!A:B,2,0)</f>
        <v>加勒比海</v>
      </c>
      <c r="E212" t="str">
        <f>VLOOKUP(D212,'业务员-市场'!B:C,2,0)</f>
        <v>美洲</v>
      </c>
    </row>
    <row r="213" spans="1:5">
      <c r="A213" t="s">
        <v>252</v>
      </c>
      <c r="B213" t="s">
        <v>86</v>
      </c>
      <c r="C213" t="s">
        <v>77</v>
      </c>
      <c r="D213" s="26" t="str">
        <f>VLOOKUP(A213,'业务员-市场'!A:B,2,0)</f>
        <v>阿联酋-1</v>
      </c>
      <c r="E213" t="str">
        <f>VLOOKUP(D213,'业务员-市场'!B:C,2,0)</f>
        <v>中东</v>
      </c>
    </row>
    <row r="214" spans="1:5">
      <c r="A214" t="s">
        <v>229</v>
      </c>
      <c r="B214" t="s">
        <v>55</v>
      </c>
      <c r="C214" t="s">
        <v>52</v>
      </c>
      <c r="D214" s="26" t="str">
        <f>VLOOKUP(A214,'业务员-市场'!A:B,2,0)</f>
        <v>印度公建</v>
      </c>
      <c r="E214" t="str">
        <f>VLOOKUP(D214,'业务员-市场'!B:C,2,0)</f>
        <v>亚洲2</v>
      </c>
    </row>
    <row r="215" spans="1:5">
      <c r="A215" s="28" t="s">
        <v>189</v>
      </c>
      <c r="B215" t="s">
        <v>18</v>
      </c>
      <c r="C215" t="s">
        <v>6</v>
      </c>
      <c r="D215" s="26" t="str">
        <f>VLOOKUP(A215,'业务员-市场'!A:B,2,0)</f>
        <v>俄罗斯（西南）</v>
      </c>
      <c r="E215" t="str">
        <f>VLOOKUP(D215,'业务员-市场'!B:C,2,0)</f>
        <v>俄罗斯</v>
      </c>
    </row>
    <row r="216" spans="1:5">
      <c r="A216" t="s">
        <v>336</v>
      </c>
      <c r="B216" t="s">
        <v>88</v>
      </c>
      <c r="C216" t="s">
        <v>77</v>
      </c>
      <c r="D216" s="26" t="str">
        <f>VLOOKUP(A216,'业务员-市场'!A:B,2,0)</f>
        <v>埃及-2</v>
      </c>
      <c r="E216" t="str">
        <f>VLOOKUP(D216,'业务员-市场'!B:C,2,0)</f>
        <v>非洲</v>
      </c>
    </row>
    <row r="217" spans="1:5">
      <c r="A217" t="s">
        <v>440</v>
      </c>
      <c r="B217" t="s">
        <v>112</v>
      </c>
      <c r="C217" t="s">
        <v>100</v>
      </c>
      <c r="D217" s="26" t="str">
        <f>B217</f>
        <v>阿塞拜疆</v>
      </c>
      <c r="E217" t="str">
        <f>VLOOKUP(D217,'业务员-市场'!B:C,2,0)</f>
        <v>中亚</v>
      </c>
    </row>
    <row r="218" spans="1:5">
      <c r="A218" t="s">
        <v>441</v>
      </c>
      <c r="B218" t="s">
        <v>39</v>
      </c>
      <c r="C218" t="s">
        <v>32</v>
      </c>
      <c r="D218" s="26" t="str">
        <f>B218</f>
        <v>泰国</v>
      </c>
      <c r="E218" t="str">
        <f>VLOOKUP(D218,'业务员-市场'!B:C,2,0)</f>
        <v>亚洲1</v>
      </c>
    </row>
    <row r="219" spans="1:5">
      <c r="A219" t="s">
        <v>442</v>
      </c>
      <c r="B219" t="s">
        <v>39</v>
      </c>
      <c r="D219" s="26" t="str">
        <f>B219</f>
        <v>泰国</v>
      </c>
      <c r="E219" t="str">
        <f>VLOOKUP(D219,'业务员-市场'!B:C,2,0)</f>
        <v>亚洲1</v>
      </c>
    </row>
    <row r="220" spans="1:5">
      <c r="A220" t="s">
        <v>231</v>
      </c>
      <c r="B220" t="s">
        <v>59</v>
      </c>
      <c r="C220" t="s">
        <v>52</v>
      </c>
      <c r="D220" s="26" t="str">
        <f>VLOOKUP(A220,'业务员-市场'!A:B,2,0)</f>
        <v>孟加拉-1</v>
      </c>
      <c r="E220" t="str">
        <f>VLOOKUP(D220,'业务员-市场'!B:C,2,0)</f>
        <v>亚洲2</v>
      </c>
    </row>
    <row r="221" spans="1:5">
      <c r="A221" t="s">
        <v>294</v>
      </c>
      <c r="B221" t="s">
        <v>121</v>
      </c>
      <c r="C221" t="s">
        <v>118</v>
      </c>
      <c r="D221" s="26" t="str">
        <f>VLOOKUP(A221,'业务员-市场'!A:B,2,0)</f>
        <v>墨西哥-2</v>
      </c>
      <c r="E221" t="str">
        <f>VLOOKUP(D221,'业务员-市场'!B:C,2,0)</f>
        <v>美洲</v>
      </c>
    </row>
    <row r="222" spans="1:5">
      <c r="A222" t="s">
        <v>324</v>
      </c>
      <c r="B222" t="s">
        <v>145</v>
      </c>
      <c r="D222" s="26" t="str">
        <f>VLOOKUP(A222,'业务员-市场'!A:B,2,0)</f>
        <v>尼日利亚/埃塞俄比亚</v>
      </c>
      <c r="E222" t="str">
        <f>VLOOKUP(D222,'业务员-市场'!B:C,2,0)</f>
        <v>非洲</v>
      </c>
    </row>
    <row r="223" spans="1:5">
      <c r="A223" t="s">
        <v>266</v>
      </c>
      <c r="B223" t="s">
        <v>80</v>
      </c>
      <c r="D223" s="26" t="str">
        <f>VLOOKUP(A223,'业务员-市场'!A:B,2,0)</f>
        <v>伊朗+阿曼</v>
      </c>
      <c r="E223" t="str">
        <f>VLOOKUP(D223,'业务员-市场'!B:C,2,0)</f>
        <v>中东</v>
      </c>
    </row>
    <row r="224" spans="1:5">
      <c r="A224" t="s">
        <v>278</v>
      </c>
      <c r="B224" t="s">
        <v>111</v>
      </c>
      <c r="D224" s="26" t="str">
        <f>VLOOKUP(A224,'业务员-市场'!A:B,2,0)</f>
        <v>哈萨克斯坦-3</v>
      </c>
      <c r="E224" t="str">
        <f>VLOOKUP(D224,'业务员-市场'!B:C,2,0)</f>
        <v>中亚</v>
      </c>
    </row>
    <row r="225" spans="1:5">
      <c r="A225" s="28" t="s">
        <v>310</v>
      </c>
      <c r="B225" t="s">
        <v>131</v>
      </c>
      <c r="D225" s="26" t="str">
        <f>VLOOKUP(A225,'业务员-市场'!A:B,2,0)</f>
        <v>哥伦比亚</v>
      </c>
      <c r="E225" t="str">
        <f>VLOOKUP(D225,'业务员-市场'!B:C,2,0)</f>
        <v>美洲</v>
      </c>
    </row>
    <row r="226" spans="1:5">
      <c r="A226" t="s">
        <v>443</v>
      </c>
      <c r="B226" t="s">
        <v>39</v>
      </c>
      <c r="D226" s="26" t="str">
        <f>B226</f>
        <v>泰国</v>
      </c>
      <c r="E226" t="str">
        <f>VLOOKUP(D226,'业务员-市场'!B:C,2,0)</f>
        <v>亚洲1</v>
      </c>
    </row>
    <row r="227" spans="1:5">
      <c r="A227" t="s">
        <v>323</v>
      </c>
      <c r="B227" t="s">
        <v>145</v>
      </c>
      <c r="D227" s="26" t="str">
        <f>VLOOKUP(A227,'业务员-市场'!A:B,2,0)</f>
        <v>尼日利亚/埃塞俄比亚</v>
      </c>
      <c r="E227" t="str">
        <f>VLOOKUP(D227,'业务员-市场'!B:C,2,0)</f>
        <v>非洲</v>
      </c>
    </row>
    <row r="228" spans="1:5">
      <c r="A228" t="s">
        <v>284</v>
      </c>
      <c r="B228" t="s">
        <v>111</v>
      </c>
      <c r="D228" s="26" t="str">
        <f>B228</f>
        <v>吉尔吉斯斯坦</v>
      </c>
      <c r="E228" t="str">
        <f>VLOOKUP(D228,'业务员-市场'!B:C,2,0)</f>
        <v>中亚</v>
      </c>
    </row>
    <row r="229" spans="1:5">
      <c r="A229" t="s">
        <v>203</v>
      </c>
      <c r="D229" s="26" t="s">
        <v>35</v>
      </c>
      <c r="E229" t="str">
        <f>VLOOKUP(D229,'业务员-市场'!B:C,2,0)</f>
        <v>亚洲1</v>
      </c>
    </row>
    <row r="230" spans="1:5">
      <c r="A230" t="s">
        <v>249</v>
      </c>
      <c r="D230" s="26" t="s">
        <v>82</v>
      </c>
      <c r="E230" t="str">
        <f>VLOOKUP(D230,'业务员-市场'!B:C,2,0)</f>
        <v>中东</v>
      </c>
    </row>
    <row r="231" spans="1:5">
      <c r="A231" t="s">
        <v>233</v>
      </c>
      <c r="D231" s="26" t="s">
        <v>63</v>
      </c>
      <c r="E231" t="s">
        <v>52</v>
      </c>
    </row>
    <row r="232" spans="1:5">
      <c r="A232" t="s">
        <v>240</v>
      </c>
      <c r="D232" s="26" t="s">
        <v>71</v>
      </c>
      <c r="E232" t="s">
        <v>52</v>
      </c>
    </row>
    <row r="233" spans="1:5">
      <c r="A233" t="s">
        <v>282</v>
      </c>
      <c r="D233" s="26" t="s">
        <v>111</v>
      </c>
      <c r="E233" t="s">
        <v>100</v>
      </c>
    </row>
    <row r="234" s="25" customFormat="1" spans="1:5">
      <c r="A234" s="25" t="s">
        <v>267</v>
      </c>
      <c r="D234" s="30" t="s">
        <v>95</v>
      </c>
      <c r="E234" s="25" t="s">
        <v>77</v>
      </c>
    </row>
    <row r="235" s="25" customFormat="1" spans="1:5">
      <c r="A235" s="25" t="s">
        <v>182</v>
      </c>
      <c r="D235" s="30" t="s">
        <v>13</v>
      </c>
      <c r="E235" s="25" t="s">
        <v>6</v>
      </c>
    </row>
    <row r="236" s="25" customFormat="1" spans="1:5">
      <c r="A236" s="25" t="s">
        <v>184</v>
      </c>
      <c r="D236" s="30" t="s">
        <v>15</v>
      </c>
      <c r="E236" s="25" t="s">
        <v>6</v>
      </c>
    </row>
    <row r="237" s="25" customFormat="1" spans="1:5">
      <c r="A237" s="25" t="s">
        <v>191</v>
      </c>
      <c r="D237" s="30" t="s">
        <v>20</v>
      </c>
      <c r="E237" s="25" t="s">
        <v>6</v>
      </c>
    </row>
    <row r="238" s="25" customFormat="1" spans="1:5">
      <c r="A238" s="25" t="s">
        <v>193</v>
      </c>
      <c r="D238" s="30" t="s">
        <v>22</v>
      </c>
      <c r="E238" s="25" t="s">
        <v>6</v>
      </c>
    </row>
    <row r="239" s="25" customFormat="1" spans="1:5">
      <c r="A239" s="25" t="s">
        <v>195</v>
      </c>
      <c r="D239" s="30" t="s">
        <v>24</v>
      </c>
      <c r="E239" s="25" t="s">
        <v>6</v>
      </c>
    </row>
    <row r="240" s="25" customFormat="1" spans="1:5">
      <c r="A240" s="25" t="s">
        <v>41</v>
      </c>
      <c r="D240" s="30" t="s">
        <v>41</v>
      </c>
      <c r="E240" s="25" t="s">
        <v>32</v>
      </c>
    </row>
    <row r="241" s="25" customFormat="1" spans="1:5">
      <c r="A241" s="25" t="s">
        <v>241</v>
      </c>
      <c r="D241" s="30" t="s">
        <v>73</v>
      </c>
      <c r="E241" s="25" t="s">
        <v>52</v>
      </c>
    </row>
    <row r="242" s="25" customFormat="1" spans="1:5">
      <c r="A242" s="25" t="s">
        <v>258</v>
      </c>
      <c r="D242" s="30" t="s">
        <v>88</v>
      </c>
      <c r="E242" s="25" t="s">
        <v>77</v>
      </c>
    </row>
    <row r="243" s="25" customFormat="1" spans="1:5">
      <c r="A243" s="25" t="s">
        <v>262</v>
      </c>
      <c r="D243" s="30" t="s">
        <v>92</v>
      </c>
      <c r="E243" s="25" t="s">
        <v>77</v>
      </c>
    </row>
    <row r="244" s="25" customFormat="1" spans="1:5">
      <c r="A244" s="25" t="s">
        <v>308</v>
      </c>
      <c r="D244" s="30" t="s">
        <v>129</v>
      </c>
      <c r="E244" s="25" t="s">
        <v>118</v>
      </c>
    </row>
    <row r="245" s="25" customFormat="1" spans="1:5">
      <c r="A245" s="25" t="s">
        <v>133</v>
      </c>
      <c r="D245" s="30" t="s">
        <v>133</v>
      </c>
      <c r="E245" s="25" t="s">
        <v>118</v>
      </c>
    </row>
    <row r="246" s="25" customFormat="1" spans="1:5">
      <c r="A246" s="25" t="s">
        <v>315</v>
      </c>
      <c r="D246" s="30" t="s">
        <v>135</v>
      </c>
      <c r="E246" s="25" t="s">
        <v>118</v>
      </c>
    </row>
    <row r="247" s="25" customFormat="1" spans="1:5">
      <c r="A247" s="25" t="s">
        <v>279</v>
      </c>
      <c r="D247" s="30" t="s">
        <v>111</v>
      </c>
      <c r="E247" s="25" t="s">
        <v>100</v>
      </c>
    </row>
    <row r="248" spans="1:5">
      <c r="A248" t="s">
        <v>274</v>
      </c>
      <c r="D248" s="26" t="s">
        <v>103</v>
      </c>
      <c r="E248" t="s">
        <v>100</v>
      </c>
    </row>
    <row r="249" spans="1:5">
      <c r="A249" t="s">
        <v>311</v>
      </c>
      <c r="D249" s="26" t="s">
        <v>125</v>
      </c>
      <c r="E249" t="s">
        <v>118</v>
      </c>
    </row>
    <row r="250" s="25" customFormat="1" spans="1:5">
      <c r="A250" s="25" t="s">
        <v>264</v>
      </c>
      <c r="D250" s="30" t="s">
        <v>90</v>
      </c>
      <c r="E250" s="25" t="s">
        <v>77</v>
      </c>
    </row>
    <row r="251" s="25" customFormat="1" spans="1:5">
      <c r="A251" s="25" t="s">
        <v>286</v>
      </c>
      <c r="D251" s="30" t="s">
        <v>112</v>
      </c>
      <c r="E251" s="25" t="s">
        <v>100</v>
      </c>
    </row>
    <row r="252" s="25" customFormat="1" spans="1:5">
      <c r="A252" s="25" t="s">
        <v>192</v>
      </c>
      <c r="D252" s="30" t="s">
        <v>20</v>
      </c>
      <c r="E252" s="25" t="s">
        <v>6</v>
      </c>
    </row>
    <row r="253" s="25" customFormat="1" spans="1:5">
      <c r="A253" s="25" t="s">
        <v>289</v>
      </c>
      <c r="D253" s="30" t="s">
        <v>109</v>
      </c>
      <c r="E253" s="25" t="s">
        <v>100</v>
      </c>
    </row>
    <row r="254" s="25" customFormat="1" spans="1:5">
      <c r="A254" s="25" t="s">
        <v>339</v>
      </c>
      <c r="D254" s="30" t="s">
        <v>157</v>
      </c>
      <c r="E254" s="25" t="s">
        <v>154</v>
      </c>
    </row>
    <row r="255" s="25" customFormat="1" spans="1:5">
      <c r="A255" s="25" t="s">
        <v>275</v>
      </c>
      <c r="D255" s="30" t="str">
        <f>VLOOKUP(A255,'业务员-市场'!A:B,2,0)</f>
        <v>哈萨克斯坦-1</v>
      </c>
      <c r="E255" s="25" t="s">
        <v>100</v>
      </c>
    </row>
    <row r="256" s="25" customFormat="1" spans="1:5">
      <c r="A256" s="25" t="s">
        <v>287</v>
      </c>
      <c r="D256" s="30" t="s">
        <v>112</v>
      </c>
      <c r="E256" s="25" t="s">
        <v>100</v>
      </c>
    </row>
    <row r="257" s="25" customFormat="1" spans="1:5">
      <c r="A257" s="25" t="s">
        <v>332</v>
      </c>
      <c r="D257" s="30" t="s">
        <v>328</v>
      </c>
      <c r="E257" s="25" t="str">
        <f>VLOOKUP(D257,'业务员-市场'!B:C,2,0)</f>
        <v>非洲</v>
      </c>
    </row>
    <row r="258" s="25" customFormat="1" spans="1:5">
      <c r="A258" s="25" t="s">
        <v>245</v>
      </c>
      <c r="D258" s="30" t="s">
        <v>82</v>
      </c>
      <c r="E258" s="25" t="str">
        <f>VLOOKUP(D258,'业务员-市场'!B:C,2,0)</f>
        <v>中东</v>
      </c>
    </row>
    <row r="259" s="25" customFormat="1" spans="1:5">
      <c r="A259" s="25" t="s">
        <v>341</v>
      </c>
      <c r="D259" s="30" t="s">
        <v>157</v>
      </c>
      <c r="E259" s="25" t="s">
        <v>154</v>
      </c>
    </row>
    <row r="260" s="25" customFormat="1" spans="1:5">
      <c r="A260" s="25" t="s">
        <v>190</v>
      </c>
      <c r="D260" s="30" t="s">
        <v>18</v>
      </c>
      <c r="E260" s="25" t="s">
        <v>6</v>
      </c>
    </row>
    <row r="261" s="25" customFormat="1" spans="1:5">
      <c r="A261" s="25" t="s">
        <v>288</v>
      </c>
      <c r="D261" s="30" t="s">
        <v>112</v>
      </c>
      <c r="E261" s="25" t="str">
        <f>VLOOKUP(D261,'业务员-市场'!B:C,2,0)</f>
        <v>中亚</v>
      </c>
    </row>
    <row r="262" s="25" customFormat="1" spans="1:5">
      <c r="A262" s="25" t="s">
        <v>239</v>
      </c>
      <c r="D262" s="30" t="s">
        <v>69</v>
      </c>
      <c r="E262" s="25" t="s">
        <v>52</v>
      </c>
    </row>
    <row r="263" s="25" customFormat="1" spans="1:5">
      <c r="A263" s="25" t="s">
        <v>218</v>
      </c>
      <c r="D263" s="30" t="s">
        <v>46</v>
      </c>
      <c r="E263" s="25" t="s">
        <v>32</v>
      </c>
    </row>
    <row r="264" s="25" customFormat="1" spans="1:5">
      <c r="A264" s="25" t="s">
        <v>444</v>
      </c>
      <c r="D264" s="30" t="s">
        <v>171</v>
      </c>
      <c r="E264" s="25" t="s">
        <v>160</v>
      </c>
    </row>
    <row r="265" s="25" customFormat="1" spans="1:5">
      <c r="A265" s="25" t="s">
        <v>223</v>
      </c>
      <c r="D265" s="30" t="s">
        <v>48</v>
      </c>
      <c r="E265" s="25" t="s">
        <v>32</v>
      </c>
    </row>
    <row r="266" s="25" customFormat="1" spans="1:5">
      <c r="A266" s="25" t="s">
        <v>269</v>
      </c>
      <c r="D266" s="30" t="s">
        <v>95</v>
      </c>
      <c r="E266" s="25" t="s">
        <v>77</v>
      </c>
    </row>
    <row r="267" spans="1:5">
      <c r="A267" t="s">
        <v>312</v>
      </c>
      <c r="D267" s="26" t="s">
        <v>125</v>
      </c>
      <c r="E267" t="s">
        <v>118</v>
      </c>
    </row>
  </sheetData>
  <autoFilter ref="A1:E267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workbookViewId="0">
      <selection activeCell="B7" sqref="B7"/>
    </sheetView>
  </sheetViews>
  <sheetFormatPr defaultColWidth="9" defaultRowHeight="13.5" outlineLevelCol="2"/>
  <cols>
    <col min="1" max="1" width="11.625" customWidth="1"/>
    <col min="2" max="2" width="26" customWidth="1"/>
    <col min="3" max="3" width="10" customWidth="1"/>
  </cols>
  <sheetData>
    <row r="1" ht="22.5" customHeight="1" spans="1:3">
      <c r="A1" s="23" t="s">
        <v>1</v>
      </c>
      <c r="B1" s="23" t="s">
        <v>2</v>
      </c>
      <c r="C1" s="23" t="s">
        <v>445</v>
      </c>
    </row>
    <row r="2" ht="22.5" customHeight="1" spans="1:3">
      <c r="A2" s="24" t="s">
        <v>118</v>
      </c>
      <c r="B2" s="24" t="s">
        <v>131</v>
      </c>
      <c r="C2" s="24" t="s">
        <v>132</v>
      </c>
    </row>
    <row r="3" ht="22.5" customHeight="1" spans="1:3">
      <c r="A3" s="24" t="s">
        <v>118</v>
      </c>
      <c r="B3" s="24" t="s">
        <v>127</v>
      </c>
      <c r="C3" s="24" t="s">
        <v>128</v>
      </c>
    </row>
    <row r="4" ht="22.5" customHeight="1" spans="1:3">
      <c r="A4" s="24" t="s">
        <v>118</v>
      </c>
      <c r="B4" s="24" t="s">
        <v>125</v>
      </c>
      <c r="C4" s="24" t="s">
        <v>126</v>
      </c>
    </row>
    <row r="5" ht="22.5" customHeight="1" spans="1:3">
      <c r="A5" s="24" t="s">
        <v>118</v>
      </c>
      <c r="B5" s="24" t="s">
        <v>446</v>
      </c>
      <c r="C5" s="24" t="s">
        <v>120</v>
      </c>
    </row>
    <row r="6" ht="22.5" customHeight="1" spans="1:3">
      <c r="A6" s="24" t="s">
        <v>118</v>
      </c>
      <c r="B6" s="24" t="s">
        <v>447</v>
      </c>
      <c r="C6" s="24" t="s">
        <v>122</v>
      </c>
    </row>
    <row r="7" ht="22.5" customHeight="1" spans="1:3">
      <c r="A7" s="24" t="s">
        <v>118</v>
      </c>
      <c r="B7" s="24" t="s">
        <v>448</v>
      </c>
      <c r="C7" s="24" t="s">
        <v>124</v>
      </c>
    </row>
    <row r="8" ht="22.5" customHeight="1" spans="1:3">
      <c r="A8" s="24" t="s">
        <v>118</v>
      </c>
      <c r="B8" s="24" t="s">
        <v>449</v>
      </c>
      <c r="C8" s="24" t="s">
        <v>134</v>
      </c>
    </row>
    <row r="9" ht="22.5" customHeight="1" spans="1:3">
      <c r="A9" s="24" t="s">
        <v>118</v>
      </c>
      <c r="B9" s="24" t="s">
        <v>129</v>
      </c>
      <c r="C9" s="24" t="s">
        <v>130</v>
      </c>
    </row>
    <row r="10" ht="22.5" customHeight="1" spans="1:3">
      <c r="A10" s="24" t="s">
        <v>118</v>
      </c>
      <c r="B10" s="24" t="s">
        <v>135</v>
      </c>
      <c r="C10" s="24" t="s">
        <v>316</v>
      </c>
    </row>
    <row r="11" ht="22.5" customHeight="1" spans="1:3">
      <c r="A11" s="24" t="s">
        <v>450</v>
      </c>
      <c r="B11" s="24" t="s">
        <v>37</v>
      </c>
      <c r="C11" s="24" t="s">
        <v>36</v>
      </c>
    </row>
    <row r="12" ht="22.5" customHeight="1" spans="1:3">
      <c r="A12" s="24" t="s">
        <v>450</v>
      </c>
      <c r="B12" s="24" t="s">
        <v>35</v>
      </c>
      <c r="C12" s="24" t="s">
        <v>38</v>
      </c>
    </row>
    <row r="13" ht="22.5" customHeight="1" spans="1:3">
      <c r="A13" s="24" t="s">
        <v>450</v>
      </c>
      <c r="B13" s="24" t="s">
        <v>451</v>
      </c>
      <c r="C13" s="24" t="s">
        <v>40</v>
      </c>
    </row>
    <row r="14" ht="22.5" customHeight="1" spans="1:3">
      <c r="A14" s="24" t="s">
        <v>450</v>
      </c>
      <c r="B14" s="24" t="s">
        <v>452</v>
      </c>
      <c r="C14" s="24" t="s">
        <v>42</v>
      </c>
    </row>
    <row r="15" ht="22.5" customHeight="1" spans="1:3">
      <c r="A15" s="24" t="s">
        <v>450</v>
      </c>
      <c r="B15" s="24" t="s">
        <v>453</v>
      </c>
      <c r="C15" s="24" t="s">
        <v>34</v>
      </c>
    </row>
    <row r="16" ht="22.5" customHeight="1" spans="1:3">
      <c r="A16" s="24" t="s">
        <v>450</v>
      </c>
      <c r="B16" s="24" t="s">
        <v>46</v>
      </c>
      <c r="C16" s="24" t="s">
        <v>47</v>
      </c>
    </row>
    <row r="17" ht="22.5" customHeight="1" spans="1:3">
      <c r="A17" s="24" t="s">
        <v>450</v>
      </c>
      <c r="B17" s="24" t="s">
        <v>44</v>
      </c>
      <c r="C17" s="24" t="s">
        <v>45</v>
      </c>
    </row>
    <row r="18" ht="22.5" customHeight="1" spans="1:3">
      <c r="A18" s="24" t="s">
        <v>450</v>
      </c>
      <c r="B18" s="24" t="s">
        <v>454</v>
      </c>
      <c r="C18" s="24" t="s">
        <v>220</v>
      </c>
    </row>
    <row r="19" ht="22.5" customHeight="1" spans="1:3">
      <c r="A19" s="24" t="s">
        <v>455</v>
      </c>
      <c r="B19" s="24" t="s">
        <v>230</v>
      </c>
      <c r="C19" s="24" t="s">
        <v>60</v>
      </c>
    </row>
    <row r="20" ht="22.5" customHeight="1" spans="1:3">
      <c r="A20" s="24" t="s">
        <v>455</v>
      </c>
      <c r="B20" s="24" t="s">
        <v>55</v>
      </c>
      <c r="C20" s="24" t="s">
        <v>56</v>
      </c>
    </row>
    <row r="21" ht="22.5" customHeight="1" spans="1:3">
      <c r="A21" s="24" t="s">
        <v>455</v>
      </c>
      <c r="B21" s="24" t="s">
        <v>69</v>
      </c>
      <c r="C21" s="24" t="s">
        <v>79</v>
      </c>
    </row>
    <row r="22" ht="22.5" customHeight="1" spans="1:3">
      <c r="A22" s="24" t="s">
        <v>455</v>
      </c>
      <c r="B22" s="24" t="s">
        <v>61</v>
      </c>
      <c r="C22" s="24" t="s">
        <v>62</v>
      </c>
    </row>
    <row r="23" ht="22.5" customHeight="1" spans="1:3">
      <c r="A23" s="24" t="s">
        <v>455</v>
      </c>
      <c r="B23" s="24" t="s">
        <v>456</v>
      </c>
      <c r="C23" s="24" t="s">
        <v>68</v>
      </c>
    </row>
    <row r="24" ht="22.5" customHeight="1" spans="1:3">
      <c r="A24" s="24" t="s">
        <v>455</v>
      </c>
      <c r="B24" s="24" t="s">
        <v>457</v>
      </c>
      <c r="C24" s="24" t="s">
        <v>54</v>
      </c>
    </row>
    <row r="25" ht="22.5" customHeight="1" spans="1:3">
      <c r="A25" s="24" t="s">
        <v>455</v>
      </c>
      <c r="B25" s="24" t="s">
        <v>57</v>
      </c>
      <c r="C25" s="24" t="s">
        <v>58</v>
      </c>
    </row>
    <row r="26" ht="22.5" customHeight="1" spans="1:3">
      <c r="A26" s="24" t="s">
        <v>455</v>
      </c>
      <c r="B26" s="24" t="s">
        <v>458</v>
      </c>
      <c r="C26" s="24" t="s">
        <v>66</v>
      </c>
    </row>
    <row r="27" ht="22.5" customHeight="1" spans="1:3">
      <c r="A27" s="24" t="s">
        <v>455</v>
      </c>
      <c r="B27" s="24" t="s">
        <v>459</v>
      </c>
      <c r="C27" s="24" t="s">
        <v>74</v>
      </c>
    </row>
    <row r="28" ht="22.5" customHeight="1" spans="1:3">
      <c r="A28" s="24" t="s">
        <v>455</v>
      </c>
      <c r="B28" s="24" t="s">
        <v>460</v>
      </c>
      <c r="C28" s="24" t="s">
        <v>64</v>
      </c>
    </row>
    <row r="29" ht="22.5" customHeight="1" spans="1:3">
      <c r="A29" s="24" t="s">
        <v>455</v>
      </c>
      <c r="B29" s="24" t="s">
        <v>461</v>
      </c>
      <c r="C29" s="24" t="s">
        <v>72</v>
      </c>
    </row>
    <row r="30" ht="22.5" customHeight="1" spans="1:3">
      <c r="A30" s="24" t="s">
        <v>6</v>
      </c>
      <c r="B30" s="24" t="s">
        <v>7</v>
      </c>
      <c r="C30" s="24" t="s">
        <v>8</v>
      </c>
    </row>
    <row r="31" ht="22.5" customHeight="1" spans="1:3">
      <c r="A31" s="24" t="s">
        <v>6</v>
      </c>
      <c r="B31" s="24" t="s">
        <v>9</v>
      </c>
      <c r="C31" s="24" t="s">
        <v>10</v>
      </c>
    </row>
    <row r="32" ht="22.5" customHeight="1" spans="1:3">
      <c r="A32" s="24" t="s">
        <v>6</v>
      </c>
      <c r="B32" s="24" t="s">
        <v>16</v>
      </c>
      <c r="C32" s="24" t="s">
        <v>17</v>
      </c>
    </row>
    <row r="33" ht="22.5" customHeight="1" spans="1:3">
      <c r="A33" s="24" t="s">
        <v>6</v>
      </c>
      <c r="B33" s="24" t="s">
        <v>18</v>
      </c>
      <c r="C33" s="24" t="s">
        <v>19</v>
      </c>
    </row>
    <row r="34" ht="22.5" customHeight="1" spans="1:3">
      <c r="A34" s="24" t="s">
        <v>6</v>
      </c>
      <c r="B34" s="24" t="s">
        <v>11</v>
      </c>
      <c r="C34" s="24" t="s">
        <v>12</v>
      </c>
    </row>
    <row r="35" ht="22.5" customHeight="1" spans="1:3">
      <c r="A35" s="24" t="s">
        <v>6</v>
      </c>
      <c r="B35" s="24" t="s">
        <v>15</v>
      </c>
      <c r="C35" s="24" t="s">
        <v>110</v>
      </c>
    </row>
    <row r="36" ht="22.5" customHeight="1" spans="1:3">
      <c r="A36" s="24" t="s">
        <v>6</v>
      </c>
      <c r="B36" s="24" t="s">
        <v>20</v>
      </c>
      <c r="C36" s="24" t="s">
        <v>21</v>
      </c>
    </row>
    <row r="37" ht="22.5" customHeight="1" spans="1:3">
      <c r="A37" s="24" t="s">
        <v>6</v>
      </c>
      <c r="B37" s="24" t="s">
        <v>22</v>
      </c>
      <c r="C37" s="24" t="s">
        <v>23</v>
      </c>
    </row>
    <row r="38" ht="22.5" customHeight="1" spans="1:3">
      <c r="A38" s="24" t="s">
        <v>6</v>
      </c>
      <c r="B38" s="24" t="s">
        <v>13</v>
      </c>
      <c r="C38" s="24" t="s">
        <v>183</v>
      </c>
    </row>
    <row r="39" ht="22.5" customHeight="1" spans="1:3">
      <c r="A39" s="24" t="s">
        <v>100</v>
      </c>
      <c r="B39" s="24" t="s">
        <v>462</v>
      </c>
      <c r="C39" s="24" t="s">
        <v>104</v>
      </c>
    </row>
    <row r="40" ht="22.5" customHeight="1" spans="1:3">
      <c r="A40" s="24" t="s">
        <v>100</v>
      </c>
      <c r="B40" s="24" t="s">
        <v>463</v>
      </c>
      <c r="C40" s="24" t="s">
        <v>106</v>
      </c>
    </row>
    <row r="41" ht="22.5" customHeight="1" spans="1:3">
      <c r="A41" s="24" t="s">
        <v>100</v>
      </c>
      <c r="B41" s="24" t="s">
        <v>464</v>
      </c>
      <c r="C41" s="24" t="s">
        <v>108</v>
      </c>
    </row>
    <row r="42" ht="22.5" customHeight="1" spans="1:3">
      <c r="A42" s="24" t="s">
        <v>100</v>
      </c>
      <c r="B42" s="24" t="s">
        <v>112</v>
      </c>
      <c r="C42" s="24" t="s">
        <v>113</v>
      </c>
    </row>
    <row r="43" ht="22.5" customHeight="1" spans="1:3">
      <c r="A43" s="24" t="s">
        <v>100</v>
      </c>
      <c r="B43" s="24" t="s">
        <v>111</v>
      </c>
      <c r="C43" s="24" t="s">
        <v>283</v>
      </c>
    </row>
    <row r="44" ht="22.5" customHeight="1" spans="1:3">
      <c r="A44" s="24" t="s">
        <v>100</v>
      </c>
      <c r="B44" s="24" t="s">
        <v>101</v>
      </c>
      <c r="C44" s="24" t="s">
        <v>102</v>
      </c>
    </row>
    <row r="45" ht="22.5" customHeight="1" spans="1:3">
      <c r="A45" s="24" t="s">
        <v>100</v>
      </c>
      <c r="B45" s="24" t="s">
        <v>109</v>
      </c>
      <c r="C45" s="24" t="s">
        <v>115</v>
      </c>
    </row>
    <row r="46" ht="22.5" customHeight="1" spans="1:3">
      <c r="A46" s="24" t="s">
        <v>77</v>
      </c>
      <c r="B46" s="24" t="s">
        <v>465</v>
      </c>
      <c r="C46" s="24" t="s">
        <v>83</v>
      </c>
    </row>
    <row r="47" ht="22.5" customHeight="1" spans="1:3">
      <c r="A47" s="24" t="s">
        <v>77</v>
      </c>
      <c r="B47" s="24" t="s">
        <v>80</v>
      </c>
      <c r="C47" s="24" t="s">
        <v>81</v>
      </c>
    </row>
    <row r="48" ht="22.5" customHeight="1" spans="1:3">
      <c r="A48" s="24" t="s">
        <v>77</v>
      </c>
      <c r="B48" s="24" t="s">
        <v>466</v>
      </c>
      <c r="C48" s="24" t="s">
        <v>87</v>
      </c>
    </row>
    <row r="49" ht="22.5" customHeight="1" spans="1:3">
      <c r="A49" s="24" t="s">
        <v>77</v>
      </c>
      <c r="B49" s="24" t="s">
        <v>78</v>
      </c>
      <c r="C49" s="24" t="s">
        <v>94</v>
      </c>
    </row>
    <row r="50" ht="22.5" customHeight="1" spans="1:3">
      <c r="A50" s="24" t="s">
        <v>77</v>
      </c>
      <c r="B50" s="24" t="s">
        <v>90</v>
      </c>
      <c r="C50" s="24" t="s">
        <v>91</v>
      </c>
    </row>
    <row r="51" ht="22.5" customHeight="1" spans="1:3">
      <c r="A51" s="24" t="s">
        <v>77</v>
      </c>
      <c r="B51" s="24" t="s">
        <v>84</v>
      </c>
      <c r="C51" s="24" t="s">
        <v>85</v>
      </c>
    </row>
    <row r="52" ht="22.5" customHeight="1" spans="1:3">
      <c r="A52" s="24" t="s">
        <v>77</v>
      </c>
      <c r="B52" s="24" t="s">
        <v>467</v>
      </c>
      <c r="C52" s="24" t="s">
        <v>96</v>
      </c>
    </row>
    <row r="53" ht="22.5" customHeight="1" spans="1:3">
      <c r="A53" s="24" t="s">
        <v>140</v>
      </c>
      <c r="B53" s="24" t="s">
        <v>468</v>
      </c>
      <c r="C53" s="24" t="s">
        <v>144</v>
      </c>
    </row>
    <row r="54" ht="22.5" customHeight="1" spans="1:3">
      <c r="A54" s="24" t="s">
        <v>140</v>
      </c>
      <c r="B54" s="24" t="s">
        <v>469</v>
      </c>
      <c r="C54" s="24" t="s">
        <v>148</v>
      </c>
    </row>
    <row r="55" ht="22.5" customHeight="1" spans="1:3">
      <c r="A55" s="24" t="s">
        <v>140</v>
      </c>
      <c r="B55" s="24" t="s">
        <v>470</v>
      </c>
      <c r="C55" s="24" t="s">
        <v>142</v>
      </c>
    </row>
    <row r="56" ht="22.5" customHeight="1" spans="1:3">
      <c r="A56" s="24" t="s">
        <v>140</v>
      </c>
      <c r="B56" s="24" t="s">
        <v>471</v>
      </c>
      <c r="C56" s="24" t="s">
        <v>146</v>
      </c>
    </row>
    <row r="57" ht="22.5" customHeight="1" spans="1:3">
      <c r="A57" s="24" t="s">
        <v>140</v>
      </c>
      <c r="B57" s="24" t="s">
        <v>328</v>
      </c>
      <c r="C57" s="24" t="s">
        <v>152</v>
      </c>
    </row>
    <row r="58" ht="22.5" customHeight="1" spans="1:3">
      <c r="A58" s="24" t="s">
        <v>140</v>
      </c>
      <c r="B58" s="24" t="s">
        <v>472</v>
      </c>
      <c r="C58" s="24" t="s">
        <v>153</v>
      </c>
    </row>
    <row r="59" ht="22.5" customHeight="1" spans="1:3">
      <c r="A59" s="24" t="s">
        <v>160</v>
      </c>
      <c r="B59" s="24" t="s">
        <v>473</v>
      </c>
      <c r="C59" s="24" t="s">
        <v>162</v>
      </c>
    </row>
    <row r="60" ht="22.5" customHeight="1" spans="1:3">
      <c r="A60" s="24" t="s">
        <v>160</v>
      </c>
      <c r="B60" s="24" t="s">
        <v>474</v>
      </c>
      <c r="C60" s="24" t="s">
        <v>164</v>
      </c>
    </row>
    <row r="61" ht="22.5" customHeight="1" spans="1:3">
      <c r="A61" s="24" t="s">
        <v>160</v>
      </c>
      <c r="B61" s="24" t="s">
        <v>475</v>
      </c>
      <c r="C61" s="24" t="s">
        <v>173</v>
      </c>
    </row>
    <row r="62" ht="22.5" customHeight="1" spans="1:3">
      <c r="A62" s="24" t="s">
        <v>160</v>
      </c>
      <c r="B62" s="24" t="s">
        <v>476</v>
      </c>
      <c r="C62" s="24" t="s">
        <v>170</v>
      </c>
    </row>
    <row r="63" ht="22.5" customHeight="1" spans="1:3">
      <c r="A63" s="24" t="s">
        <v>160</v>
      </c>
      <c r="B63" s="24" t="s">
        <v>169</v>
      </c>
      <c r="C63" s="24" t="s">
        <v>168</v>
      </c>
    </row>
    <row r="64" ht="22.5" customHeight="1" spans="1:3">
      <c r="A64" s="24" t="s">
        <v>160</v>
      </c>
      <c r="B64" s="24" t="s">
        <v>171</v>
      </c>
      <c r="C64" s="24" t="s">
        <v>172</v>
      </c>
    </row>
    <row r="65" ht="22.5" customHeight="1" spans="1:3">
      <c r="A65" s="24" t="s">
        <v>154</v>
      </c>
      <c r="B65" s="24" t="s">
        <v>477</v>
      </c>
      <c r="C65" s="24" t="s">
        <v>478</v>
      </c>
    </row>
    <row r="66" ht="22.5" customHeight="1" spans="1:3">
      <c r="A66" s="24" t="s">
        <v>154</v>
      </c>
      <c r="B66" s="24" t="s">
        <v>157</v>
      </c>
      <c r="C66" s="24" t="s">
        <v>340</v>
      </c>
    </row>
    <row r="67" ht="22.5" customHeight="1" spans="1:3">
      <c r="A67" s="24" t="s">
        <v>154</v>
      </c>
      <c r="B67" s="24" t="s">
        <v>479</v>
      </c>
      <c r="C67" s="24" t="s">
        <v>159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workbookViewId="0">
      <selection activeCell="H13" sqref="H13"/>
    </sheetView>
  </sheetViews>
  <sheetFormatPr defaultColWidth="9" defaultRowHeight="13.5" outlineLevelCol="4"/>
  <cols>
    <col min="1" max="1" width="14.75" style="1" customWidth="1"/>
    <col min="2" max="2" width="16.75" style="2" customWidth="1"/>
    <col min="3" max="3" width="17.6333333333333" style="2" customWidth="1"/>
    <col min="4" max="4" width="19" style="1" customWidth="1"/>
    <col min="5" max="5" width="9" hidden="1" customWidth="1"/>
  </cols>
  <sheetData>
    <row r="1" ht="16.5" spans="1:4">
      <c r="A1" s="3" t="s">
        <v>480</v>
      </c>
      <c r="B1" s="4" t="s">
        <v>481</v>
      </c>
      <c r="C1" s="4" t="s">
        <v>482</v>
      </c>
      <c r="D1" s="5" t="s">
        <v>2</v>
      </c>
    </row>
    <row r="2" ht="33" spans="1:5">
      <c r="A2" s="6" t="s">
        <v>483</v>
      </c>
      <c r="B2" s="7" t="s">
        <v>484</v>
      </c>
      <c r="C2" s="7" t="s">
        <v>485</v>
      </c>
      <c r="D2" s="8" t="s">
        <v>119</v>
      </c>
      <c r="E2" t="str">
        <f>VLOOKUP(D2,'业务员-市场'!B:B,1,0)</f>
        <v>墨西哥-1</v>
      </c>
    </row>
    <row r="3" ht="33" spans="1:5">
      <c r="A3" s="6" t="s">
        <v>486</v>
      </c>
      <c r="B3" s="7" t="s">
        <v>487</v>
      </c>
      <c r="C3" s="7" t="s">
        <v>488</v>
      </c>
      <c r="D3" s="8" t="s">
        <v>80</v>
      </c>
      <c r="E3" t="str">
        <f>VLOOKUP(D3,'业务员-市场'!B:B,1,0)</f>
        <v>沙特工厂</v>
      </c>
    </row>
    <row r="4" ht="33" spans="1:5">
      <c r="A4" s="6" t="s">
        <v>489</v>
      </c>
      <c r="B4" s="7" t="s">
        <v>490</v>
      </c>
      <c r="C4" s="7" t="s">
        <v>491</v>
      </c>
      <c r="D4" s="8" t="s">
        <v>11</v>
      </c>
      <c r="E4" t="str">
        <f>VLOOKUP(D4,'业务员-市场'!B:B,1,0)</f>
        <v>俄罗斯（东部）</v>
      </c>
    </row>
    <row r="5" ht="33" spans="1:5">
      <c r="A5" s="6" t="s">
        <v>492</v>
      </c>
      <c r="B5" s="7" t="s">
        <v>493</v>
      </c>
      <c r="C5" s="7" t="s">
        <v>494</v>
      </c>
      <c r="D5" s="8" t="s">
        <v>37</v>
      </c>
      <c r="E5" t="str">
        <f>VLOOKUP(D5,'业务员-市场'!B:B,1,0)</f>
        <v>新加坡HDB</v>
      </c>
    </row>
    <row r="6" ht="16.5" spans="1:5">
      <c r="A6" s="9" t="s">
        <v>495</v>
      </c>
      <c r="B6" s="10" t="s">
        <v>445</v>
      </c>
      <c r="C6" s="7" t="s">
        <v>8</v>
      </c>
      <c r="D6" s="11" t="s">
        <v>7</v>
      </c>
      <c r="E6" t="str">
        <f>VLOOKUP(D6,'业务员-市场'!B:B,1,0)</f>
        <v>俄罗斯（中部）</v>
      </c>
    </row>
    <row r="7" ht="16.5" spans="1:5">
      <c r="A7" s="12"/>
      <c r="B7" s="10" t="s">
        <v>445</v>
      </c>
      <c r="C7" s="7" t="s">
        <v>10</v>
      </c>
      <c r="D7" s="11" t="s">
        <v>9</v>
      </c>
      <c r="E7" t="str">
        <f>VLOOKUP(D7,'业务员-市场'!B:B,1,0)</f>
        <v>俄罗斯（西部）</v>
      </c>
    </row>
    <row r="8" ht="16.5" spans="1:5">
      <c r="A8" s="12"/>
      <c r="B8" s="10" t="s">
        <v>445</v>
      </c>
      <c r="C8" s="7" t="s">
        <v>17</v>
      </c>
      <c r="D8" s="13" t="s">
        <v>16</v>
      </c>
      <c r="E8" t="str">
        <f>VLOOKUP(D8,'业务员-市场'!B:B,1,0)</f>
        <v>俄罗斯（中南）</v>
      </c>
    </row>
    <row r="9" ht="16.5" spans="1:5">
      <c r="A9" s="12"/>
      <c r="B9" s="10" t="s">
        <v>445</v>
      </c>
      <c r="C9" s="7" t="s">
        <v>19</v>
      </c>
      <c r="D9" s="13" t="s">
        <v>18</v>
      </c>
      <c r="E9" t="str">
        <f>VLOOKUP(D9,'业务员-市场'!B:B,1,0)</f>
        <v>俄罗斯（西南）</v>
      </c>
    </row>
    <row r="10" ht="33" spans="1:5">
      <c r="A10" s="12"/>
      <c r="B10" s="10" t="s">
        <v>496</v>
      </c>
      <c r="C10" s="14" t="s">
        <v>497</v>
      </c>
      <c r="D10" s="13" t="s">
        <v>18</v>
      </c>
      <c r="E10" t="str">
        <f>VLOOKUP(D10,'业务员-市场'!B:B,1,0)</f>
        <v>俄罗斯（西南）</v>
      </c>
    </row>
    <row r="11" ht="16.5" spans="1:5">
      <c r="A11" s="12"/>
      <c r="B11" s="10" t="s">
        <v>445</v>
      </c>
      <c r="C11" s="7" t="s">
        <v>12</v>
      </c>
      <c r="D11" s="13" t="s">
        <v>11</v>
      </c>
      <c r="E11" t="str">
        <f>VLOOKUP(D11,'业务员-市场'!B:B,1,0)</f>
        <v>俄罗斯（东部）</v>
      </c>
    </row>
    <row r="12" ht="16.5" spans="1:5">
      <c r="A12" s="12"/>
      <c r="B12" s="10" t="s">
        <v>445</v>
      </c>
      <c r="C12" s="7" t="s">
        <v>21</v>
      </c>
      <c r="D12" s="13" t="s">
        <v>20</v>
      </c>
      <c r="E12" t="str">
        <f>VLOOKUP(D12,'业务员-市场'!B:B,1,0)</f>
        <v>莫斯科</v>
      </c>
    </row>
    <row r="13" ht="16.5" spans="1:5">
      <c r="A13" s="12"/>
      <c r="B13" s="10" t="s">
        <v>445</v>
      </c>
      <c r="C13" s="7" t="s">
        <v>183</v>
      </c>
      <c r="D13" s="13" t="s">
        <v>13</v>
      </c>
      <c r="E13" t="str">
        <f>VLOOKUP(D13,'业务员-市场'!B:B,1,0)</f>
        <v>罗斯托夫</v>
      </c>
    </row>
    <row r="14" ht="16.5" spans="1:5">
      <c r="A14" s="10"/>
      <c r="B14" s="10" t="s">
        <v>445</v>
      </c>
      <c r="C14" s="7" t="s">
        <v>110</v>
      </c>
      <c r="D14" s="13" t="s">
        <v>15</v>
      </c>
      <c r="E14" t="str">
        <f>VLOOKUP(D14,'业务员-市场'!B:B,1,0)</f>
        <v>哈巴</v>
      </c>
    </row>
    <row r="15" ht="16.5" spans="1:5">
      <c r="A15" s="12"/>
      <c r="B15" s="10" t="s">
        <v>445</v>
      </c>
      <c r="C15" s="14" t="s">
        <v>196</v>
      </c>
      <c r="D15" s="13" t="s">
        <v>24</v>
      </c>
      <c r="E15" t="str">
        <f>VLOOKUP(D15,'业务员-市场'!B:B,1,0)</f>
        <v>新西</v>
      </c>
    </row>
    <row r="16" ht="16.5" spans="1:5">
      <c r="A16" s="12"/>
      <c r="B16" s="10" t="s">
        <v>498</v>
      </c>
      <c r="C16" s="7" t="s">
        <v>30</v>
      </c>
      <c r="D16" s="13" t="s">
        <v>11</v>
      </c>
      <c r="E16" t="str">
        <f>VLOOKUP(D16,'业务员-市场'!B:B,1,0)</f>
        <v>俄罗斯（东部）</v>
      </c>
    </row>
    <row r="17" ht="16.5" spans="1:5">
      <c r="A17" s="12"/>
      <c r="B17" s="10" t="s">
        <v>498</v>
      </c>
      <c r="C17" s="7" t="s">
        <v>29</v>
      </c>
      <c r="D17" s="13" t="s">
        <v>9</v>
      </c>
      <c r="E17" t="str">
        <f>VLOOKUP(D17,'业务员-市场'!B:B,1,0)</f>
        <v>俄罗斯（西部）</v>
      </c>
    </row>
    <row r="18" ht="16.5" spans="1:5">
      <c r="A18" s="12"/>
      <c r="B18" s="10" t="s">
        <v>498</v>
      </c>
      <c r="C18" s="7" t="s">
        <v>25</v>
      </c>
      <c r="D18" s="10" t="s">
        <v>9</v>
      </c>
      <c r="E18" t="str">
        <f>VLOOKUP(D18,'业务员-市场'!B:B,1,0)</f>
        <v>俄罗斯（西部）</v>
      </c>
    </row>
    <row r="19" ht="16.5" spans="1:5">
      <c r="A19" s="12"/>
      <c r="B19" s="10" t="s">
        <v>498</v>
      </c>
      <c r="C19" s="7" t="s">
        <v>27</v>
      </c>
      <c r="D19" s="13" t="s">
        <v>7</v>
      </c>
      <c r="E19" t="str">
        <f>VLOOKUP(D19,'业务员-市场'!B:B,1,0)</f>
        <v>俄罗斯（中部）</v>
      </c>
    </row>
    <row r="20" ht="16.5" spans="1:5">
      <c r="A20" s="12"/>
      <c r="B20" s="10" t="s">
        <v>498</v>
      </c>
      <c r="C20" s="14" t="s">
        <v>499</v>
      </c>
      <c r="D20" s="13" t="s">
        <v>7</v>
      </c>
      <c r="E20" t="str">
        <f>VLOOKUP(D20,'业务员-市场'!B:B,1,0)</f>
        <v>俄罗斯（中部）</v>
      </c>
    </row>
    <row r="21" ht="16.5" spans="1:5">
      <c r="A21" s="12"/>
      <c r="B21" s="10" t="s">
        <v>500</v>
      </c>
      <c r="C21" s="14" t="s">
        <v>501</v>
      </c>
      <c r="D21" s="13" t="s">
        <v>16</v>
      </c>
      <c r="E21" t="str">
        <f>VLOOKUP(D21,'业务员-市场'!B:B,1,0)</f>
        <v>俄罗斯（中南）</v>
      </c>
    </row>
    <row r="22" ht="16.5" spans="1:5">
      <c r="A22" s="12"/>
      <c r="B22" s="10" t="s">
        <v>500</v>
      </c>
      <c r="C22" s="7" t="s">
        <v>28</v>
      </c>
      <c r="D22" s="10" t="s">
        <v>18</v>
      </c>
      <c r="E22" t="str">
        <f>VLOOKUP(D22,'业务员-市场'!B:B,1,0)</f>
        <v>俄罗斯（西南）</v>
      </c>
    </row>
    <row r="23" ht="16.5" spans="1:5">
      <c r="A23" s="12"/>
      <c r="B23" s="10" t="s">
        <v>502</v>
      </c>
      <c r="C23" s="7" t="s">
        <v>26</v>
      </c>
      <c r="D23" s="13" t="s">
        <v>7</v>
      </c>
      <c r="E23" t="str">
        <f>VLOOKUP(D23,'业务员-市场'!B:B,1,0)</f>
        <v>俄罗斯（中部）</v>
      </c>
    </row>
    <row r="24" ht="16.5" spans="1:5">
      <c r="A24" s="9" t="s">
        <v>503</v>
      </c>
      <c r="B24" s="10" t="s">
        <v>445</v>
      </c>
      <c r="C24" s="7" t="s">
        <v>144</v>
      </c>
      <c r="D24" s="13" t="s">
        <v>143</v>
      </c>
      <c r="E24" t="str">
        <f>VLOOKUP(D24,'业务员-市场'!B:B,1,0)</f>
        <v>埃及-1</v>
      </c>
    </row>
    <row r="25" ht="16.5" spans="1:5">
      <c r="A25" s="12"/>
      <c r="B25" s="10" t="s">
        <v>445</v>
      </c>
      <c r="C25" s="7" t="s">
        <v>148</v>
      </c>
      <c r="D25" s="13" t="s">
        <v>151</v>
      </c>
      <c r="E25" t="str">
        <f>VLOOKUP(D25,'业务员-市场'!B:B,1,0)</f>
        <v>埃及-2</v>
      </c>
    </row>
    <row r="26" ht="16.5" spans="1:5">
      <c r="A26" s="12"/>
      <c r="B26" s="10" t="s">
        <v>445</v>
      </c>
      <c r="C26" s="7" t="s">
        <v>152</v>
      </c>
      <c r="D26" s="10" t="s">
        <v>328</v>
      </c>
      <c r="E26" t="str">
        <f>VLOOKUP(D26,'业务员-市场'!B:B,1,0)</f>
        <v>非洲法语区</v>
      </c>
    </row>
    <row r="27" ht="16.5" spans="1:5">
      <c r="A27" s="12"/>
      <c r="B27" s="10" t="s">
        <v>445</v>
      </c>
      <c r="C27" s="7" t="s">
        <v>142</v>
      </c>
      <c r="D27" s="7" t="s">
        <v>141</v>
      </c>
      <c r="E27" t="str">
        <f>VLOOKUP(D27,'业务员-市场'!B:B,1,0)</f>
        <v>肯尼亚/坦桑尼亚</v>
      </c>
    </row>
    <row r="28" ht="16.5" spans="1:5">
      <c r="A28" s="12"/>
      <c r="B28" s="10" t="s">
        <v>445</v>
      </c>
      <c r="C28" s="7" t="s">
        <v>146</v>
      </c>
      <c r="D28" s="7" t="s">
        <v>145</v>
      </c>
      <c r="E28" t="str">
        <f>VLOOKUP(D28,'业务员-市场'!B:B,1,0)</f>
        <v>尼日利亚/埃塞俄比亚</v>
      </c>
    </row>
    <row r="29" ht="16.5" spans="1:5">
      <c r="A29" s="15"/>
      <c r="B29" s="10" t="s">
        <v>504</v>
      </c>
      <c r="C29" s="7" t="s">
        <v>153</v>
      </c>
      <c r="D29" s="7" t="s">
        <v>149</v>
      </c>
      <c r="E29" t="str">
        <f>VLOOKUP(D29,'业务员-市场'!B:B,1,0)</f>
        <v>南非/安格拉</v>
      </c>
    </row>
    <row r="30" ht="16.5" spans="1:5">
      <c r="A30" s="9" t="s">
        <v>505</v>
      </c>
      <c r="B30" s="10" t="s">
        <v>445</v>
      </c>
      <c r="C30" s="7" t="s">
        <v>36</v>
      </c>
      <c r="D30" s="7" t="s">
        <v>37</v>
      </c>
      <c r="E30" t="str">
        <f>VLOOKUP(D30,'业务员-市场'!B:B,1,0)</f>
        <v>新加坡HDB</v>
      </c>
    </row>
    <row r="31" ht="16.5" spans="1:5">
      <c r="A31" s="12"/>
      <c r="B31" s="10" t="s">
        <v>445</v>
      </c>
      <c r="C31" s="7" t="s">
        <v>40</v>
      </c>
      <c r="D31" s="14" t="s">
        <v>39</v>
      </c>
      <c r="E31" t="str">
        <f>VLOOKUP(D31,'业务员-市场'!B:B,1,0)</f>
        <v>泰国</v>
      </c>
    </row>
    <row r="32" ht="16.5" spans="1:5">
      <c r="A32" s="12"/>
      <c r="B32" s="10" t="s">
        <v>445</v>
      </c>
      <c r="C32" s="7" t="s">
        <v>38</v>
      </c>
      <c r="D32" s="7" t="s">
        <v>35</v>
      </c>
      <c r="E32" t="str">
        <f>VLOOKUP(D32,'业务员-市场'!B:B,1,0)</f>
        <v>新加坡市政会</v>
      </c>
    </row>
    <row r="33" ht="16.5" spans="1:5">
      <c r="A33" s="12"/>
      <c r="B33" s="10" t="s">
        <v>445</v>
      </c>
      <c r="C33" s="7" t="s">
        <v>34</v>
      </c>
      <c r="D33" s="10" t="s">
        <v>33</v>
      </c>
      <c r="E33" t="str">
        <f>VLOOKUP(D33,'业务员-市场'!B:B,1,0)</f>
        <v>朝鲜-韩国</v>
      </c>
    </row>
    <row r="34" ht="16.5" spans="1:5">
      <c r="A34" s="12"/>
      <c r="B34" s="10" t="s">
        <v>445</v>
      </c>
      <c r="C34" s="7" t="s">
        <v>47</v>
      </c>
      <c r="D34" s="7" t="s">
        <v>46</v>
      </c>
      <c r="E34" t="str">
        <f>VLOOKUP(D34,'业务员-市场'!B:B,1,0)</f>
        <v>马尔代夫</v>
      </c>
    </row>
    <row r="35" ht="16.5" spans="1:5">
      <c r="A35" s="12"/>
      <c r="B35" s="10" t="s">
        <v>445</v>
      </c>
      <c r="C35" s="7" t="s">
        <v>45</v>
      </c>
      <c r="D35" s="7" t="s">
        <v>44</v>
      </c>
      <c r="E35" t="str">
        <f>VLOOKUP(D35,'业务员-市场'!B:B,1,0)</f>
        <v>马来西亚</v>
      </c>
    </row>
    <row r="36" ht="16.5" spans="1:5">
      <c r="A36" s="12"/>
      <c r="B36" s="10" t="s">
        <v>445</v>
      </c>
      <c r="C36" s="7" t="s">
        <v>42</v>
      </c>
      <c r="D36" s="7" t="s">
        <v>41</v>
      </c>
      <c r="E36" t="str">
        <f>VLOOKUP(D36,'业务员-市场'!B:B,1,0)</f>
        <v>泰国2</v>
      </c>
    </row>
    <row r="37" ht="16.5" spans="1:5">
      <c r="A37" s="12"/>
      <c r="B37" s="10" t="s">
        <v>445</v>
      </c>
      <c r="C37" s="7" t="s">
        <v>220</v>
      </c>
      <c r="D37" s="14" t="s">
        <v>48</v>
      </c>
      <c r="E37" t="str">
        <f>VLOOKUP(D37,'业务员-市场'!B:B,1,0)</f>
        <v>香港-台湾</v>
      </c>
    </row>
    <row r="38" ht="16.5" spans="1:5">
      <c r="A38" s="12"/>
      <c r="B38" s="10" t="s">
        <v>500</v>
      </c>
      <c r="C38" s="7" t="s">
        <v>49</v>
      </c>
      <c r="D38" s="14" t="s">
        <v>37</v>
      </c>
      <c r="E38" t="str">
        <f>VLOOKUP(D38,'业务员-市场'!B:B,1,0)</f>
        <v>新加坡HDB</v>
      </c>
    </row>
    <row r="39" ht="16.5" spans="1:5">
      <c r="A39" s="12"/>
      <c r="B39" s="10" t="s">
        <v>498</v>
      </c>
      <c r="C39" s="7" t="s">
        <v>50</v>
      </c>
      <c r="D39" s="10" t="s">
        <v>33</v>
      </c>
      <c r="E39" t="str">
        <f>VLOOKUP(D39,'业务员-市场'!B:B,1,0)</f>
        <v>朝鲜-韩国</v>
      </c>
    </row>
    <row r="40" ht="16.5" spans="1:5">
      <c r="A40" s="12"/>
      <c r="B40" s="10" t="s">
        <v>498</v>
      </c>
      <c r="C40" s="7" t="s">
        <v>51</v>
      </c>
      <c r="D40" s="7" t="s">
        <v>46</v>
      </c>
      <c r="E40" t="str">
        <f>VLOOKUP(D40,'业务员-市场'!B:B,1,0)</f>
        <v>马尔代夫</v>
      </c>
    </row>
    <row r="41" ht="16.5" spans="1:5">
      <c r="A41" s="12"/>
      <c r="B41" s="10" t="s">
        <v>498</v>
      </c>
      <c r="C41" s="14" t="s">
        <v>506</v>
      </c>
      <c r="D41" s="14" t="s">
        <v>37</v>
      </c>
      <c r="E41" t="str">
        <f>VLOOKUP(D41,'业务员-市场'!B:B,1,0)</f>
        <v>新加坡HDB</v>
      </c>
    </row>
    <row r="42" ht="16.5" spans="1:5">
      <c r="A42" s="12"/>
      <c r="B42" s="10" t="s">
        <v>498</v>
      </c>
      <c r="C42" s="14" t="s">
        <v>507</v>
      </c>
      <c r="D42" s="7" t="s">
        <v>41</v>
      </c>
      <c r="E42" t="str">
        <f>VLOOKUP(D42,'业务员-市场'!B:B,1,0)</f>
        <v>泰国2</v>
      </c>
    </row>
    <row r="43" ht="16.5" spans="1:5">
      <c r="A43" s="10" t="s">
        <v>508</v>
      </c>
      <c r="B43" s="10" t="s">
        <v>445</v>
      </c>
      <c r="C43" s="7" t="s">
        <v>60</v>
      </c>
      <c r="D43" s="10" t="s">
        <v>59</v>
      </c>
      <c r="E43" t="str">
        <f>VLOOKUP(D43,'业务员-市场'!B:B,1,0)</f>
        <v>孟加拉-1</v>
      </c>
    </row>
    <row r="44" ht="16.5" spans="1:5">
      <c r="A44" s="10"/>
      <c r="B44" s="10" t="s">
        <v>445</v>
      </c>
      <c r="C44" s="7" t="s">
        <v>56</v>
      </c>
      <c r="D44" s="13" t="s">
        <v>55</v>
      </c>
      <c r="E44" t="str">
        <f>VLOOKUP(D44,'业务员-市场'!B:B,1,0)</f>
        <v>印度公建</v>
      </c>
    </row>
    <row r="45" ht="16.5" spans="1:5">
      <c r="A45" s="10"/>
      <c r="B45" s="10" t="s">
        <v>445</v>
      </c>
      <c r="C45" s="7" t="s">
        <v>62</v>
      </c>
      <c r="D45" s="7" t="s">
        <v>61</v>
      </c>
      <c r="E45" t="str">
        <f>VLOOKUP(D45,'业务员-市场'!B:B,1,0)</f>
        <v>澳大利亚</v>
      </c>
    </row>
    <row r="46" ht="16.5" spans="1:5">
      <c r="A46" s="10"/>
      <c r="B46" s="10" t="s">
        <v>445</v>
      </c>
      <c r="C46" s="7" t="s">
        <v>54</v>
      </c>
      <c r="D46" s="7" t="s">
        <v>53</v>
      </c>
      <c r="E46" t="str">
        <f>VLOOKUP(D46,'业务员-市场'!B:B,1,0)</f>
        <v>越南-2</v>
      </c>
    </row>
    <row r="47" ht="16.5" spans="1:5">
      <c r="A47" s="10"/>
      <c r="B47" s="10" t="s">
        <v>445</v>
      </c>
      <c r="C47" s="7" t="s">
        <v>66</v>
      </c>
      <c r="D47" s="7" t="s">
        <v>65</v>
      </c>
      <c r="E47" t="str">
        <f>VLOOKUP(D47,'业务员-市场'!B:B,1,0)</f>
        <v>印尼-1</v>
      </c>
    </row>
    <row r="48" ht="16.5" spans="1:5">
      <c r="A48" s="10"/>
      <c r="B48" s="10" t="s">
        <v>445</v>
      </c>
      <c r="C48" s="7" t="s">
        <v>64</v>
      </c>
      <c r="D48" s="7" t="s">
        <v>63</v>
      </c>
      <c r="E48" t="str">
        <f>VLOOKUP(D48,'业务员-市场'!B:B,1,0)</f>
        <v>菲律宾</v>
      </c>
    </row>
    <row r="49" ht="16.5" spans="1:5">
      <c r="A49" s="10"/>
      <c r="B49" s="10" t="s">
        <v>445</v>
      </c>
      <c r="C49" s="7" t="s">
        <v>68</v>
      </c>
      <c r="D49" s="7" t="s">
        <v>67</v>
      </c>
      <c r="E49" t="str">
        <f>VLOOKUP(D49,'业务员-市场'!B:B,1,0)</f>
        <v>越南-1（工厂）</v>
      </c>
    </row>
    <row r="50" ht="16.5" spans="1:5">
      <c r="A50" s="10"/>
      <c r="B50" s="10" t="s">
        <v>445</v>
      </c>
      <c r="C50" s="7" t="s">
        <v>58</v>
      </c>
      <c r="D50" s="7" t="s">
        <v>57</v>
      </c>
      <c r="E50" t="str">
        <f>VLOOKUP(D50,'业务员-市场'!B:B,1,0)</f>
        <v>巴基斯坦</v>
      </c>
    </row>
    <row r="51" ht="16.5" spans="1:5">
      <c r="A51" s="10"/>
      <c r="B51" s="10" t="s">
        <v>445</v>
      </c>
      <c r="C51" s="7" t="s">
        <v>72</v>
      </c>
      <c r="D51" s="13" t="s">
        <v>71</v>
      </c>
      <c r="E51" t="str">
        <f>VLOOKUP(D51,'业务员-市场'!B:B,1,0)</f>
        <v>菲律宾-2</v>
      </c>
    </row>
    <row r="52" ht="16.5" spans="1:5">
      <c r="A52" s="10"/>
      <c r="B52" s="10" t="s">
        <v>445</v>
      </c>
      <c r="C52" s="7" t="s">
        <v>74</v>
      </c>
      <c r="D52" s="7" t="s">
        <v>73</v>
      </c>
      <c r="E52" t="str">
        <f>VLOOKUP(D52,'业务员-市场'!B:B,1,0)</f>
        <v>印尼-2</v>
      </c>
    </row>
    <row r="53" ht="16.5" spans="1:5">
      <c r="A53" s="10"/>
      <c r="B53" s="10" t="s">
        <v>445</v>
      </c>
      <c r="C53" s="7" t="s">
        <v>79</v>
      </c>
      <c r="D53" s="10" t="s">
        <v>69</v>
      </c>
      <c r="E53" t="str">
        <f>VLOOKUP(D53,'业务员-市场'!B:B,1,0)</f>
        <v>印度私营</v>
      </c>
    </row>
    <row r="54" ht="33" spans="1:5">
      <c r="A54" s="10"/>
      <c r="B54" s="10" t="s">
        <v>496</v>
      </c>
      <c r="C54" s="7" t="s">
        <v>509</v>
      </c>
      <c r="D54" s="7" t="s">
        <v>65</v>
      </c>
      <c r="E54" t="str">
        <f>VLOOKUP(D54,'业务员-市场'!B:B,1,0)</f>
        <v>印尼-1</v>
      </c>
    </row>
    <row r="55" ht="33" spans="1:5">
      <c r="A55" s="10"/>
      <c r="B55" s="10" t="s">
        <v>496</v>
      </c>
      <c r="C55" s="7" t="s">
        <v>510</v>
      </c>
      <c r="D55" s="7" t="s">
        <v>53</v>
      </c>
      <c r="E55" t="str">
        <f>VLOOKUP(D55,'业务员-市场'!B:B,1,0)</f>
        <v>越南-2</v>
      </c>
    </row>
    <row r="56" ht="16.5" spans="1:5">
      <c r="A56" s="10"/>
      <c r="B56" s="10" t="s">
        <v>498</v>
      </c>
      <c r="C56" s="7" t="s">
        <v>76</v>
      </c>
      <c r="D56" s="16" t="s">
        <v>53</v>
      </c>
      <c r="E56" t="str">
        <f>VLOOKUP(D56,'业务员-市场'!B:B,1,0)</f>
        <v>越南-2</v>
      </c>
    </row>
    <row r="57" ht="16.5" spans="1:5">
      <c r="A57" s="10"/>
      <c r="B57" s="10" t="s">
        <v>498</v>
      </c>
      <c r="C57" s="7" t="s">
        <v>75</v>
      </c>
      <c r="D57" s="7" t="s">
        <v>69</v>
      </c>
      <c r="E57" t="str">
        <f>VLOOKUP(D57,'业务员-市场'!B:B,1,0)</f>
        <v>印度私营</v>
      </c>
    </row>
    <row r="58" ht="16.5" spans="1:5">
      <c r="A58" s="10"/>
      <c r="B58" s="10" t="s">
        <v>498</v>
      </c>
      <c r="C58" s="7" t="s">
        <v>511</v>
      </c>
      <c r="D58" s="10" t="s">
        <v>55</v>
      </c>
      <c r="E58" t="str">
        <f>VLOOKUP(D58,'业务员-市场'!B:B,1,0)</f>
        <v>印度公建</v>
      </c>
    </row>
    <row r="59" ht="16.5" spans="1:5">
      <c r="A59" s="10"/>
      <c r="B59" s="10" t="s">
        <v>498</v>
      </c>
      <c r="C59" s="7" t="s">
        <v>512</v>
      </c>
      <c r="D59" s="10" t="s">
        <v>55</v>
      </c>
      <c r="E59" t="str">
        <f>VLOOKUP(D59,'业务员-市场'!B:B,1,0)</f>
        <v>印度公建</v>
      </c>
    </row>
    <row r="60" ht="16.5" spans="1:5">
      <c r="A60" s="12" t="s">
        <v>483</v>
      </c>
      <c r="B60" s="10" t="s">
        <v>445</v>
      </c>
      <c r="C60" s="17" t="s">
        <v>120</v>
      </c>
      <c r="D60" s="7" t="s">
        <v>119</v>
      </c>
      <c r="E60" t="str">
        <f>VLOOKUP(D60,'业务员-市场'!B:B,1,0)</f>
        <v>墨西哥-1</v>
      </c>
    </row>
    <row r="61" ht="16.5" spans="1:5">
      <c r="A61" s="12"/>
      <c r="B61" s="10" t="s">
        <v>445</v>
      </c>
      <c r="C61" s="7" t="s">
        <v>122</v>
      </c>
      <c r="D61" s="7" t="s">
        <v>121</v>
      </c>
      <c r="E61" t="str">
        <f>VLOOKUP(D61,'业务员-市场'!B:B,1,0)</f>
        <v>墨西哥-2</v>
      </c>
    </row>
    <row r="62" ht="16.5" spans="1:5">
      <c r="A62" s="12"/>
      <c r="B62" s="10" t="s">
        <v>445</v>
      </c>
      <c r="C62" s="7" t="s">
        <v>128</v>
      </c>
      <c r="D62" s="10" t="s">
        <v>127</v>
      </c>
      <c r="E62" t="str">
        <f>VLOOKUP(D62,'业务员-市场'!B:B,1,0)</f>
        <v>加勒比海</v>
      </c>
    </row>
    <row r="63" ht="16.5" spans="1:5">
      <c r="A63" s="12"/>
      <c r="B63" s="10" t="s">
        <v>445</v>
      </c>
      <c r="C63" s="7" t="s">
        <v>132</v>
      </c>
      <c r="D63" s="7" t="s">
        <v>131</v>
      </c>
      <c r="E63" t="str">
        <f>VLOOKUP(D63,'业务员-市场'!B:B,1,0)</f>
        <v>哥伦比亚</v>
      </c>
    </row>
    <row r="64" ht="16.5" spans="1:5">
      <c r="A64" s="12"/>
      <c r="B64" s="10" t="s">
        <v>445</v>
      </c>
      <c r="C64" s="7" t="s">
        <v>126</v>
      </c>
      <c r="D64" s="10" t="s">
        <v>125</v>
      </c>
      <c r="E64" t="str">
        <f>VLOOKUP(D64,'业务员-市场'!B:B,1,0)</f>
        <v>智利</v>
      </c>
    </row>
    <row r="65" ht="16.5" spans="1:5">
      <c r="A65" s="12"/>
      <c r="B65" s="10" t="s">
        <v>445</v>
      </c>
      <c r="C65" s="7" t="s">
        <v>124</v>
      </c>
      <c r="D65" s="7" t="s">
        <v>123</v>
      </c>
      <c r="E65" t="str">
        <f>VLOOKUP(D65,'业务员-市场'!B:B,1,0)</f>
        <v>秘鲁</v>
      </c>
    </row>
    <row r="66" ht="16.5" spans="1:5">
      <c r="A66" s="12"/>
      <c r="B66" s="10" t="s">
        <v>445</v>
      </c>
      <c r="C66" s="7" t="s">
        <v>130</v>
      </c>
      <c r="D66" s="18" t="s">
        <v>129</v>
      </c>
      <c r="E66" t="str">
        <f>VLOOKUP(D66,'业务员-市场'!B:B,1,0)</f>
        <v>多米尼加</v>
      </c>
    </row>
    <row r="67" ht="16.5" spans="1:5">
      <c r="A67" s="12"/>
      <c r="B67" s="10" t="s">
        <v>445</v>
      </c>
      <c r="C67" s="7" t="s">
        <v>316</v>
      </c>
      <c r="D67" s="18" t="s">
        <v>135</v>
      </c>
      <c r="E67" t="str">
        <f>VLOOKUP(D67,'业务员-市场'!B:B,1,0)</f>
        <v>巴西</v>
      </c>
    </row>
    <row r="68" ht="16.5" spans="1:5">
      <c r="A68" s="12"/>
      <c r="B68" s="10" t="s">
        <v>498</v>
      </c>
      <c r="C68" s="7" t="s">
        <v>136</v>
      </c>
      <c r="D68" s="10" t="s">
        <v>127</v>
      </c>
      <c r="E68" t="str">
        <f>VLOOKUP(D68,'业务员-市场'!B:B,1,0)</f>
        <v>加勒比海</v>
      </c>
    </row>
    <row r="69" ht="16.5" spans="1:5">
      <c r="A69" s="12"/>
      <c r="B69" s="10" t="s">
        <v>498</v>
      </c>
      <c r="C69" s="7" t="s">
        <v>137</v>
      </c>
      <c r="D69" s="7" t="s">
        <v>131</v>
      </c>
      <c r="E69" t="str">
        <f>VLOOKUP(D69,'业务员-市场'!B:B,1,0)</f>
        <v>哥伦比亚</v>
      </c>
    </row>
    <row r="70" ht="16.5" spans="1:5">
      <c r="A70" s="12"/>
      <c r="B70" s="10" t="s">
        <v>498</v>
      </c>
      <c r="C70" s="7" t="s">
        <v>513</v>
      </c>
      <c r="D70" s="7" t="s">
        <v>121</v>
      </c>
      <c r="E70" t="str">
        <f>VLOOKUP(D70,'业务员-市场'!B:B,1,0)</f>
        <v>墨西哥-2</v>
      </c>
    </row>
    <row r="71" ht="16.5" spans="1:5">
      <c r="A71" s="12"/>
      <c r="B71" s="10" t="s">
        <v>498</v>
      </c>
      <c r="C71" s="7" t="s">
        <v>514</v>
      </c>
      <c r="D71" s="7" t="s">
        <v>483</v>
      </c>
      <c r="E71" t="e">
        <f>VLOOKUP(D71,'业务员-市场'!B:B,1,0)</f>
        <v>#N/A</v>
      </c>
    </row>
    <row r="72" ht="16.5" spans="1:5">
      <c r="A72" s="10" t="s">
        <v>486</v>
      </c>
      <c r="B72" s="10" t="s">
        <v>445</v>
      </c>
      <c r="C72" s="7" t="s">
        <v>83</v>
      </c>
      <c r="D72" s="7" t="s">
        <v>82</v>
      </c>
      <c r="E72" t="str">
        <f>VLOOKUP(D72,'业务员-市场'!B:B,1,0)</f>
        <v>沙特-1</v>
      </c>
    </row>
    <row r="73" ht="16.5" spans="1:5">
      <c r="A73" s="10"/>
      <c r="B73" s="10" t="s">
        <v>445</v>
      </c>
      <c r="C73" s="7" t="s">
        <v>94</v>
      </c>
      <c r="D73" s="10" t="s">
        <v>78</v>
      </c>
      <c r="E73" t="str">
        <f>VLOOKUP(D73,'业务员-市场'!B:B,1,0)</f>
        <v>阿联酋-2</v>
      </c>
    </row>
    <row r="74" ht="16.5" spans="1:5">
      <c r="A74" s="10"/>
      <c r="B74" s="10" t="s">
        <v>445</v>
      </c>
      <c r="C74" s="7" t="s">
        <v>91</v>
      </c>
      <c r="D74" s="10" t="s">
        <v>90</v>
      </c>
      <c r="E74" t="str">
        <f>VLOOKUP(D74,'业务员-市场'!B:B,1,0)</f>
        <v>伊拉克</v>
      </c>
    </row>
    <row r="75" ht="16.5" spans="1:5">
      <c r="A75" s="10"/>
      <c r="B75" s="10" t="s">
        <v>445</v>
      </c>
      <c r="C75" s="7" t="s">
        <v>85</v>
      </c>
      <c r="D75" s="10" t="s">
        <v>84</v>
      </c>
      <c r="E75" t="str">
        <f>VLOOKUP(D75,'业务员-市场'!B:B,1,0)</f>
        <v>科威特</v>
      </c>
    </row>
    <row r="76" ht="16.5" spans="1:5">
      <c r="A76" s="10"/>
      <c r="B76" s="10" t="s">
        <v>445</v>
      </c>
      <c r="C76" s="7" t="s">
        <v>96</v>
      </c>
      <c r="D76" s="7" t="s">
        <v>95</v>
      </c>
      <c r="E76" t="str">
        <f>VLOOKUP(D76,'业务员-市场'!B:B,1,0)</f>
        <v>伊朗+阿曼</v>
      </c>
    </row>
    <row r="77" ht="16.5" spans="1:5">
      <c r="A77" s="10"/>
      <c r="B77" s="10" t="s">
        <v>445</v>
      </c>
      <c r="C77" s="7" t="s">
        <v>81</v>
      </c>
      <c r="D77" s="7" t="s">
        <v>80</v>
      </c>
      <c r="E77" t="str">
        <f>VLOOKUP(D77,'业务员-市场'!B:B,1,0)</f>
        <v>沙特工厂</v>
      </c>
    </row>
    <row r="78" ht="16.5" spans="1:5">
      <c r="A78" s="10"/>
      <c r="B78" s="10" t="s">
        <v>445</v>
      </c>
      <c r="C78" s="14" t="s">
        <v>259</v>
      </c>
      <c r="D78" s="7" t="s">
        <v>88</v>
      </c>
      <c r="E78" t="str">
        <f>VLOOKUP(D78,'业务员-市场'!B:B,1,0)</f>
        <v>卡塔尔</v>
      </c>
    </row>
    <row r="79" ht="16.5" spans="1:5">
      <c r="A79" s="10"/>
      <c r="B79" s="10" t="s">
        <v>445</v>
      </c>
      <c r="C79" s="14" t="s">
        <v>515</v>
      </c>
      <c r="D79" s="7" t="s">
        <v>95</v>
      </c>
      <c r="E79" t="str">
        <f>VLOOKUP(D79,'业务员-市场'!B:B,1,0)</f>
        <v>伊朗+阿曼</v>
      </c>
    </row>
    <row r="80" ht="16.5" spans="1:5">
      <c r="A80" s="10"/>
      <c r="B80" s="10" t="s">
        <v>500</v>
      </c>
      <c r="C80" s="7" t="s">
        <v>97</v>
      </c>
      <c r="D80" s="7" t="s">
        <v>80</v>
      </c>
      <c r="E80" t="str">
        <f>VLOOKUP(D80,'业务员-市场'!B:B,1,0)</f>
        <v>沙特工厂</v>
      </c>
    </row>
    <row r="81" ht="16.5" spans="1:5">
      <c r="A81" s="10"/>
      <c r="B81" s="10" t="s">
        <v>498</v>
      </c>
      <c r="C81" s="7" t="s">
        <v>98</v>
      </c>
      <c r="D81" s="10" t="s">
        <v>86</v>
      </c>
      <c r="E81" t="str">
        <f>VLOOKUP(D81,'业务员-市场'!B:B,1,0)</f>
        <v>阿联酋-1</v>
      </c>
    </row>
    <row r="82" ht="16.5" spans="1:5">
      <c r="A82" s="10"/>
      <c r="B82" s="7" t="s">
        <v>498</v>
      </c>
      <c r="C82" s="7" t="s">
        <v>99</v>
      </c>
      <c r="D82" s="7" t="s">
        <v>82</v>
      </c>
      <c r="E82" t="str">
        <f>VLOOKUP(D82,'业务员-市场'!B:B,1,0)</f>
        <v>沙特-1</v>
      </c>
    </row>
    <row r="83" ht="16.5" spans="1:5">
      <c r="A83" s="10"/>
      <c r="B83" s="7" t="s">
        <v>502</v>
      </c>
      <c r="C83" s="7" t="s">
        <v>87</v>
      </c>
      <c r="D83" s="10" t="s">
        <v>86</v>
      </c>
      <c r="E83" t="str">
        <f>VLOOKUP(D83,'业务员-市场'!B:B,1,0)</f>
        <v>阿联酋-1</v>
      </c>
    </row>
    <row r="84" ht="16.5" spans="1:5">
      <c r="A84" s="10" t="s">
        <v>489</v>
      </c>
      <c r="B84" s="10" t="s">
        <v>445</v>
      </c>
      <c r="C84" s="7" t="s">
        <v>102</v>
      </c>
      <c r="D84" s="10" t="s">
        <v>101</v>
      </c>
      <c r="E84" t="str">
        <f>VLOOKUP(D84,'业务员-市场'!B:B,1,0)</f>
        <v>蒙古</v>
      </c>
    </row>
    <row r="85" ht="16.5" spans="1:5">
      <c r="A85" s="10"/>
      <c r="B85" s="10" t="s">
        <v>445</v>
      </c>
      <c r="C85" s="7" t="s">
        <v>104</v>
      </c>
      <c r="D85" s="10" t="s">
        <v>103</v>
      </c>
      <c r="E85" t="str">
        <f>VLOOKUP(D85,'业务员-市场'!B:B,1,0)</f>
        <v>哈萨克斯坦-1</v>
      </c>
    </row>
    <row r="86" ht="16.5" spans="1:5">
      <c r="A86" s="10"/>
      <c r="B86" s="10" t="s">
        <v>445</v>
      </c>
      <c r="C86" s="7" t="s">
        <v>108</v>
      </c>
      <c r="D86" s="7" t="s">
        <v>107</v>
      </c>
      <c r="E86" t="str">
        <f>VLOOKUP(D86,'业务员-市场'!B:B,1,0)</f>
        <v>哈萨克斯坦-3</v>
      </c>
    </row>
    <row r="87" ht="16.5" spans="1:5">
      <c r="A87" s="10"/>
      <c r="B87" s="10" t="s">
        <v>445</v>
      </c>
      <c r="C87" s="14" t="s">
        <v>283</v>
      </c>
      <c r="D87" s="10" t="s">
        <v>111</v>
      </c>
      <c r="E87" t="str">
        <f>VLOOKUP(D87,'业务员-市场'!B:B,1,0)</f>
        <v>吉尔吉斯斯坦</v>
      </c>
    </row>
    <row r="88" ht="16.5" spans="1:5">
      <c r="A88" s="10"/>
      <c r="B88" s="10" t="s">
        <v>445</v>
      </c>
      <c r="C88" s="7" t="s">
        <v>113</v>
      </c>
      <c r="D88" s="13" t="s">
        <v>112</v>
      </c>
      <c r="E88" t="str">
        <f>VLOOKUP(D88,'业务员-市场'!B:B,1,0)</f>
        <v>阿塞拜疆</v>
      </c>
    </row>
    <row r="89" ht="16.5" spans="1:5">
      <c r="A89" s="10"/>
      <c r="B89" s="10" t="s">
        <v>445</v>
      </c>
      <c r="C89" s="7" t="s">
        <v>106</v>
      </c>
      <c r="D89" s="13" t="s">
        <v>105</v>
      </c>
      <c r="E89" t="str">
        <f>VLOOKUP(D89,'业务员-市场'!B:B,1,0)</f>
        <v>塔吉克/哈萨克斯坦-2</v>
      </c>
    </row>
    <row r="90" ht="16.5" spans="1:5">
      <c r="A90" s="10"/>
      <c r="B90" s="10" t="s">
        <v>445</v>
      </c>
      <c r="C90" s="7" t="s">
        <v>115</v>
      </c>
      <c r="D90" s="13" t="s">
        <v>109</v>
      </c>
      <c r="E90" t="str">
        <f>VLOOKUP(D90,'业务员-市场'!B:B,1,0)</f>
        <v>乌兹别克斯坦</v>
      </c>
    </row>
    <row r="91" ht="16.5" spans="1:5">
      <c r="A91" s="12"/>
      <c r="B91" s="10" t="s">
        <v>445</v>
      </c>
      <c r="C91" s="14" t="s">
        <v>516</v>
      </c>
      <c r="D91" s="13" t="s">
        <v>517</v>
      </c>
      <c r="E91" t="e">
        <f>VLOOKUP(D91,'业务员-市场'!B:B,1,0)</f>
        <v>#N/A</v>
      </c>
    </row>
    <row r="92" ht="16.5" spans="1:5">
      <c r="A92" s="12"/>
      <c r="B92" s="10" t="s">
        <v>445</v>
      </c>
      <c r="C92" s="7" t="s">
        <v>290</v>
      </c>
      <c r="D92" s="18" t="s">
        <v>114</v>
      </c>
      <c r="E92" t="e">
        <f>VLOOKUP(D92,'业务员-市场'!B:B,1,0)</f>
        <v>#N/A</v>
      </c>
    </row>
    <row r="93" ht="16.5" spans="1:5">
      <c r="A93" s="12"/>
      <c r="B93" s="10" t="s">
        <v>111</v>
      </c>
      <c r="C93" s="14" t="s">
        <v>518</v>
      </c>
      <c r="D93" s="10" t="s">
        <v>111</v>
      </c>
      <c r="E93" t="str">
        <f>VLOOKUP(D93,'业务员-市场'!B:B,1,0)</f>
        <v>吉尔吉斯斯坦</v>
      </c>
    </row>
    <row r="94" ht="16.5" spans="1:5">
      <c r="A94" s="10"/>
      <c r="B94" s="10" t="s">
        <v>498</v>
      </c>
      <c r="C94" s="7" t="s">
        <v>519</v>
      </c>
      <c r="D94" s="13" t="s">
        <v>105</v>
      </c>
      <c r="E94" t="str">
        <f>VLOOKUP(D94,'业务员-市场'!B:B,1,0)</f>
        <v>塔吉克/哈萨克斯坦-2</v>
      </c>
    </row>
    <row r="95" ht="16.5" spans="1:5">
      <c r="A95" s="10"/>
      <c r="B95" s="10" t="s">
        <v>498</v>
      </c>
      <c r="C95" s="7" t="s">
        <v>116</v>
      </c>
      <c r="D95" s="10" t="s">
        <v>103</v>
      </c>
      <c r="E95" t="str">
        <f>VLOOKUP(D95,'业务员-市场'!B:B,1,0)</f>
        <v>哈萨克斯坦-1</v>
      </c>
    </row>
    <row r="96" ht="16.5" spans="1:5">
      <c r="A96" s="10"/>
      <c r="B96" s="10" t="s">
        <v>498</v>
      </c>
      <c r="C96" s="7" t="s">
        <v>520</v>
      </c>
      <c r="D96" s="10" t="s">
        <v>103</v>
      </c>
      <c r="E96" t="str">
        <f>VLOOKUP(D96,'业务员-市场'!B:B,1,0)</f>
        <v>哈萨克斯坦-1</v>
      </c>
    </row>
    <row r="97" ht="16.5" spans="1:5">
      <c r="A97" s="10"/>
      <c r="B97" s="10" t="s">
        <v>498</v>
      </c>
      <c r="C97" s="14" t="s">
        <v>521</v>
      </c>
      <c r="D97" s="10" t="s">
        <v>489</v>
      </c>
      <c r="E97" t="e">
        <f>VLOOKUP(D97,'业务员-市场'!B:B,1,0)</f>
        <v>#N/A</v>
      </c>
    </row>
    <row r="98" ht="33" spans="1:5">
      <c r="A98" s="10"/>
      <c r="B98" s="10" t="s">
        <v>496</v>
      </c>
      <c r="C98" s="7" t="s">
        <v>522</v>
      </c>
      <c r="D98" s="7" t="s">
        <v>272</v>
      </c>
      <c r="E98" t="e">
        <f>VLOOKUP(D98,'业务员-市场'!B:B,1,0)</f>
        <v>#N/A</v>
      </c>
    </row>
    <row r="99" ht="33" spans="1:5">
      <c r="A99" s="10"/>
      <c r="B99" s="10" t="s">
        <v>496</v>
      </c>
      <c r="C99" s="7" t="s">
        <v>523</v>
      </c>
      <c r="D99" s="7" t="s">
        <v>270</v>
      </c>
      <c r="E99" t="e">
        <f>VLOOKUP(D99,'业务员-市场'!B:B,1,0)</f>
        <v>#N/A</v>
      </c>
    </row>
    <row r="100" ht="16.5" spans="1:5">
      <c r="A100" s="12" t="s">
        <v>524</v>
      </c>
      <c r="B100" s="10" t="s">
        <v>445</v>
      </c>
      <c r="C100" s="14" t="s">
        <v>340</v>
      </c>
      <c r="D100" s="7" t="s">
        <v>157</v>
      </c>
      <c r="E100" t="str">
        <f>VLOOKUP(D100,'业务员-市场'!B:B,1,0)</f>
        <v>东欧</v>
      </c>
    </row>
    <row r="101" ht="16.5" spans="1:5">
      <c r="A101" s="12"/>
      <c r="B101" s="10" t="s">
        <v>504</v>
      </c>
      <c r="C101" s="7" t="s">
        <v>159</v>
      </c>
      <c r="D101" s="7" t="s">
        <v>158</v>
      </c>
      <c r="E101" t="str">
        <f>VLOOKUP(D101,'业务员-市场'!B:B,1,0)</f>
        <v>英国意大利</v>
      </c>
    </row>
    <row r="102" ht="16.5" spans="1:5">
      <c r="A102" s="12"/>
      <c r="B102" s="10" t="s">
        <v>498</v>
      </c>
      <c r="C102" s="7" t="s">
        <v>525</v>
      </c>
      <c r="D102" s="7" t="s">
        <v>158</v>
      </c>
      <c r="E102" t="str">
        <f>VLOOKUP(D102,'业务员-市场'!B:B,1,0)</f>
        <v>英国意大利</v>
      </c>
    </row>
    <row r="103" ht="16.5" spans="1:5">
      <c r="A103" s="19" t="s">
        <v>492</v>
      </c>
      <c r="B103" s="14" t="s">
        <v>445</v>
      </c>
      <c r="C103" s="14" t="s">
        <v>170</v>
      </c>
      <c r="D103" s="7" t="s">
        <v>167</v>
      </c>
      <c r="E103" t="str">
        <f>VLOOKUP(D103,'业务员-市场'!B:B,1,0)</f>
        <v>配件-1</v>
      </c>
    </row>
    <row r="104" ht="16.5" spans="1:5">
      <c r="A104" s="20"/>
      <c r="B104" s="14" t="s">
        <v>445</v>
      </c>
      <c r="C104" s="7" t="s">
        <v>168</v>
      </c>
      <c r="D104" s="7" t="s">
        <v>169</v>
      </c>
      <c r="E104" t="str">
        <f>VLOOKUP(D104,'业务员-市场'!B:B,1,0)</f>
        <v>配件-2</v>
      </c>
    </row>
    <row r="105" ht="16.5" spans="1:5">
      <c r="A105" s="20"/>
      <c r="B105" s="14" t="s">
        <v>445</v>
      </c>
      <c r="C105" s="7" t="s">
        <v>162</v>
      </c>
      <c r="D105" s="7" t="s">
        <v>473</v>
      </c>
      <c r="E105" t="e">
        <f>VLOOKUP(D105,'业务员-市场'!B:B,1,0)</f>
        <v>#N/A</v>
      </c>
    </row>
    <row r="106" ht="16.5" spans="1:5">
      <c r="A106" s="20"/>
      <c r="B106" s="14" t="s">
        <v>445</v>
      </c>
      <c r="C106" s="7" t="s">
        <v>342</v>
      </c>
      <c r="D106" s="7" t="s">
        <v>526</v>
      </c>
      <c r="E106" t="e">
        <f>VLOOKUP(D106,'业务员-市场'!B:B,1,0)</f>
        <v>#N/A</v>
      </c>
    </row>
    <row r="107" ht="16.5" spans="1:5">
      <c r="A107" s="20"/>
      <c r="B107" s="14" t="s">
        <v>445</v>
      </c>
      <c r="C107" s="14" t="s">
        <v>173</v>
      </c>
      <c r="D107" s="7" t="s">
        <v>527</v>
      </c>
      <c r="E107" t="e">
        <f>VLOOKUP(D107,'业务员-市场'!B:B,1,0)</f>
        <v>#N/A</v>
      </c>
    </row>
    <row r="108" ht="16.5" spans="1:5">
      <c r="A108" s="20"/>
      <c r="B108" s="21" t="s">
        <v>445</v>
      </c>
      <c r="C108" s="7" t="s">
        <v>172</v>
      </c>
      <c r="D108" s="7" t="s">
        <v>528</v>
      </c>
      <c r="E108" t="e">
        <f>VLOOKUP(D108,'业务员-市场'!B:B,1,0)</f>
        <v>#N/A</v>
      </c>
    </row>
    <row r="109" ht="16.5" spans="1:5">
      <c r="A109" s="20"/>
      <c r="B109" s="7" t="s">
        <v>498</v>
      </c>
      <c r="C109" s="7" t="s">
        <v>529</v>
      </c>
      <c r="D109" s="7" t="s">
        <v>528</v>
      </c>
      <c r="E109" t="e">
        <f>VLOOKUP(D109,'业务员-市场'!B:B,1,0)</f>
        <v>#N/A</v>
      </c>
    </row>
    <row r="110" ht="16.5" spans="1:5">
      <c r="A110" s="20"/>
      <c r="B110" s="7" t="s">
        <v>498</v>
      </c>
      <c r="C110" s="14" t="s">
        <v>530</v>
      </c>
      <c r="D110" s="7" t="s">
        <v>473</v>
      </c>
      <c r="E110" t="e">
        <f>VLOOKUP(D110,'业务员-市场'!B:B,1,0)</f>
        <v>#N/A</v>
      </c>
    </row>
    <row r="111" ht="16.5" spans="1:5">
      <c r="A111" s="20"/>
      <c r="B111" s="7" t="s">
        <v>498</v>
      </c>
      <c r="C111" s="7" t="s">
        <v>531</v>
      </c>
      <c r="D111" s="7" t="s">
        <v>167</v>
      </c>
      <c r="E111" t="str">
        <f>VLOOKUP(D111,'业务员-市场'!B:B,1,0)</f>
        <v>配件-1</v>
      </c>
    </row>
    <row r="112" ht="16.5" spans="1:5">
      <c r="A112" s="20"/>
      <c r="B112" s="7" t="s">
        <v>498</v>
      </c>
      <c r="C112" s="7" t="s">
        <v>532</v>
      </c>
      <c r="D112" s="7" t="s">
        <v>169</v>
      </c>
      <c r="E112" t="str">
        <f>VLOOKUP(D112,'业务员-市场'!B:B,1,0)</f>
        <v>配件-2</v>
      </c>
    </row>
    <row r="113" ht="16.5" spans="1:5">
      <c r="A113" s="20"/>
      <c r="B113" s="7" t="s">
        <v>498</v>
      </c>
      <c r="C113" s="7" t="s">
        <v>533</v>
      </c>
      <c r="D113" s="7" t="s">
        <v>167</v>
      </c>
      <c r="E113" t="str">
        <f>VLOOKUP(D113,'业务员-市场'!B:B,1,0)</f>
        <v>配件-1</v>
      </c>
    </row>
    <row r="114" ht="16.5" spans="1:5">
      <c r="A114" s="22"/>
      <c r="B114" s="7" t="s">
        <v>534</v>
      </c>
      <c r="C114" s="7" t="s">
        <v>535</v>
      </c>
      <c r="D114" s="7" t="s">
        <v>536</v>
      </c>
      <c r="E114" t="e">
        <f>VLOOKUP(D114,'业务员-市场'!B:B,1,0)</f>
        <v>#N/A</v>
      </c>
    </row>
  </sheetData>
  <mergeCells count="9">
    <mergeCell ref="A6:A22"/>
    <mergeCell ref="A24:A29"/>
    <mergeCell ref="A30:A42"/>
    <mergeCell ref="A43:A59"/>
    <mergeCell ref="A60:A71"/>
    <mergeCell ref="A72:A82"/>
    <mergeCell ref="A84:A99"/>
    <mergeCell ref="A100:A102"/>
    <mergeCell ref="A103:A114"/>
  </mergeCells>
  <conditionalFormatting sqref="C10">
    <cfRule type="duplicateValues" dxfId="0" priority="9"/>
  </conditionalFormatting>
  <conditionalFormatting sqref="C12">
    <cfRule type="duplicateValues" dxfId="0" priority="22"/>
  </conditionalFormatting>
  <conditionalFormatting sqref="C13">
    <cfRule type="duplicateValues" dxfId="0" priority="28"/>
  </conditionalFormatting>
  <conditionalFormatting sqref="C14">
    <cfRule type="duplicateValues" dxfId="0" priority="27"/>
  </conditionalFormatting>
  <conditionalFormatting sqref="C21">
    <cfRule type="duplicateValues" dxfId="0" priority="12"/>
  </conditionalFormatting>
  <conditionalFormatting sqref="C22">
    <cfRule type="duplicateValues" dxfId="0" priority="13"/>
  </conditionalFormatting>
  <conditionalFormatting sqref="C23">
    <cfRule type="duplicateValues" dxfId="0" priority="6"/>
  </conditionalFormatting>
  <conditionalFormatting sqref="C37">
    <cfRule type="duplicateValues" dxfId="0" priority="31"/>
  </conditionalFormatting>
  <conditionalFormatting sqref="C38">
    <cfRule type="duplicateValues" dxfId="0" priority="19"/>
  </conditionalFormatting>
  <conditionalFormatting sqref="C53">
    <cfRule type="duplicateValues" dxfId="0" priority="21"/>
  </conditionalFormatting>
  <conditionalFormatting sqref="C54">
    <cfRule type="duplicateValues" dxfId="0" priority="11"/>
  </conditionalFormatting>
  <conditionalFormatting sqref="C55">
    <cfRule type="duplicateValues" dxfId="0" priority="16"/>
  </conditionalFormatting>
  <conditionalFormatting sqref="C56">
    <cfRule type="duplicateValues" dxfId="0" priority="30"/>
  </conditionalFormatting>
  <conditionalFormatting sqref="C58">
    <cfRule type="duplicateValues" dxfId="0" priority="15"/>
  </conditionalFormatting>
  <conditionalFormatting sqref="C59">
    <cfRule type="duplicateValues" dxfId="0" priority="29"/>
  </conditionalFormatting>
  <conditionalFormatting sqref="C65">
    <cfRule type="duplicateValues" dxfId="0" priority="25"/>
  </conditionalFormatting>
  <conditionalFormatting sqref="C67">
    <cfRule type="duplicateValues" dxfId="0" priority="17"/>
  </conditionalFormatting>
  <conditionalFormatting sqref="C78">
    <cfRule type="duplicateValues" dxfId="0" priority="14"/>
  </conditionalFormatting>
  <conditionalFormatting sqref="C79">
    <cfRule type="duplicateValues" dxfId="0" priority="3"/>
  </conditionalFormatting>
  <conditionalFormatting sqref="C91">
    <cfRule type="duplicateValues" dxfId="0" priority="1"/>
  </conditionalFormatting>
  <conditionalFormatting sqref="C92">
    <cfRule type="duplicateValues" dxfId="0" priority="5"/>
  </conditionalFormatting>
  <conditionalFormatting sqref="C93">
    <cfRule type="duplicateValues" dxfId="0" priority="4"/>
  </conditionalFormatting>
  <conditionalFormatting sqref="C97">
    <cfRule type="duplicateValues" dxfId="0" priority="7"/>
  </conditionalFormatting>
  <conditionalFormatting sqref="C100">
    <cfRule type="duplicateValues" dxfId="0" priority="26"/>
  </conditionalFormatting>
  <conditionalFormatting sqref="C110">
    <cfRule type="duplicateValues" dxfId="0" priority="2"/>
  </conditionalFormatting>
  <conditionalFormatting sqref="C112">
    <cfRule type="duplicateValues" dxfId="0" priority="10"/>
  </conditionalFormatting>
  <conditionalFormatting sqref="C103:C107">
    <cfRule type="duplicateValues" dxfId="0" priority="24"/>
  </conditionalFormatting>
  <conditionalFormatting sqref="C108:C109">
    <cfRule type="duplicateValues" dxfId="0" priority="20"/>
  </conditionalFormatting>
  <conditionalFormatting sqref="C80:C90 C43:C52 C68:C77 C66 C60:C64 C57 C39:C40 C101:C102 C98:C99 C94:C96 C24:C36 C113:C1048576 C16:C19 C11 C1:C9">
    <cfRule type="duplicateValues" dxfId="0" priority="32"/>
  </conditionalFormatting>
  <conditionalFormatting sqref="C80:C90 C43:C52 C68:C77 C59:C66 C56:C57 C39:C40 C111 C98:C107 C94:C96 C24:C37 C113:C1048576 C16:C19 C13:C14 C11 C1:C9">
    <cfRule type="duplicateValues" dxfId="0" priority="23"/>
  </conditionalFormatting>
  <conditionalFormatting sqref="C56:C57 C80:C90 C59:C66 C68:C77 C43:C53 C111 C98:C109 C94:C96 C24:C41 C113:C1048576 C16:C19 C11:C14 C1:C9">
    <cfRule type="duplicateValues" dxfId="0" priority="18"/>
  </conditionalFormatting>
  <conditionalFormatting sqref="C80:C90 C98:C109 C94:C96 C24:C78 C111:C1048576 C21:C22 C16:C19 C1:C14">
    <cfRule type="duplicateValues" dxfId="0" priority="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指标</vt:lpstr>
      <vt:lpstr>业务员-市场</vt:lpstr>
      <vt:lpstr>Sheet3</vt:lpstr>
      <vt:lpstr>任命令模块-模主</vt:lpstr>
      <vt:lpstr>模主+助理对应模块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cp:lastPrinted>2025-12-19T00:44:00Z</cp:lastPrinted>
  <dcterms:modified xsi:type="dcterms:W3CDTF">2026-07-27T00:55:42Z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AD3DBCDF953B4368B5E055ADFEFAB9AC_13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