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150" windowWidth="23040" windowHeight="8730" activeTab="1"/>
  </bookViews>
  <sheets>
    <sheet name="1-4月+5-6月明细" sheetId="1" r:id="rId1"/>
    <sheet name="上半年单月明细" sheetId="3" r:id="rId2"/>
    <sheet name="Sheet2" sheetId="2" r:id="rId3"/>
    <sheet name="Sheet1" sheetId="4" r:id="rId4"/>
    <sheet name="大区" sheetId="5" r:id="rId5"/>
    <sheet name="Sheet3" sheetId="6" r:id="rId6"/>
    <sheet name="Sheet4" sheetId="7" r:id="rId7"/>
    <sheet name="Sheet5" sheetId="8" r:id="rId8"/>
  </sheets>
  <externalReferences>
    <externalReference r:id="rId9"/>
    <externalReference r:id="rId10"/>
  </externalReferences>
  <definedNames>
    <definedName name="_xlnm._FilterDatabase" localSheetId="0" hidden="1">'1-4月+5-6月明细'!$A$4:$BN$87</definedName>
    <definedName name="_xlnm._FilterDatabase" localSheetId="3" hidden="1">Sheet1!$A$4:$O$86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86" i="3" l="1"/>
  <c r="BG86" i="3"/>
  <c r="BC86" i="3"/>
  <c r="BB86" i="3"/>
  <c r="AS86" i="3"/>
  <c r="AR86" i="3"/>
  <c r="AN86" i="3"/>
  <c r="AM86" i="3"/>
  <c r="AI86" i="3"/>
  <c r="AH86" i="3"/>
  <c r="AH15" i="3"/>
  <c r="BG15" i="3"/>
  <c r="AG13" i="6" l="1"/>
  <c r="BM12" i="6"/>
  <c r="BJ12" i="6"/>
  <c r="BK12" i="6" s="1"/>
  <c r="BH12" i="6"/>
  <c r="BE12" i="6"/>
  <c r="BF12" i="6" s="1"/>
  <c r="BB12" i="6"/>
  <c r="BA12" i="6"/>
  <c r="AZ12" i="6"/>
  <c r="BD12" i="6" s="1"/>
  <c r="AY12" i="6"/>
  <c r="AV12" i="6"/>
  <c r="AS12" i="6"/>
  <c r="AT12" i="6" s="1"/>
  <c r="AQ12" i="6"/>
  <c r="AO12" i="6"/>
  <c r="AR12" i="6" s="1"/>
  <c r="AN12" i="6"/>
  <c r="AK12" i="6"/>
  <c r="AH12" i="6"/>
  <c r="AI12" i="6" s="1"/>
  <c r="AG12" i="6"/>
  <c r="BM11" i="6"/>
  <c r="BJ11" i="6"/>
  <c r="BJ3" i="6" s="1"/>
  <c r="BH11" i="6"/>
  <c r="BE11" i="6"/>
  <c r="BF11" i="6" s="1"/>
  <c r="BG11" i="6" s="1"/>
  <c r="BB11" i="6"/>
  <c r="AZ11" i="6"/>
  <c r="BC11" i="6" s="1"/>
  <c r="AY11" i="6"/>
  <c r="AV11" i="6"/>
  <c r="AU11" i="6"/>
  <c r="AT11" i="6"/>
  <c r="AW11" i="6" s="1"/>
  <c r="AS11" i="6"/>
  <c r="AQ11" i="6"/>
  <c r="AP11" i="6"/>
  <c r="AO11" i="6"/>
  <c r="AN11" i="6"/>
  <c r="AK11" i="6"/>
  <c r="AH11" i="6"/>
  <c r="AI11" i="6" s="1"/>
  <c r="AG11" i="6"/>
  <c r="BM10" i="6"/>
  <c r="BK10" i="6"/>
  <c r="BL10" i="6" s="1"/>
  <c r="BJ10" i="6"/>
  <c r="BH10" i="6"/>
  <c r="BF10" i="6"/>
  <c r="BG10" i="6" s="1"/>
  <c r="BE10" i="6"/>
  <c r="BB10" i="6"/>
  <c r="BA10" i="6"/>
  <c r="AZ10" i="6"/>
  <c r="BC10" i="6" s="1"/>
  <c r="AY10" i="6"/>
  <c r="AV10" i="6"/>
  <c r="AU10" i="6"/>
  <c r="AT10" i="6"/>
  <c r="AW10" i="6" s="1"/>
  <c r="AS10" i="6"/>
  <c r="AQ10" i="6"/>
  <c r="AP10" i="6"/>
  <c r="AO10" i="6"/>
  <c r="AN10" i="6"/>
  <c r="AK10" i="6"/>
  <c r="AI10" i="6"/>
  <c r="AL10" i="6" s="1"/>
  <c r="AH10" i="6"/>
  <c r="AG10" i="6"/>
  <c r="BM9" i="6"/>
  <c r="BL9" i="6"/>
  <c r="BK9" i="6"/>
  <c r="BN9" i="6" s="1"/>
  <c r="BJ9" i="6"/>
  <c r="BH9" i="6"/>
  <c r="BE9" i="6"/>
  <c r="BF9" i="6" s="1"/>
  <c r="BB9" i="6"/>
  <c r="BA9" i="6"/>
  <c r="AZ9" i="6"/>
  <c r="BD9" i="6" s="1"/>
  <c r="AY9" i="6"/>
  <c r="AV9" i="6"/>
  <c r="AS9" i="6"/>
  <c r="AT9" i="6" s="1"/>
  <c r="AQ9" i="6"/>
  <c r="AO9" i="6"/>
  <c r="AR9" i="6" s="1"/>
  <c r="AN9" i="6"/>
  <c r="AK9" i="6"/>
  <c r="AJ9" i="6"/>
  <c r="AI9" i="6"/>
  <c r="AM9" i="6" s="1"/>
  <c r="AH9" i="6"/>
  <c r="AG9" i="6"/>
  <c r="BM8" i="6"/>
  <c r="BJ8" i="6"/>
  <c r="BK8" i="6" s="1"/>
  <c r="BL8" i="6" s="1"/>
  <c r="BH8" i="6"/>
  <c r="BE8" i="6"/>
  <c r="BF8" i="6" s="1"/>
  <c r="BG8" i="6" s="1"/>
  <c r="BB8" i="6"/>
  <c r="AZ8" i="6"/>
  <c r="BC8" i="6" s="1"/>
  <c r="AY8" i="6"/>
  <c r="AV8" i="6"/>
  <c r="AU8" i="6"/>
  <c r="AT8" i="6"/>
  <c r="AW8" i="6" s="1"/>
  <c r="AS8" i="6"/>
  <c r="AQ8" i="6"/>
  <c r="AP8" i="6"/>
  <c r="AO8" i="6"/>
  <c r="AN8" i="6"/>
  <c r="AK8" i="6"/>
  <c r="AH8" i="6"/>
  <c r="AI8" i="6" s="1"/>
  <c r="AG8" i="6"/>
  <c r="BM7" i="6"/>
  <c r="BL7" i="6"/>
  <c r="BK7" i="6"/>
  <c r="BN7" i="6" s="1"/>
  <c r="BJ7" i="6"/>
  <c r="BH7" i="6"/>
  <c r="BE7" i="6"/>
  <c r="BF7" i="6" s="1"/>
  <c r="BB7" i="6"/>
  <c r="AZ7" i="6"/>
  <c r="BC7" i="6" s="1"/>
  <c r="AY7" i="6"/>
  <c r="AV7" i="6"/>
  <c r="AU7" i="6"/>
  <c r="AT7" i="6"/>
  <c r="AX7" i="6" s="1"/>
  <c r="AS7" i="6"/>
  <c r="AQ7" i="6"/>
  <c r="AN7" i="6"/>
  <c r="AO7" i="6" s="1"/>
  <c r="AK7" i="6"/>
  <c r="AJ7" i="6"/>
  <c r="AI7" i="6"/>
  <c r="AM7" i="6" s="1"/>
  <c r="AH7" i="6"/>
  <c r="AG7" i="6"/>
  <c r="BM6" i="6"/>
  <c r="BJ6" i="6"/>
  <c r="BK6" i="6" s="1"/>
  <c r="BH6" i="6"/>
  <c r="BF6" i="6"/>
  <c r="BI6" i="6" s="1"/>
  <c r="BE6" i="6"/>
  <c r="BB6" i="6"/>
  <c r="BA6" i="6"/>
  <c r="AZ6" i="6"/>
  <c r="BD6" i="6" s="1"/>
  <c r="AY6" i="6"/>
  <c r="AV6" i="6"/>
  <c r="AT6" i="6"/>
  <c r="AW6" i="6" s="1"/>
  <c r="AS6" i="6"/>
  <c r="AQ6" i="6"/>
  <c r="AP6" i="6"/>
  <c r="AO6" i="6"/>
  <c r="AR6" i="6" s="1"/>
  <c r="AN6" i="6"/>
  <c r="AK6" i="6"/>
  <c r="AH6" i="6"/>
  <c r="AI6" i="6" s="1"/>
  <c r="AG6" i="6"/>
  <c r="BM5" i="6"/>
  <c r="BL5" i="6"/>
  <c r="BK5" i="6"/>
  <c r="BN5" i="6" s="1"/>
  <c r="BJ5" i="6"/>
  <c r="BH5" i="6"/>
  <c r="BE5" i="6"/>
  <c r="BF5" i="6" s="1"/>
  <c r="BB5" i="6"/>
  <c r="AZ5" i="6"/>
  <c r="BC5" i="6" s="1"/>
  <c r="AY5" i="6"/>
  <c r="AV5" i="6"/>
  <c r="AU5" i="6"/>
  <c r="AT5" i="6"/>
  <c r="AX5" i="6" s="1"/>
  <c r="AS5" i="6"/>
  <c r="AQ5" i="6"/>
  <c r="AN5" i="6"/>
  <c r="AO5" i="6" s="1"/>
  <c r="AK5" i="6"/>
  <c r="AJ5" i="6"/>
  <c r="AI5" i="6"/>
  <c r="AM5" i="6" s="1"/>
  <c r="AH5" i="6"/>
  <c r="AG5" i="6"/>
  <c r="BM4" i="6"/>
  <c r="BJ4" i="6"/>
  <c r="BK4" i="6" s="1"/>
  <c r="BH4" i="6"/>
  <c r="BF4" i="6"/>
  <c r="BI4" i="6" s="1"/>
  <c r="BE4" i="6"/>
  <c r="BB4" i="6"/>
  <c r="BA4" i="6"/>
  <c r="AZ4" i="6"/>
  <c r="BD4" i="6" s="1"/>
  <c r="AY4" i="6"/>
  <c r="AV4" i="6"/>
  <c r="AT4" i="6"/>
  <c r="AW4" i="6" s="1"/>
  <c r="AS4" i="6"/>
  <c r="AQ4" i="6"/>
  <c r="AP4" i="6"/>
  <c r="AO4" i="6"/>
  <c r="AR4" i="6" s="1"/>
  <c r="AN4" i="6"/>
  <c r="AK4" i="6"/>
  <c r="AH4" i="6"/>
  <c r="AI4" i="6" s="1"/>
  <c r="AG4" i="6"/>
  <c r="BM2" i="6"/>
  <c r="BJ2" i="6"/>
  <c r="BJ13" i="6" s="1"/>
  <c r="BK13" i="6" s="1"/>
  <c r="BH2" i="6"/>
  <c r="BH3" i="6" s="1"/>
  <c r="BE2" i="6"/>
  <c r="BE3" i="6" s="1"/>
  <c r="BB2" i="6"/>
  <c r="AZ2" i="6"/>
  <c r="BD2" i="6" s="1"/>
  <c r="AY2" i="6"/>
  <c r="AY3" i="6" s="1"/>
  <c r="AV2" i="6"/>
  <c r="AV3" i="6" s="1"/>
  <c r="AS2" i="6"/>
  <c r="AQ2" i="6"/>
  <c r="AQ13" i="6" s="1"/>
  <c r="AN2" i="6"/>
  <c r="AN13" i="6" s="1"/>
  <c r="AO13" i="6" s="1"/>
  <c r="AK2" i="6"/>
  <c r="AK13" i="6" s="1"/>
  <c r="AJ2" i="6"/>
  <c r="AI2" i="6"/>
  <c r="AM2" i="6" s="1"/>
  <c r="AH2" i="6"/>
  <c r="AH13" i="6" s="1"/>
  <c r="AI13" i="6" s="1"/>
  <c r="AG2" i="6"/>
  <c r="BM69" i="1"/>
  <c r="BM70" i="1"/>
  <c r="BH69" i="1"/>
  <c r="BH70" i="1"/>
  <c r="BE70" i="1"/>
  <c r="AL13" i="6" l="1"/>
  <c r="AM13" i="6"/>
  <c r="AJ13" i="6"/>
  <c r="AP13" i="6"/>
  <c r="AR13" i="6"/>
  <c r="AJ4" i="6"/>
  <c r="AM4" i="6"/>
  <c r="AL4" i="6"/>
  <c r="BN4" i="6"/>
  <c r="BL4" i="6"/>
  <c r="BG5" i="6"/>
  <c r="BI5" i="6"/>
  <c r="AJ12" i="6"/>
  <c r="AM12" i="6"/>
  <c r="AL12" i="6"/>
  <c r="BL13" i="6"/>
  <c r="BL12" i="6"/>
  <c r="BN12" i="6"/>
  <c r="AP7" i="6"/>
  <c r="AR7" i="6"/>
  <c r="AJ8" i="6"/>
  <c r="AM8" i="6"/>
  <c r="AL8" i="6"/>
  <c r="AJ11" i="6"/>
  <c r="AL11" i="6"/>
  <c r="AM11" i="6"/>
  <c r="BG9" i="6"/>
  <c r="BI9" i="6"/>
  <c r="AU12" i="6"/>
  <c r="AW12" i="6"/>
  <c r="AX12" i="6"/>
  <c r="AP5" i="6"/>
  <c r="AR5" i="6"/>
  <c r="AJ6" i="6"/>
  <c r="AM6" i="6"/>
  <c r="AL6" i="6"/>
  <c r="BN6" i="6"/>
  <c r="BL6" i="6"/>
  <c r="BG7" i="6"/>
  <c r="BI7" i="6"/>
  <c r="AW9" i="6"/>
  <c r="AU9" i="6"/>
  <c r="AX9" i="6"/>
  <c r="BG12" i="6"/>
  <c r="BI12" i="6"/>
  <c r="AX4" i="6"/>
  <c r="BD5" i="6"/>
  <c r="AX6" i="6"/>
  <c r="AO2" i="6"/>
  <c r="BF2" i="6"/>
  <c r="AU4" i="6"/>
  <c r="BC4" i="6"/>
  <c r="BG4" i="6"/>
  <c r="AW5" i="6"/>
  <c r="BA5" i="6"/>
  <c r="AU6" i="6"/>
  <c r="BC6" i="6"/>
  <c r="BG6" i="6"/>
  <c r="AW7" i="6"/>
  <c r="BA7" i="6"/>
  <c r="BA8" i="6"/>
  <c r="AL9" i="6"/>
  <c r="AP9" i="6"/>
  <c r="AJ10" i="6"/>
  <c r="BA11" i="6"/>
  <c r="BK11" i="6"/>
  <c r="BL11" i="6" s="1"/>
  <c r="AP12" i="6"/>
  <c r="AV13" i="6"/>
  <c r="BH13" i="6"/>
  <c r="BD7" i="6"/>
  <c r="AM10" i="6"/>
  <c r="AY13" i="6"/>
  <c r="AZ13" i="6" s="1"/>
  <c r="BB3" i="6"/>
  <c r="BB13" i="6" s="1"/>
  <c r="BM3" i="6"/>
  <c r="BM13" i="6" s="1"/>
  <c r="BN13" i="6" s="1"/>
  <c r="AL2" i="6"/>
  <c r="AT2" i="6"/>
  <c r="BC2" i="6"/>
  <c r="BC3" i="6" s="1"/>
  <c r="BK2" i="6"/>
  <c r="AS3" i="6"/>
  <c r="AS13" i="6" s="1"/>
  <c r="AT13" i="6" s="1"/>
  <c r="AL5" i="6"/>
  <c r="AL7" i="6"/>
  <c r="BC9" i="6"/>
  <c r="BC12" i="6"/>
  <c r="BE13" i="6"/>
  <c r="BF13" i="6" s="1"/>
  <c r="AZ3" i="6"/>
  <c r="BD3" i="6" s="1"/>
  <c r="AX13" i="6" l="1"/>
  <c r="AW13" i="6"/>
  <c r="AU13" i="6"/>
  <c r="BL2" i="6"/>
  <c r="BK3" i="6"/>
  <c r="BN3" i="6" s="1"/>
  <c r="BN2" i="6"/>
  <c r="BG2" i="6"/>
  <c r="BF3" i="6"/>
  <c r="BI2" i="6"/>
  <c r="AR2" i="6"/>
  <c r="AP2" i="6"/>
  <c r="BI13" i="6"/>
  <c r="BG13" i="6"/>
  <c r="AT3" i="6"/>
  <c r="AX3" i="6" s="1"/>
  <c r="AU2" i="6"/>
  <c r="AX2" i="6"/>
  <c r="AW2" i="6"/>
  <c r="AW3" i="6" s="1"/>
  <c r="BA13" i="6"/>
  <c r="BC13" i="6"/>
  <c r="BD13" i="6"/>
  <c r="B14" i="5"/>
  <c r="C14" i="5"/>
  <c r="E14" i="5"/>
  <c r="F14" i="5"/>
  <c r="H14" i="5"/>
  <c r="I14" i="5"/>
  <c r="L14" i="5"/>
  <c r="K14" i="5"/>
  <c r="AD87" i="1"/>
  <c r="T87" i="1"/>
  <c r="BJ51" i="1" l="1"/>
  <c r="BE51" i="1"/>
  <c r="BF51" i="1" s="1"/>
  <c r="AY51" i="1"/>
  <c r="AS51" i="1"/>
  <c r="AT51" i="1" s="1"/>
  <c r="AN51" i="1"/>
  <c r="BJ15" i="1"/>
  <c r="Q17" i="4" l="1"/>
  <c r="AK86" i="3" l="1"/>
  <c r="AG86" i="3"/>
  <c r="AB86" i="3"/>
  <c r="W86" i="3"/>
  <c r="R86" i="3"/>
  <c r="M86" i="3"/>
  <c r="H86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B85" i="3"/>
  <c r="W85" i="3"/>
  <c r="R85" i="3"/>
  <c r="M85" i="3"/>
  <c r="H85" i="3"/>
  <c r="BK84" i="3"/>
  <c r="BJ84" i="3"/>
  <c r="BG84" i="3"/>
  <c r="BF84" i="3"/>
  <c r="BE84" i="3"/>
  <c r="BB84" i="3"/>
  <c r="BA84" i="3"/>
  <c r="AZ84" i="3"/>
  <c r="AY84" i="3"/>
  <c r="AX84" i="3"/>
  <c r="AW84" i="3"/>
  <c r="AV84" i="3"/>
  <c r="AU84" i="3"/>
  <c r="AR84" i="3"/>
  <c r="AQ84" i="3"/>
  <c r="AP84" i="3"/>
  <c r="AO84" i="3"/>
  <c r="AN84" i="3"/>
  <c r="AM84" i="3"/>
  <c r="AL84" i="3"/>
  <c r="AK84" i="3"/>
  <c r="AG84" i="3"/>
  <c r="AB84" i="3"/>
  <c r="W84" i="3"/>
  <c r="R84" i="3"/>
  <c r="M84" i="3"/>
  <c r="H84" i="3"/>
  <c r="BK83" i="3"/>
  <c r="BJ83" i="3"/>
  <c r="BG83" i="3"/>
  <c r="BF83" i="3"/>
  <c r="BE83" i="3"/>
  <c r="BB83" i="3"/>
  <c r="BA83" i="3"/>
  <c r="AZ83" i="3"/>
  <c r="AY83" i="3"/>
  <c r="AX83" i="3"/>
  <c r="AW83" i="3"/>
  <c r="AV83" i="3"/>
  <c r="AU83" i="3"/>
  <c r="AR83" i="3"/>
  <c r="AQ83" i="3"/>
  <c r="AP83" i="3"/>
  <c r="AO83" i="3"/>
  <c r="AN83" i="3"/>
  <c r="AM83" i="3"/>
  <c r="AL83" i="3"/>
  <c r="AK83" i="3"/>
  <c r="AG83" i="3"/>
  <c r="AB83" i="3"/>
  <c r="W83" i="3"/>
  <c r="R83" i="3"/>
  <c r="M83" i="3"/>
  <c r="H83" i="3"/>
  <c r="BK82" i="3"/>
  <c r="BJ82" i="3"/>
  <c r="BG82" i="3"/>
  <c r="BF82" i="3"/>
  <c r="BE82" i="3"/>
  <c r="BB82" i="3"/>
  <c r="BA82" i="3"/>
  <c r="AZ82" i="3"/>
  <c r="AY82" i="3"/>
  <c r="AX82" i="3"/>
  <c r="AW82" i="3"/>
  <c r="AV82" i="3"/>
  <c r="AU82" i="3"/>
  <c r="AR82" i="3"/>
  <c r="AQ82" i="3"/>
  <c r="AP82" i="3"/>
  <c r="AO82" i="3"/>
  <c r="AN82" i="3"/>
  <c r="AM82" i="3"/>
  <c r="AL82" i="3"/>
  <c r="AK82" i="3"/>
  <c r="AG82" i="3"/>
  <c r="AB82" i="3"/>
  <c r="W82" i="3"/>
  <c r="R82" i="3"/>
  <c r="M82" i="3"/>
  <c r="H82" i="3"/>
  <c r="BK81" i="3"/>
  <c r="BJ81" i="3"/>
  <c r="BG81" i="3"/>
  <c r="BF81" i="3"/>
  <c r="BE81" i="3"/>
  <c r="BB81" i="3"/>
  <c r="BA81" i="3"/>
  <c r="AZ81" i="3"/>
  <c r="AW81" i="3"/>
  <c r="AV81" i="3"/>
  <c r="AU81" i="3"/>
  <c r="AR81" i="3"/>
  <c r="AQ81" i="3"/>
  <c r="AP81" i="3"/>
  <c r="AM81" i="3"/>
  <c r="AL81" i="3"/>
  <c r="AK81" i="3"/>
  <c r="AG81" i="3"/>
  <c r="AB81" i="3"/>
  <c r="W81" i="3"/>
  <c r="R81" i="3"/>
  <c r="M81" i="3"/>
  <c r="H81" i="3"/>
  <c r="BK80" i="3"/>
  <c r="BJ80" i="3"/>
  <c r="BG80" i="3"/>
  <c r="BF80" i="3"/>
  <c r="BE80" i="3"/>
  <c r="BB80" i="3"/>
  <c r="BA80" i="3"/>
  <c r="AZ80" i="3"/>
  <c r="AW80" i="3"/>
  <c r="AV80" i="3"/>
  <c r="AU80" i="3"/>
  <c r="AR80" i="3"/>
  <c r="AQ80" i="3"/>
  <c r="AP80" i="3"/>
  <c r="AM80" i="3"/>
  <c r="AL80" i="3"/>
  <c r="AK80" i="3"/>
  <c r="AG80" i="3"/>
  <c r="AB80" i="3"/>
  <c r="W80" i="3"/>
  <c r="R80" i="3"/>
  <c r="M80" i="3"/>
  <c r="H80" i="3"/>
  <c r="BK79" i="3"/>
  <c r="BJ79" i="3"/>
  <c r="BI79" i="3"/>
  <c r="BH79" i="3"/>
  <c r="BG79" i="3"/>
  <c r="BF79" i="3"/>
  <c r="BE79" i="3"/>
  <c r="BB79" i="3"/>
  <c r="BA79" i="3"/>
  <c r="AZ79" i="3"/>
  <c r="AY79" i="3"/>
  <c r="AX79" i="3"/>
  <c r="AW79" i="3"/>
  <c r="AV79" i="3"/>
  <c r="AU79" i="3"/>
  <c r="AR79" i="3"/>
  <c r="AQ79" i="3"/>
  <c r="AP79" i="3"/>
  <c r="AO79" i="3"/>
  <c r="AN79" i="3"/>
  <c r="AM79" i="3"/>
  <c r="AL79" i="3"/>
  <c r="AK79" i="3"/>
  <c r="AG79" i="3"/>
  <c r="AB79" i="3"/>
  <c r="W79" i="3"/>
  <c r="R79" i="3"/>
  <c r="M79" i="3"/>
  <c r="H79" i="3"/>
  <c r="BK78" i="3"/>
  <c r="BJ78" i="3"/>
  <c r="BI78" i="3"/>
  <c r="BH78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B78" i="3"/>
  <c r="W78" i="3"/>
  <c r="R78" i="3"/>
  <c r="M78" i="3"/>
  <c r="H78" i="3"/>
  <c r="BK77" i="3"/>
  <c r="BJ77" i="3"/>
  <c r="BI77" i="3"/>
  <c r="BH77" i="3"/>
  <c r="BG77" i="3"/>
  <c r="BF77" i="3"/>
  <c r="BE77" i="3"/>
  <c r="BB77" i="3"/>
  <c r="BA77" i="3"/>
  <c r="AZ77" i="3"/>
  <c r="AW77" i="3"/>
  <c r="AV77" i="3"/>
  <c r="AU77" i="3"/>
  <c r="AR77" i="3"/>
  <c r="AQ77" i="3"/>
  <c r="AP77" i="3"/>
  <c r="AM77" i="3"/>
  <c r="AL77" i="3"/>
  <c r="AK77" i="3"/>
  <c r="AJ77" i="3"/>
  <c r="AI77" i="3"/>
  <c r="AH77" i="3"/>
  <c r="AG77" i="3"/>
  <c r="AB77" i="3"/>
  <c r="W77" i="3"/>
  <c r="R77" i="3"/>
  <c r="M77" i="3"/>
  <c r="H77" i="3"/>
  <c r="BK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B76" i="3"/>
  <c r="W76" i="3"/>
  <c r="R76" i="3"/>
  <c r="M76" i="3"/>
  <c r="H76" i="3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B75" i="3"/>
  <c r="W75" i="3"/>
  <c r="R75" i="3"/>
  <c r="M75" i="3"/>
  <c r="H75" i="3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B74" i="3"/>
  <c r="W74" i="3"/>
  <c r="R74" i="3"/>
  <c r="M74" i="3"/>
  <c r="H74" i="3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B73" i="3"/>
  <c r="W73" i="3"/>
  <c r="R73" i="3"/>
  <c r="M73" i="3"/>
  <c r="H73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B72" i="3"/>
  <c r="W72" i="3"/>
  <c r="R72" i="3"/>
  <c r="M72" i="3"/>
  <c r="H72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B71" i="3"/>
  <c r="W71" i="3"/>
  <c r="R71" i="3"/>
  <c r="M71" i="3"/>
  <c r="H71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B70" i="3"/>
  <c r="W70" i="3"/>
  <c r="R70" i="3"/>
  <c r="M70" i="3"/>
  <c r="H70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B69" i="3"/>
  <c r="W69" i="3"/>
  <c r="R69" i="3"/>
  <c r="M69" i="3"/>
  <c r="H69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B68" i="3"/>
  <c r="W68" i="3"/>
  <c r="R68" i="3"/>
  <c r="M68" i="3"/>
  <c r="H68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B67" i="3"/>
  <c r="W67" i="3"/>
  <c r="R67" i="3"/>
  <c r="M67" i="3"/>
  <c r="H67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B66" i="3"/>
  <c r="W66" i="3"/>
  <c r="R66" i="3"/>
  <c r="M66" i="3"/>
  <c r="H66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B65" i="3"/>
  <c r="W65" i="3"/>
  <c r="R65" i="3"/>
  <c r="M65" i="3"/>
  <c r="H65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B64" i="3"/>
  <c r="W64" i="3"/>
  <c r="R64" i="3"/>
  <c r="M64" i="3"/>
  <c r="H64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B63" i="3"/>
  <c r="W63" i="3"/>
  <c r="R63" i="3"/>
  <c r="M63" i="3"/>
  <c r="H63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B62" i="3"/>
  <c r="W62" i="3"/>
  <c r="R62" i="3"/>
  <c r="M62" i="3"/>
  <c r="H62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B61" i="3"/>
  <c r="W61" i="3"/>
  <c r="R61" i="3"/>
  <c r="M61" i="3"/>
  <c r="H61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B60" i="3"/>
  <c r="W60" i="3"/>
  <c r="R60" i="3"/>
  <c r="M60" i="3"/>
  <c r="H60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B59" i="3"/>
  <c r="W59" i="3"/>
  <c r="R59" i="3"/>
  <c r="M59" i="3"/>
  <c r="H59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B58" i="3"/>
  <c r="W58" i="3"/>
  <c r="R58" i="3"/>
  <c r="M58" i="3"/>
  <c r="H58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B57" i="3"/>
  <c r="W57" i="3"/>
  <c r="R57" i="3"/>
  <c r="M57" i="3"/>
  <c r="H57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B56" i="3"/>
  <c r="W56" i="3"/>
  <c r="R56" i="3"/>
  <c r="M56" i="3"/>
  <c r="H56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B55" i="3"/>
  <c r="W55" i="3"/>
  <c r="R55" i="3"/>
  <c r="M55" i="3"/>
  <c r="H55" i="3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B54" i="3"/>
  <c r="W54" i="3"/>
  <c r="R54" i="3"/>
  <c r="M54" i="3"/>
  <c r="H54" i="3"/>
  <c r="BK53" i="3"/>
  <c r="BJ53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B53" i="3"/>
  <c r="W53" i="3"/>
  <c r="R53" i="3"/>
  <c r="M53" i="3"/>
  <c r="H53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B52" i="3"/>
  <c r="W52" i="3"/>
  <c r="R52" i="3"/>
  <c r="M52" i="3"/>
  <c r="H52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B51" i="3"/>
  <c r="W51" i="3"/>
  <c r="R51" i="3"/>
  <c r="M51" i="3"/>
  <c r="H51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B50" i="3"/>
  <c r="W50" i="3"/>
  <c r="R50" i="3"/>
  <c r="M50" i="3"/>
  <c r="H50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B49" i="3"/>
  <c r="W49" i="3"/>
  <c r="R49" i="3"/>
  <c r="M49" i="3"/>
  <c r="H49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B48" i="3"/>
  <c r="W48" i="3"/>
  <c r="R48" i="3"/>
  <c r="M48" i="3"/>
  <c r="H48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B47" i="3"/>
  <c r="W47" i="3"/>
  <c r="R47" i="3"/>
  <c r="M47" i="3"/>
  <c r="H47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B46" i="3"/>
  <c r="W46" i="3"/>
  <c r="R46" i="3"/>
  <c r="M46" i="3"/>
  <c r="H46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B45" i="3"/>
  <c r="W45" i="3"/>
  <c r="R45" i="3"/>
  <c r="M45" i="3"/>
  <c r="H45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B44" i="3"/>
  <c r="W44" i="3"/>
  <c r="R44" i="3"/>
  <c r="M44" i="3"/>
  <c r="H44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B43" i="3"/>
  <c r="W43" i="3"/>
  <c r="R43" i="3"/>
  <c r="M43" i="3"/>
  <c r="H43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B42" i="3"/>
  <c r="W42" i="3"/>
  <c r="R42" i="3"/>
  <c r="M42" i="3"/>
  <c r="H42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B41" i="3"/>
  <c r="W41" i="3"/>
  <c r="R41" i="3"/>
  <c r="M41" i="3"/>
  <c r="H41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B40" i="3"/>
  <c r="W40" i="3"/>
  <c r="R40" i="3"/>
  <c r="M40" i="3"/>
  <c r="H40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B39" i="3"/>
  <c r="W39" i="3"/>
  <c r="R39" i="3"/>
  <c r="M39" i="3"/>
  <c r="H39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B38" i="3"/>
  <c r="W38" i="3"/>
  <c r="R38" i="3"/>
  <c r="M38" i="3"/>
  <c r="H38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B37" i="3"/>
  <c r="W37" i="3"/>
  <c r="R37" i="3"/>
  <c r="M37" i="3"/>
  <c r="H37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B36" i="3"/>
  <c r="W36" i="3"/>
  <c r="R36" i="3"/>
  <c r="M36" i="3"/>
  <c r="H36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B35" i="3"/>
  <c r="W35" i="3"/>
  <c r="R35" i="3"/>
  <c r="M35" i="3"/>
  <c r="H35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B34" i="3"/>
  <c r="W34" i="3"/>
  <c r="R34" i="3"/>
  <c r="M34" i="3"/>
  <c r="H34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B33" i="3"/>
  <c r="W33" i="3"/>
  <c r="R33" i="3"/>
  <c r="M33" i="3"/>
  <c r="H33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B32" i="3"/>
  <c r="W32" i="3"/>
  <c r="R32" i="3"/>
  <c r="M32" i="3"/>
  <c r="H32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B31" i="3"/>
  <c r="W31" i="3"/>
  <c r="R31" i="3"/>
  <c r="M31" i="3"/>
  <c r="H31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B30" i="3"/>
  <c r="W30" i="3"/>
  <c r="R30" i="3"/>
  <c r="M30" i="3"/>
  <c r="H30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B29" i="3"/>
  <c r="W29" i="3"/>
  <c r="R29" i="3"/>
  <c r="M29" i="3"/>
  <c r="H29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B28" i="3"/>
  <c r="W28" i="3"/>
  <c r="R28" i="3"/>
  <c r="M28" i="3"/>
  <c r="H28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B27" i="3"/>
  <c r="W27" i="3"/>
  <c r="R27" i="3"/>
  <c r="M27" i="3"/>
  <c r="H27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B26" i="3"/>
  <c r="W26" i="3"/>
  <c r="R26" i="3"/>
  <c r="M26" i="3"/>
  <c r="H26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B25" i="3"/>
  <c r="W25" i="3"/>
  <c r="R25" i="3"/>
  <c r="M25" i="3"/>
  <c r="H25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B24" i="3"/>
  <c r="W24" i="3"/>
  <c r="R24" i="3"/>
  <c r="M24" i="3"/>
  <c r="H24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B23" i="3"/>
  <c r="W23" i="3"/>
  <c r="R23" i="3"/>
  <c r="M23" i="3"/>
  <c r="H23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B22" i="3"/>
  <c r="W22" i="3"/>
  <c r="R22" i="3"/>
  <c r="M22" i="3"/>
  <c r="H22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B21" i="3"/>
  <c r="W21" i="3"/>
  <c r="R21" i="3"/>
  <c r="M21" i="3"/>
  <c r="H21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B20" i="3"/>
  <c r="W20" i="3"/>
  <c r="R20" i="3"/>
  <c r="M20" i="3"/>
  <c r="H20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B19" i="3"/>
  <c r="W19" i="3"/>
  <c r="R19" i="3"/>
  <c r="M19" i="3"/>
  <c r="H19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B18" i="3"/>
  <c r="W18" i="3"/>
  <c r="R18" i="3"/>
  <c r="M18" i="3"/>
  <c r="H18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B17" i="3"/>
  <c r="W17" i="3"/>
  <c r="R17" i="3"/>
  <c r="M17" i="3"/>
  <c r="H17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B16" i="3"/>
  <c r="W16" i="3"/>
  <c r="R16" i="3"/>
  <c r="M16" i="3"/>
  <c r="H16" i="3"/>
  <c r="BJ15" i="3"/>
  <c r="BE15" i="3"/>
  <c r="BC15" i="3"/>
  <c r="BF15" i="3" s="1"/>
  <c r="BB15" i="3"/>
  <c r="AZ15" i="3"/>
  <c r="AW15" i="3"/>
  <c r="AW86" i="3" s="1"/>
  <c r="AX86" i="3" s="1"/>
  <c r="AU15" i="3"/>
  <c r="AR15" i="3"/>
  <c r="AS15" i="3" s="1"/>
  <c r="AP15" i="3"/>
  <c r="AM15" i="3"/>
  <c r="AK15" i="3"/>
  <c r="AG15" i="3"/>
  <c r="AB15" i="3"/>
  <c r="W15" i="3"/>
  <c r="R15" i="3"/>
  <c r="M15" i="3"/>
  <c r="H15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B14" i="3"/>
  <c r="W14" i="3"/>
  <c r="R14" i="3"/>
  <c r="M14" i="3"/>
  <c r="H14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B13" i="3"/>
  <c r="W13" i="3"/>
  <c r="R13" i="3"/>
  <c r="M13" i="3"/>
  <c r="H13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B12" i="3"/>
  <c r="W12" i="3"/>
  <c r="R12" i="3"/>
  <c r="M12" i="3"/>
  <c r="H12" i="3"/>
  <c r="BJ11" i="3"/>
  <c r="BI11" i="3"/>
  <c r="BH11" i="3"/>
  <c r="BK11" i="3" s="1"/>
  <c r="BE11" i="3"/>
  <c r="BC11" i="3"/>
  <c r="BF11" i="3" s="1"/>
  <c r="BA11" i="3"/>
  <c r="AZ11" i="3"/>
  <c r="AX11" i="3"/>
  <c r="AY11" i="3" s="1"/>
  <c r="AV11" i="3"/>
  <c r="AU11" i="3"/>
  <c r="AT11" i="3"/>
  <c r="AS11" i="3"/>
  <c r="AP11" i="3"/>
  <c r="AN11" i="3"/>
  <c r="AQ11" i="3" s="1"/>
  <c r="AK11" i="3"/>
  <c r="AI11" i="3"/>
  <c r="AL11" i="3" s="1"/>
  <c r="AG11" i="3"/>
  <c r="AB11" i="3"/>
  <c r="W11" i="3"/>
  <c r="R11" i="3"/>
  <c r="M11" i="3"/>
  <c r="H11" i="3"/>
  <c r="BJ10" i="3"/>
  <c r="BH10" i="3"/>
  <c r="BK10" i="3" s="1"/>
  <c r="BF10" i="3"/>
  <c r="BE10" i="3"/>
  <c r="BC10" i="3"/>
  <c r="BD10" i="3" s="1"/>
  <c r="BA10" i="3"/>
  <c r="AZ10" i="3"/>
  <c r="AX10" i="3"/>
  <c r="AY10" i="3" s="1"/>
  <c r="AU10" i="3"/>
  <c r="AS10" i="3"/>
  <c r="AV10" i="3" s="1"/>
  <c r="AP10" i="3"/>
  <c r="AN10" i="3"/>
  <c r="AQ10" i="3" s="1"/>
  <c r="AK10" i="3"/>
  <c r="AI10" i="3"/>
  <c r="AJ10" i="3" s="1"/>
  <c r="AG10" i="3"/>
  <c r="AB10" i="3"/>
  <c r="W10" i="3"/>
  <c r="R10" i="3"/>
  <c r="M10" i="3"/>
  <c r="H10" i="3"/>
  <c r="BJ9" i="3"/>
  <c r="BH9" i="3"/>
  <c r="BI9" i="3" s="1"/>
  <c r="BF9" i="3"/>
  <c r="BE9" i="3"/>
  <c r="BC9" i="3"/>
  <c r="BD9" i="3" s="1"/>
  <c r="AZ9" i="3"/>
  <c r="AX9" i="3"/>
  <c r="BA9" i="3" s="1"/>
  <c r="AV9" i="3"/>
  <c r="AU9" i="3"/>
  <c r="AT9" i="3"/>
  <c r="AS9" i="3"/>
  <c r="AP9" i="3"/>
  <c r="AN9" i="3"/>
  <c r="AQ9" i="3" s="1"/>
  <c r="AK9" i="3"/>
  <c r="AI9" i="3"/>
  <c r="AJ9" i="3" s="1"/>
  <c r="AG9" i="3"/>
  <c r="AB9" i="3"/>
  <c r="W9" i="3"/>
  <c r="R9" i="3"/>
  <c r="M9" i="3"/>
  <c r="H9" i="3"/>
  <c r="BK8" i="3"/>
  <c r="BJ8" i="3"/>
  <c r="BI8" i="3"/>
  <c r="BH8" i="3"/>
  <c r="BF8" i="3"/>
  <c r="BE8" i="3"/>
  <c r="BC8" i="3"/>
  <c r="BD8" i="3" s="1"/>
  <c r="AZ8" i="3"/>
  <c r="AX8" i="3"/>
  <c r="BA8" i="3" s="1"/>
  <c r="AU8" i="3"/>
  <c r="AS8" i="3"/>
  <c r="AT8" i="3" s="1"/>
  <c r="AP8" i="3"/>
  <c r="AN8" i="3"/>
  <c r="AQ8" i="3" s="1"/>
  <c r="AK8" i="3"/>
  <c r="AI8" i="3"/>
  <c r="AL8" i="3" s="1"/>
  <c r="AG8" i="3"/>
  <c r="AB8" i="3"/>
  <c r="W8" i="3"/>
  <c r="R8" i="3"/>
  <c r="M8" i="3"/>
  <c r="H8" i="3"/>
  <c r="BJ7" i="3"/>
  <c r="BH7" i="3"/>
  <c r="BI7" i="3" s="1"/>
  <c r="BF7" i="3"/>
  <c r="BE7" i="3"/>
  <c r="BC7" i="3"/>
  <c r="BD7" i="3" s="1"/>
  <c r="BA7" i="3"/>
  <c r="AZ7" i="3"/>
  <c r="AX7" i="3"/>
  <c r="AY7" i="3" s="1"/>
  <c r="AV7" i="3"/>
  <c r="AU7" i="3"/>
  <c r="AT7" i="3"/>
  <c r="AS7" i="3"/>
  <c r="AP7" i="3"/>
  <c r="AN7" i="3"/>
  <c r="AQ7" i="3" s="1"/>
  <c r="AK7" i="3"/>
  <c r="AI7" i="3"/>
  <c r="AL7" i="3" s="1"/>
  <c r="AG7" i="3"/>
  <c r="AB7" i="3"/>
  <c r="W7" i="3"/>
  <c r="R7" i="3"/>
  <c r="M7" i="3"/>
  <c r="H7" i="3"/>
  <c r="BJ6" i="3"/>
  <c r="BH6" i="3"/>
  <c r="BI6" i="3" s="1"/>
  <c r="BE6" i="3"/>
  <c r="BC6" i="3"/>
  <c r="BF6" i="3" s="1"/>
  <c r="BA6" i="3"/>
  <c r="AZ6" i="3"/>
  <c r="AX6" i="3"/>
  <c r="AY6" i="3" s="1"/>
  <c r="AU6" i="3"/>
  <c r="AS6" i="3"/>
  <c r="AV6" i="3" s="1"/>
  <c r="AP6" i="3"/>
  <c r="AN6" i="3"/>
  <c r="AQ6" i="3" s="1"/>
  <c r="AK6" i="3"/>
  <c r="AI6" i="3"/>
  <c r="AJ6" i="3" s="1"/>
  <c r="AG6" i="3"/>
  <c r="AB6" i="3"/>
  <c r="W6" i="3"/>
  <c r="R6" i="3"/>
  <c r="M6" i="3"/>
  <c r="H6" i="3"/>
  <c r="BK5" i="3"/>
  <c r="BJ5" i="3"/>
  <c r="BI5" i="3"/>
  <c r="BH5" i="3"/>
  <c r="BE5" i="3"/>
  <c r="BC5" i="3"/>
  <c r="BF5" i="3" s="1"/>
  <c r="AZ5" i="3"/>
  <c r="AX5" i="3"/>
  <c r="BA5" i="3" s="1"/>
  <c r="AV5" i="3"/>
  <c r="AU5" i="3"/>
  <c r="AT5" i="3"/>
  <c r="AS5" i="3"/>
  <c r="AP5" i="3"/>
  <c r="AN5" i="3"/>
  <c r="AQ5" i="3" s="1"/>
  <c r="AK5" i="3"/>
  <c r="AI5" i="3"/>
  <c r="AJ5" i="3" s="1"/>
  <c r="AG5" i="3"/>
  <c r="AB5" i="3"/>
  <c r="W5" i="3"/>
  <c r="R5" i="3"/>
  <c r="M5" i="3"/>
  <c r="H5" i="3"/>
  <c r="AG87" i="1"/>
  <c r="AF86" i="1"/>
  <c r="AG86" i="1" s="1"/>
  <c r="BN85" i="1"/>
  <c r="BJ85" i="1"/>
  <c r="BH85" i="1"/>
  <c r="BE85" i="1"/>
  <c r="BF85" i="1" s="1"/>
  <c r="AY85" i="1"/>
  <c r="AZ85" i="1" s="1"/>
  <c r="BC85" i="1" s="1"/>
  <c r="AV85" i="1"/>
  <c r="AS85" i="1"/>
  <c r="AT85" i="1" s="1"/>
  <c r="AN85" i="1"/>
  <c r="AO85" i="1" s="1"/>
  <c r="AK85" i="1"/>
  <c r="AH85" i="1"/>
  <c r="AI85" i="1" s="1"/>
  <c r="AG85" i="1"/>
  <c r="BM84" i="1"/>
  <c r="BJ84" i="1"/>
  <c r="BH84" i="1"/>
  <c r="BE84" i="1"/>
  <c r="BF84" i="1" s="1"/>
  <c r="BB84" i="1"/>
  <c r="AY84" i="1"/>
  <c r="AZ84" i="1" s="1"/>
  <c r="AV84" i="1"/>
  <c r="AS84" i="1"/>
  <c r="AT84" i="1" s="1"/>
  <c r="AQ84" i="1"/>
  <c r="AN84" i="1"/>
  <c r="AO84" i="1" s="1"/>
  <c r="AK84" i="1"/>
  <c r="AH84" i="1"/>
  <c r="AI84" i="1" s="1"/>
  <c r="AG84" i="1"/>
  <c r="BN83" i="1"/>
  <c r="BJ83" i="1"/>
  <c r="BH83" i="1"/>
  <c r="BE83" i="1"/>
  <c r="BF83" i="1" s="1"/>
  <c r="AY83" i="1"/>
  <c r="AZ83" i="1" s="1"/>
  <c r="BC83" i="1" s="1"/>
  <c r="AV83" i="1"/>
  <c r="AS83" i="1"/>
  <c r="AT83" i="1" s="1"/>
  <c r="AN83" i="1"/>
  <c r="AO83" i="1" s="1"/>
  <c r="AK83" i="1"/>
  <c r="AH83" i="1"/>
  <c r="AI83" i="1" s="1"/>
  <c r="AG83" i="1"/>
  <c r="BM82" i="1"/>
  <c r="BJ82" i="1"/>
  <c r="BK82" i="1" s="1"/>
  <c r="BL82" i="1" s="1"/>
  <c r="BH82" i="1"/>
  <c r="BE82" i="1"/>
  <c r="BF82" i="1" s="1"/>
  <c r="BB82" i="1"/>
  <c r="AY82" i="1"/>
  <c r="AZ82" i="1" s="1"/>
  <c r="AV82" i="1"/>
  <c r="AS82" i="1"/>
  <c r="AT82" i="1" s="1"/>
  <c r="AQ82" i="1"/>
  <c r="AN82" i="1"/>
  <c r="AO82" i="1" s="1"/>
  <c r="AK82" i="1"/>
  <c r="AH82" i="1"/>
  <c r="AI82" i="1" s="1"/>
  <c r="AG82" i="1"/>
  <c r="BM81" i="1"/>
  <c r="BJ81" i="1"/>
  <c r="BH81" i="1"/>
  <c r="BE81" i="1"/>
  <c r="BF81" i="1" s="1"/>
  <c r="BB81" i="1"/>
  <c r="AY81" i="1"/>
  <c r="AZ81" i="1" s="1"/>
  <c r="AV81" i="1"/>
  <c r="AS81" i="1"/>
  <c r="AT81" i="1" s="1"/>
  <c r="AQ81" i="1"/>
  <c r="AN81" i="1"/>
  <c r="AO81" i="1" s="1"/>
  <c r="AP81" i="1" s="1"/>
  <c r="AK81" i="1"/>
  <c r="AH81" i="1"/>
  <c r="AI81" i="1" s="1"/>
  <c r="AG81" i="1"/>
  <c r="BJ80" i="1"/>
  <c r="BH80" i="1"/>
  <c r="BE80" i="1"/>
  <c r="AY80" i="1"/>
  <c r="AV80" i="1"/>
  <c r="AS80" i="1"/>
  <c r="AN80" i="1"/>
  <c r="AK80" i="1"/>
  <c r="AH80" i="1"/>
  <c r="AG80" i="1"/>
  <c r="AG79" i="1"/>
  <c r="BM78" i="1"/>
  <c r="BJ78" i="1"/>
  <c r="BK78" i="1" s="1"/>
  <c r="BL78" i="1" s="1"/>
  <c r="BH78" i="1"/>
  <c r="BF78" i="1"/>
  <c r="BG78" i="1" s="1"/>
  <c r="BB78" i="1"/>
  <c r="AZ78" i="1"/>
  <c r="AV78" i="1"/>
  <c r="AT78" i="1"/>
  <c r="AQ78" i="1"/>
  <c r="AN78" i="1"/>
  <c r="AO78" i="1" s="1"/>
  <c r="AP78" i="1" s="1"/>
  <c r="AK78" i="1"/>
  <c r="AH78" i="1"/>
  <c r="AI78" i="1" s="1"/>
  <c r="AJ78" i="1" s="1"/>
  <c r="AG78" i="1"/>
  <c r="BM77" i="1"/>
  <c r="BJ77" i="1"/>
  <c r="BK77" i="1" s="1"/>
  <c r="BL77" i="1" s="1"/>
  <c r="BH77" i="1"/>
  <c r="BE77" i="1"/>
  <c r="BF77" i="1" s="1"/>
  <c r="BG77" i="1" s="1"/>
  <c r="BB77" i="1"/>
  <c r="AY77" i="1"/>
  <c r="AV77" i="1"/>
  <c r="AS77" i="1"/>
  <c r="AT77" i="1" s="1"/>
  <c r="AQ77" i="1"/>
  <c r="AN77" i="1"/>
  <c r="AO77" i="1" s="1"/>
  <c r="AK77" i="1"/>
  <c r="AH77" i="1"/>
  <c r="AI77" i="1" s="1"/>
  <c r="AG77" i="1"/>
  <c r="BM76" i="1"/>
  <c r="BJ76" i="1"/>
  <c r="BH76" i="1"/>
  <c r="BE76" i="1"/>
  <c r="BB76" i="1"/>
  <c r="AY76" i="1"/>
  <c r="AZ76" i="1" s="1"/>
  <c r="AV76" i="1"/>
  <c r="AS76" i="1"/>
  <c r="AQ76" i="1"/>
  <c r="AN76" i="1"/>
  <c r="AK76" i="1"/>
  <c r="AH76" i="1"/>
  <c r="AG76" i="1"/>
  <c r="AG75" i="1"/>
  <c r="BM74" i="1"/>
  <c r="BJ74" i="1"/>
  <c r="BK74" i="1" s="1"/>
  <c r="BL74" i="1" s="1"/>
  <c r="BH74" i="1"/>
  <c r="BE74" i="1"/>
  <c r="BF74" i="1" s="1"/>
  <c r="BB74" i="1"/>
  <c r="AY74" i="1"/>
  <c r="AZ74" i="1" s="1"/>
  <c r="AV74" i="1"/>
  <c r="AS74" i="1"/>
  <c r="AT74" i="1" s="1"/>
  <c r="AQ74" i="1"/>
  <c r="AN74" i="1"/>
  <c r="AO74" i="1" s="1"/>
  <c r="AP74" i="1" s="1"/>
  <c r="AK74" i="1"/>
  <c r="AH74" i="1"/>
  <c r="AI74" i="1" s="1"/>
  <c r="AG74" i="1"/>
  <c r="BM73" i="1"/>
  <c r="BN73" i="1" s="1"/>
  <c r="BJ73" i="1"/>
  <c r="BH73" i="1"/>
  <c r="BE73" i="1"/>
  <c r="BF73" i="1" s="1"/>
  <c r="BB73" i="1"/>
  <c r="AY73" i="1"/>
  <c r="AZ73" i="1" s="1"/>
  <c r="AV73" i="1"/>
  <c r="AS73" i="1"/>
  <c r="AT73" i="1" s="1"/>
  <c r="AQ73" i="1"/>
  <c r="AN73" i="1"/>
  <c r="AO73" i="1" s="1"/>
  <c r="AK73" i="1"/>
  <c r="AH73" i="1"/>
  <c r="AI73" i="1" s="1"/>
  <c r="AG73" i="1"/>
  <c r="BM72" i="1"/>
  <c r="BJ72" i="1"/>
  <c r="BK72" i="1" s="1"/>
  <c r="BL72" i="1" s="1"/>
  <c r="BH72" i="1"/>
  <c r="BE72" i="1"/>
  <c r="BF72" i="1" s="1"/>
  <c r="BB72" i="1"/>
  <c r="AY72" i="1"/>
  <c r="AZ72" i="1" s="1"/>
  <c r="AV72" i="1"/>
  <c r="AS72" i="1"/>
  <c r="AT72" i="1" s="1"/>
  <c r="AQ72" i="1"/>
  <c r="AN72" i="1"/>
  <c r="AO72" i="1" s="1"/>
  <c r="AP72" i="1" s="1"/>
  <c r="AK72" i="1"/>
  <c r="AH72" i="1"/>
  <c r="AI72" i="1" s="1"/>
  <c r="AG72" i="1"/>
  <c r="BM71" i="1"/>
  <c r="BJ71" i="1"/>
  <c r="BK71" i="1" s="1"/>
  <c r="BL71" i="1" s="1"/>
  <c r="BH71" i="1"/>
  <c r="BE71" i="1"/>
  <c r="BF71" i="1" s="1"/>
  <c r="BB71" i="1"/>
  <c r="AY71" i="1"/>
  <c r="AZ71" i="1" s="1"/>
  <c r="AV71" i="1"/>
  <c r="AS71" i="1"/>
  <c r="AT71" i="1" s="1"/>
  <c r="AQ71" i="1"/>
  <c r="AN71" i="1"/>
  <c r="AO71" i="1" s="1"/>
  <c r="AK71" i="1"/>
  <c r="AH71" i="1"/>
  <c r="AI71" i="1" s="1"/>
  <c r="AG71" i="1"/>
  <c r="BJ70" i="1"/>
  <c r="BK70" i="1" s="1"/>
  <c r="BL70" i="1" s="1"/>
  <c r="BF70" i="1"/>
  <c r="BB70" i="1"/>
  <c r="AY70" i="1"/>
  <c r="AZ70" i="1" s="1"/>
  <c r="AV70" i="1"/>
  <c r="AS70" i="1"/>
  <c r="AT70" i="1" s="1"/>
  <c r="AQ70" i="1"/>
  <c r="AN70" i="1"/>
  <c r="AO70" i="1" s="1"/>
  <c r="AK70" i="1"/>
  <c r="AH70" i="1"/>
  <c r="AI70" i="1" s="1"/>
  <c r="AG70" i="1"/>
  <c r="BJ69" i="1"/>
  <c r="BK69" i="1" s="1"/>
  <c r="BL69" i="1" s="1"/>
  <c r="BE69" i="1"/>
  <c r="BB69" i="1"/>
  <c r="AY69" i="1"/>
  <c r="AZ69" i="1" s="1"/>
  <c r="AV69" i="1"/>
  <c r="AS69" i="1"/>
  <c r="AT69" i="1" s="1"/>
  <c r="AQ69" i="1"/>
  <c r="AN69" i="1"/>
  <c r="AO69" i="1" s="1"/>
  <c r="AK69" i="1"/>
  <c r="AH69" i="1"/>
  <c r="AG69" i="1"/>
  <c r="AG68" i="1"/>
  <c r="BM67" i="1"/>
  <c r="BJ67" i="1"/>
  <c r="BK67" i="1" s="1"/>
  <c r="BL67" i="1" s="1"/>
  <c r="BH67" i="1"/>
  <c r="BE67" i="1"/>
  <c r="BF67" i="1" s="1"/>
  <c r="BB67" i="1"/>
  <c r="AY67" i="1"/>
  <c r="AZ67" i="1" s="1"/>
  <c r="AV67" i="1"/>
  <c r="AS67" i="1"/>
  <c r="AT67" i="1" s="1"/>
  <c r="AQ67" i="1"/>
  <c r="AN67" i="1"/>
  <c r="AO67" i="1" s="1"/>
  <c r="AK67" i="1"/>
  <c r="AH67" i="1"/>
  <c r="AI67" i="1" s="1"/>
  <c r="AG67" i="1"/>
  <c r="BM66" i="1"/>
  <c r="BJ66" i="1"/>
  <c r="BK66" i="1" s="1"/>
  <c r="BL66" i="1" s="1"/>
  <c r="BH66" i="1"/>
  <c r="BE66" i="1"/>
  <c r="BF66" i="1" s="1"/>
  <c r="BB66" i="1"/>
  <c r="AY66" i="1"/>
  <c r="AZ66" i="1" s="1"/>
  <c r="BC66" i="1" s="1"/>
  <c r="AV66" i="1"/>
  <c r="AS66" i="1"/>
  <c r="AT66" i="1" s="1"/>
  <c r="AQ66" i="1"/>
  <c r="AN66" i="1"/>
  <c r="AO66" i="1" s="1"/>
  <c r="AK66" i="1"/>
  <c r="AH66" i="1"/>
  <c r="AI66" i="1" s="1"/>
  <c r="AG66" i="1"/>
  <c r="BM65" i="1"/>
  <c r="BJ65" i="1"/>
  <c r="BK65" i="1" s="1"/>
  <c r="BL65" i="1" s="1"/>
  <c r="BH65" i="1"/>
  <c r="BE65" i="1"/>
  <c r="BF65" i="1" s="1"/>
  <c r="BB65" i="1"/>
  <c r="AY65" i="1"/>
  <c r="AZ65" i="1" s="1"/>
  <c r="AV65" i="1"/>
  <c r="AS65" i="1"/>
  <c r="AT65" i="1" s="1"/>
  <c r="AQ65" i="1"/>
  <c r="AN65" i="1"/>
  <c r="AO65" i="1" s="1"/>
  <c r="AK65" i="1"/>
  <c r="AH65" i="1"/>
  <c r="AI65" i="1" s="1"/>
  <c r="AG65" i="1"/>
  <c r="BM64" i="1"/>
  <c r="BJ64" i="1"/>
  <c r="BK64" i="1" s="1"/>
  <c r="BL64" i="1" s="1"/>
  <c r="BH64" i="1"/>
  <c r="BE64" i="1"/>
  <c r="BF64" i="1" s="1"/>
  <c r="BB64" i="1"/>
  <c r="AY64" i="1"/>
  <c r="AZ64" i="1" s="1"/>
  <c r="AV64" i="1"/>
  <c r="AS64" i="1"/>
  <c r="AT64" i="1" s="1"/>
  <c r="AW64" i="1" s="1"/>
  <c r="AQ64" i="1"/>
  <c r="AN64" i="1"/>
  <c r="AO64" i="1" s="1"/>
  <c r="AK64" i="1"/>
  <c r="AH64" i="1"/>
  <c r="AI64" i="1" s="1"/>
  <c r="AG64" i="1"/>
  <c r="BM63" i="1"/>
  <c r="BJ63" i="1"/>
  <c r="BK63" i="1" s="1"/>
  <c r="BL63" i="1" s="1"/>
  <c r="BH63" i="1"/>
  <c r="BE63" i="1"/>
  <c r="BF63" i="1" s="1"/>
  <c r="BB63" i="1"/>
  <c r="AY63" i="1"/>
  <c r="AZ63" i="1" s="1"/>
  <c r="AV63" i="1"/>
  <c r="AS63" i="1"/>
  <c r="AT63" i="1" s="1"/>
  <c r="AQ63" i="1"/>
  <c r="AN63" i="1"/>
  <c r="AO63" i="1" s="1"/>
  <c r="AK63" i="1"/>
  <c r="AH63" i="1"/>
  <c r="AI63" i="1" s="1"/>
  <c r="AG63" i="1"/>
  <c r="BM62" i="1"/>
  <c r="BJ62" i="1"/>
  <c r="BK62" i="1" s="1"/>
  <c r="BL62" i="1" s="1"/>
  <c r="BH62" i="1"/>
  <c r="BE62" i="1"/>
  <c r="BF62" i="1" s="1"/>
  <c r="BB62" i="1"/>
  <c r="AY62" i="1"/>
  <c r="AZ62" i="1" s="1"/>
  <c r="BC62" i="1" s="1"/>
  <c r="AV62" i="1"/>
  <c r="AS62" i="1"/>
  <c r="AT62" i="1" s="1"/>
  <c r="AQ62" i="1"/>
  <c r="AN62" i="1"/>
  <c r="AO62" i="1" s="1"/>
  <c r="AK62" i="1"/>
  <c r="AH62" i="1"/>
  <c r="AI62" i="1" s="1"/>
  <c r="AG62" i="1"/>
  <c r="BM61" i="1"/>
  <c r="BJ61" i="1"/>
  <c r="BK61" i="1" s="1"/>
  <c r="BL61" i="1" s="1"/>
  <c r="BH61" i="1"/>
  <c r="BE61" i="1"/>
  <c r="BF61" i="1" s="1"/>
  <c r="BB61" i="1"/>
  <c r="AY61" i="1"/>
  <c r="AZ61" i="1" s="1"/>
  <c r="AV61" i="1"/>
  <c r="AS61" i="1"/>
  <c r="AT61" i="1" s="1"/>
  <c r="AQ61" i="1"/>
  <c r="AN61" i="1"/>
  <c r="AO61" i="1" s="1"/>
  <c r="AK61" i="1"/>
  <c r="AH61" i="1"/>
  <c r="AI61" i="1" s="1"/>
  <c r="AJ61" i="1" s="1"/>
  <c r="AG61" i="1"/>
  <c r="BM60" i="1"/>
  <c r="BJ60" i="1"/>
  <c r="BK60" i="1" s="1"/>
  <c r="BL60" i="1" s="1"/>
  <c r="BH60" i="1"/>
  <c r="BE60" i="1"/>
  <c r="BF60" i="1" s="1"/>
  <c r="BB60" i="1"/>
  <c r="AY60" i="1"/>
  <c r="AZ60" i="1" s="1"/>
  <c r="AV60" i="1"/>
  <c r="AS60" i="1"/>
  <c r="AT60" i="1" s="1"/>
  <c r="AW60" i="1" s="1"/>
  <c r="AQ60" i="1"/>
  <c r="AN60" i="1"/>
  <c r="AO60" i="1" s="1"/>
  <c r="AK60" i="1"/>
  <c r="AH60" i="1"/>
  <c r="AI60" i="1" s="1"/>
  <c r="AG60" i="1"/>
  <c r="BM59" i="1"/>
  <c r="BJ59" i="1"/>
  <c r="BK59" i="1" s="1"/>
  <c r="BL59" i="1" s="1"/>
  <c r="BH59" i="1"/>
  <c r="BE59" i="1"/>
  <c r="BB59" i="1"/>
  <c r="AY59" i="1"/>
  <c r="AZ59" i="1" s="1"/>
  <c r="AV59" i="1"/>
  <c r="AS59" i="1"/>
  <c r="AT59" i="1" s="1"/>
  <c r="AQ59" i="1"/>
  <c r="AN59" i="1"/>
  <c r="AK59" i="1"/>
  <c r="AH59" i="1"/>
  <c r="AI59" i="1" s="1"/>
  <c r="AJ59" i="1" s="1"/>
  <c r="AG59" i="1"/>
  <c r="AG58" i="1"/>
  <c r="BM57" i="1"/>
  <c r="BJ57" i="1"/>
  <c r="BK57" i="1" s="1"/>
  <c r="BL57" i="1" s="1"/>
  <c r="BH57" i="1"/>
  <c r="BE57" i="1"/>
  <c r="BF57" i="1" s="1"/>
  <c r="BB57" i="1"/>
  <c r="AY57" i="1"/>
  <c r="AZ57" i="1" s="1"/>
  <c r="AV57" i="1"/>
  <c r="AS57" i="1"/>
  <c r="AT57" i="1" s="1"/>
  <c r="AQ57" i="1"/>
  <c r="AN57" i="1"/>
  <c r="AO57" i="1" s="1"/>
  <c r="AK57" i="1"/>
  <c r="AH57" i="1"/>
  <c r="AI57" i="1" s="1"/>
  <c r="AG57" i="1"/>
  <c r="BM56" i="1"/>
  <c r="BJ56" i="1"/>
  <c r="BK56" i="1" s="1"/>
  <c r="BL56" i="1" s="1"/>
  <c r="BH56" i="1"/>
  <c r="BE56" i="1"/>
  <c r="BF56" i="1" s="1"/>
  <c r="BB56" i="1"/>
  <c r="AY56" i="1"/>
  <c r="AZ56" i="1" s="1"/>
  <c r="AV56" i="1"/>
  <c r="AS56" i="1"/>
  <c r="AT56" i="1" s="1"/>
  <c r="AQ56" i="1"/>
  <c r="AN56" i="1"/>
  <c r="AO56" i="1" s="1"/>
  <c r="AP56" i="1" s="1"/>
  <c r="AK56" i="1"/>
  <c r="AH56" i="1"/>
  <c r="AI56" i="1" s="1"/>
  <c r="AG56" i="1"/>
  <c r="BM55" i="1"/>
  <c r="BJ55" i="1"/>
  <c r="BK55" i="1" s="1"/>
  <c r="BL55" i="1" s="1"/>
  <c r="BH55" i="1"/>
  <c r="BE55" i="1"/>
  <c r="BF55" i="1" s="1"/>
  <c r="BB55" i="1"/>
  <c r="AY55" i="1"/>
  <c r="AZ55" i="1" s="1"/>
  <c r="AV55" i="1"/>
  <c r="AS55" i="1"/>
  <c r="AT55" i="1" s="1"/>
  <c r="AQ55" i="1"/>
  <c r="AN55" i="1"/>
  <c r="AO55" i="1" s="1"/>
  <c r="AK55" i="1"/>
  <c r="AH55" i="1"/>
  <c r="AI55" i="1" s="1"/>
  <c r="AG55" i="1"/>
  <c r="BM54" i="1"/>
  <c r="BJ54" i="1"/>
  <c r="BK54" i="1" s="1"/>
  <c r="BL54" i="1" s="1"/>
  <c r="BH54" i="1"/>
  <c r="BE54" i="1"/>
  <c r="BF54" i="1" s="1"/>
  <c r="BB54" i="1"/>
  <c r="AY54" i="1"/>
  <c r="AZ54" i="1" s="1"/>
  <c r="AV54" i="1"/>
  <c r="AS54" i="1"/>
  <c r="AT54" i="1" s="1"/>
  <c r="AQ54" i="1"/>
  <c r="AN54" i="1"/>
  <c r="AO54" i="1" s="1"/>
  <c r="AK54" i="1"/>
  <c r="AH54" i="1"/>
  <c r="AI54" i="1" s="1"/>
  <c r="AG54" i="1"/>
  <c r="BM53" i="1"/>
  <c r="BJ53" i="1"/>
  <c r="BK53" i="1" s="1"/>
  <c r="BL53" i="1" s="1"/>
  <c r="BH53" i="1"/>
  <c r="BE53" i="1"/>
  <c r="BF53" i="1" s="1"/>
  <c r="BB53" i="1"/>
  <c r="AY53" i="1"/>
  <c r="AZ53" i="1" s="1"/>
  <c r="AV53" i="1"/>
  <c r="AS53" i="1"/>
  <c r="AT53" i="1" s="1"/>
  <c r="AQ53" i="1"/>
  <c r="AN53" i="1"/>
  <c r="AO53" i="1" s="1"/>
  <c r="AK53" i="1"/>
  <c r="AH53" i="1"/>
  <c r="AI53" i="1" s="1"/>
  <c r="AG53" i="1"/>
  <c r="BM52" i="1"/>
  <c r="BJ52" i="1"/>
  <c r="BK52" i="1" s="1"/>
  <c r="BL52" i="1" s="1"/>
  <c r="BH52" i="1"/>
  <c r="BE52" i="1"/>
  <c r="BF52" i="1" s="1"/>
  <c r="BB52" i="1"/>
  <c r="AY52" i="1"/>
  <c r="AZ52" i="1" s="1"/>
  <c r="AV52" i="1"/>
  <c r="AS52" i="1"/>
  <c r="AT52" i="1" s="1"/>
  <c r="AQ52" i="1"/>
  <c r="AN52" i="1"/>
  <c r="AO52" i="1" s="1"/>
  <c r="AP52" i="1" s="1"/>
  <c r="AK52" i="1"/>
  <c r="AH52" i="1"/>
  <c r="AI52" i="1" s="1"/>
  <c r="AG52" i="1"/>
  <c r="BM51" i="1"/>
  <c r="BK51" i="1"/>
  <c r="BL51" i="1" s="1"/>
  <c r="BH51" i="1"/>
  <c r="BB51" i="1"/>
  <c r="AZ51" i="1"/>
  <c r="AV51" i="1"/>
  <c r="AQ51" i="1"/>
  <c r="AO51" i="1"/>
  <c r="AK51" i="1"/>
  <c r="AI51" i="1"/>
  <c r="AG51" i="1"/>
  <c r="BM50" i="1"/>
  <c r="BJ50" i="1"/>
  <c r="BH50" i="1"/>
  <c r="BE50" i="1"/>
  <c r="BB50" i="1"/>
  <c r="AY50" i="1"/>
  <c r="AZ50" i="1" s="1"/>
  <c r="AV50" i="1"/>
  <c r="AS50" i="1"/>
  <c r="AT50" i="1" s="1"/>
  <c r="AQ50" i="1"/>
  <c r="AN50" i="1"/>
  <c r="AK50" i="1"/>
  <c r="AH50" i="1"/>
  <c r="AG50" i="1"/>
  <c r="AG49" i="1"/>
  <c r="BM48" i="1"/>
  <c r="BJ48" i="1"/>
  <c r="BK48" i="1" s="1"/>
  <c r="BL48" i="1" s="1"/>
  <c r="BH48" i="1"/>
  <c r="BE48" i="1"/>
  <c r="BF48" i="1" s="1"/>
  <c r="BB48" i="1"/>
  <c r="AY48" i="1"/>
  <c r="AZ48" i="1" s="1"/>
  <c r="AV48" i="1"/>
  <c r="AS48" i="1"/>
  <c r="AT48" i="1" s="1"/>
  <c r="AQ48" i="1"/>
  <c r="AN48" i="1"/>
  <c r="AO48" i="1" s="1"/>
  <c r="AK48" i="1"/>
  <c r="AH48" i="1"/>
  <c r="AI48" i="1" s="1"/>
  <c r="AG48" i="1"/>
  <c r="BM47" i="1"/>
  <c r="BJ47" i="1"/>
  <c r="BK47" i="1" s="1"/>
  <c r="BL47" i="1" s="1"/>
  <c r="BH47" i="1"/>
  <c r="BE47" i="1"/>
  <c r="BF47" i="1" s="1"/>
  <c r="BB47" i="1"/>
  <c r="AY47" i="1"/>
  <c r="AV47" i="1"/>
  <c r="AS47" i="1"/>
  <c r="AQ47" i="1"/>
  <c r="AN47" i="1"/>
  <c r="AO47" i="1" s="1"/>
  <c r="AK47" i="1"/>
  <c r="AH47" i="1"/>
  <c r="AI47" i="1" s="1"/>
  <c r="AG47" i="1"/>
  <c r="BM46" i="1"/>
  <c r="BJ46" i="1"/>
  <c r="BK46" i="1" s="1"/>
  <c r="BL46" i="1" s="1"/>
  <c r="BH46" i="1"/>
  <c r="BE46" i="1"/>
  <c r="BF46" i="1" s="1"/>
  <c r="BB46" i="1"/>
  <c r="AY46" i="1"/>
  <c r="AZ46" i="1" s="1"/>
  <c r="AV46" i="1"/>
  <c r="AS46" i="1"/>
  <c r="AT46" i="1" s="1"/>
  <c r="AQ46" i="1"/>
  <c r="AN46" i="1"/>
  <c r="AO46" i="1" s="1"/>
  <c r="AK46" i="1"/>
  <c r="AH46" i="1"/>
  <c r="AI46" i="1" s="1"/>
  <c r="AG46" i="1"/>
  <c r="BM45" i="1"/>
  <c r="BJ45" i="1"/>
  <c r="BK45" i="1" s="1"/>
  <c r="BL45" i="1" s="1"/>
  <c r="BH45" i="1"/>
  <c r="BE45" i="1"/>
  <c r="BF45" i="1" s="1"/>
  <c r="BB45" i="1"/>
  <c r="AY45" i="1"/>
  <c r="AZ45" i="1" s="1"/>
  <c r="AV45" i="1"/>
  <c r="AS45" i="1"/>
  <c r="AT45" i="1" s="1"/>
  <c r="AQ45" i="1"/>
  <c r="AN45" i="1"/>
  <c r="AO45" i="1" s="1"/>
  <c r="AK45" i="1"/>
  <c r="AH45" i="1"/>
  <c r="AI45" i="1" s="1"/>
  <c r="AG45" i="1"/>
  <c r="BM44" i="1"/>
  <c r="BJ44" i="1"/>
  <c r="BK44" i="1" s="1"/>
  <c r="BL44" i="1" s="1"/>
  <c r="BH44" i="1"/>
  <c r="BE44" i="1"/>
  <c r="BF44" i="1" s="1"/>
  <c r="BB44" i="1"/>
  <c r="AY44" i="1"/>
  <c r="AZ44" i="1" s="1"/>
  <c r="AV44" i="1"/>
  <c r="AS44" i="1"/>
  <c r="AT44" i="1" s="1"/>
  <c r="AQ44" i="1"/>
  <c r="AN44" i="1"/>
  <c r="AO44" i="1" s="1"/>
  <c r="AK44" i="1"/>
  <c r="AH44" i="1"/>
  <c r="AI44" i="1" s="1"/>
  <c r="AG44" i="1"/>
  <c r="BM43" i="1"/>
  <c r="BJ43" i="1"/>
  <c r="BK43" i="1" s="1"/>
  <c r="BL43" i="1" s="1"/>
  <c r="BH43" i="1"/>
  <c r="BE43" i="1"/>
  <c r="BF43" i="1" s="1"/>
  <c r="BB43" i="1"/>
  <c r="AY43" i="1"/>
  <c r="AZ43" i="1" s="1"/>
  <c r="AV43" i="1"/>
  <c r="AS43" i="1"/>
  <c r="AT43" i="1" s="1"/>
  <c r="AQ43" i="1"/>
  <c r="AN43" i="1"/>
  <c r="AO43" i="1" s="1"/>
  <c r="AK43" i="1"/>
  <c r="AH43" i="1"/>
  <c r="AI43" i="1" s="1"/>
  <c r="AG43" i="1"/>
  <c r="BM42" i="1"/>
  <c r="BJ42" i="1"/>
  <c r="BK42" i="1" s="1"/>
  <c r="BL42" i="1" s="1"/>
  <c r="BH42" i="1"/>
  <c r="BE42" i="1"/>
  <c r="BF42" i="1" s="1"/>
  <c r="BB42" i="1"/>
  <c r="AY42" i="1"/>
  <c r="AZ42" i="1" s="1"/>
  <c r="AV42" i="1"/>
  <c r="AS42" i="1"/>
  <c r="AT42" i="1" s="1"/>
  <c r="AQ42" i="1"/>
  <c r="AN42" i="1"/>
  <c r="AO42" i="1" s="1"/>
  <c r="AK42" i="1"/>
  <c r="AH42" i="1"/>
  <c r="AI42" i="1" s="1"/>
  <c r="AG42" i="1"/>
  <c r="BM41" i="1"/>
  <c r="BJ41" i="1"/>
  <c r="BK41" i="1" s="1"/>
  <c r="BL41" i="1" s="1"/>
  <c r="BH41" i="1"/>
  <c r="BE41" i="1"/>
  <c r="BF41" i="1" s="1"/>
  <c r="BB41" i="1"/>
  <c r="AY41" i="1"/>
  <c r="AZ41" i="1" s="1"/>
  <c r="AV41" i="1"/>
  <c r="AS41" i="1"/>
  <c r="AT41" i="1" s="1"/>
  <c r="AQ41" i="1"/>
  <c r="AN41" i="1"/>
  <c r="AO41" i="1" s="1"/>
  <c r="AK41" i="1"/>
  <c r="AH41" i="1"/>
  <c r="AI41" i="1" s="1"/>
  <c r="AG41" i="1"/>
  <c r="BM40" i="1"/>
  <c r="BJ40" i="1"/>
  <c r="BK40" i="1" s="1"/>
  <c r="BL40" i="1" s="1"/>
  <c r="BH40" i="1"/>
  <c r="BE40" i="1"/>
  <c r="BF40" i="1" s="1"/>
  <c r="BB40" i="1"/>
  <c r="AY40" i="1"/>
  <c r="AZ40" i="1" s="1"/>
  <c r="AV40" i="1"/>
  <c r="AS40" i="1"/>
  <c r="AT40" i="1" s="1"/>
  <c r="AQ40" i="1"/>
  <c r="AN40" i="1"/>
  <c r="AO40" i="1" s="1"/>
  <c r="AK40" i="1"/>
  <c r="AH40" i="1"/>
  <c r="AI40" i="1" s="1"/>
  <c r="AG40" i="1"/>
  <c r="BM38" i="1"/>
  <c r="BM39" i="1" s="1"/>
  <c r="BJ38" i="1"/>
  <c r="BJ39" i="1" s="1"/>
  <c r="BH38" i="1"/>
  <c r="BH39" i="1" s="1"/>
  <c r="BE38" i="1"/>
  <c r="BB38" i="1"/>
  <c r="BB39" i="1" s="1"/>
  <c r="AY38" i="1"/>
  <c r="AV38" i="1"/>
  <c r="AS38" i="1"/>
  <c r="AT38" i="1" s="1"/>
  <c r="AQ38" i="1"/>
  <c r="AN38" i="1"/>
  <c r="AK38" i="1"/>
  <c r="AH38" i="1"/>
  <c r="AI38" i="1" s="1"/>
  <c r="AG38" i="1"/>
  <c r="AG37" i="1"/>
  <c r="BM36" i="1"/>
  <c r="BJ36" i="1"/>
  <c r="BK36" i="1" s="1"/>
  <c r="BL36" i="1" s="1"/>
  <c r="BH36" i="1"/>
  <c r="BE36" i="1"/>
  <c r="BF36" i="1" s="1"/>
  <c r="BB36" i="1"/>
  <c r="AY36" i="1"/>
  <c r="AZ36" i="1" s="1"/>
  <c r="AV36" i="1"/>
  <c r="AS36" i="1"/>
  <c r="AT36" i="1" s="1"/>
  <c r="AQ36" i="1"/>
  <c r="AN36" i="1"/>
  <c r="AO36" i="1" s="1"/>
  <c r="AK36" i="1"/>
  <c r="AH36" i="1"/>
  <c r="AI36" i="1" s="1"/>
  <c r="AG36" i="1"/>
  <c r="BM35" i="1"/>
  <c r="BJ35" i="1"/>
  <c r="BK35" i="1" s="1"/>
  <c r="BL35" i="1" s="1"/>
  <c r="BH35" i="1"/>
  <c r="BE35" i="1"/>
  <c r="BF35" i="1" s="1"/>
  <c r="BB35" i="1"/>
  <c r="AY35" i="1"/>
  <c r="AZ35" i="1" s="1"/>
  <c r="AV35" i="1"/>
  <c r="AS35" i="1"/>
  <c r="AT35" i="1" s="1"/>
  <c r="AQ35" i="1"/>
  <c r="AN35" i="1"/>
  <c r="AO35" i="1" s="1"/>
  <c r="AP35" i="1" s="1"/>
  <c r="AK35" i="1"/>
  <c r="AH35" i="1"/>
  <c r="AI35" i="1" s="1"/>
  <c r="AG35" i="1"/>
  <c r="BM34" i="1"/>
  <c r="BJ34" i="1"/>
  <c r="BK34" i="1" s="1"/>
  <c r="BL34" i="1" s="1"/>
  <c r="BH34" i="1"/>
  <c r="BE34" i="1"/>
  <c r="BF34" i="1" s="1"/>
  <c r="BB34" i="1"/>
  <c r="AY34" i="1"/>
  <c r="AZ34" i="1" s="1"/>
  <c r="AV34" i="1"/>
  <c r="AS34" i="1"/>
  <c r="AT34" i="1" s="1"/>
  <c r="AQ34" i="1"/>
  <c r="AN34" i="1"/>
  <c r="AO34" i="1" s="1"/>
  <c r="AK34" i="1"/>
  <c r="AH34" i="1"/>
  <c r="AI34" i="1" s="1"/>
  <c r="AG34" i="1"/>
  <c r="BM33" i="1"/>
  <c r="BJ33" i="1"/>
  <c r="BK33" i="1" s="1"/>
  <c r="BL33" i="1" s="1"/>
  <c r="BH33" i="1"/>
  <c r="BE33" i="1"/>
  <c r="BF33" i="1" s="1"/>
  <c r="BG33" i="1" s="1"/>
  <c r="BB33" i="1"/>
  <c r="AY33" i="1"/>
  <c r="AZ33" i="1" s="1"/>
  <c r="AV33" i="1"/>
  <c r="AS33" i="1"/>
  <c r="AT33" i="1" s="1"/>
  <c r="AQ33" i="1"/>
  <c r="AN33" i="1"/>
  <c r="AO33" i="1" s="1"/>
  <c r="AK33" i="1"/>
  <c r="AH33" i="1"/>
  <c r="AI33" i="1" s="1"/>
  <c r="AG33" i="1"/>
  <c r="BM32" i="1"/>
  <c r="BJ32" i="1"/>
  <c r="BK32" i="1" s="1"/>
  <c r="BL32" i="1" s="1"/>
  <c r="BH32" i="1"/>
  <c r="BE32" i="1"/>
  <c r="BF32" i="1" s="1"/>
  <c r="BB32" i="1"/>
  <c r="AY32" i="1"/>
  <c r="AZ32" i="1" s="1"/>
  <c r="AV32" i="1"/>
  <c r="AS32" i="1"/>
  <c r="AT32" i="1" s="1"/>
  <c r="AQ32" i="1"/>
  <c r="AN32" i="1"/>
  <c r="AO32" i="1" s="1"/>
  <c r="AK32" i="1"/>
  <c r="AH32" i="1"/>
  <c r="AI32" i="1" s="1"/>
  <c r="AG32" i="1"/>
  <c r="BM31" i="1"/>
  <c r="BJ31" i="1"/>
  <c r="BK31" i="1" s="1"/>
  <c r="BL31" i="1" s="1"/>
  <c r="BH31" i="1"/>
  <c r="BE31" i="1"/>
  <c r="BF31" i="1" s="1"/>
  <c r="BB31" i="1"/>
  <c r="AY31" i="1"/>
  <c r="AZ31" i="1" s="1"/>
  <c r="AV31" i="1"/>
  <c r="AS31" i="1"/>
  <c r="AT31" i="1" s="1"/>
  <c r="AQ31" i="1"/>
  <c r="AN31" i="1"/>
  <c r="AO31" i="1" s="1"/>
  <c r="AK31" i="1"/>
  <c r="AH31" i="1"/>
  <c r="AI31" i="1" s="1"/>
  <c r="AG31" i="1"/>
  <c r="BM30" i="1"/>
  <c r="BJ30" i="1"/>
  <c r="BK30" i="1" s="1"/>
  <c r="BL30" i="1" s="1"/>
  <c r="BH30" i="1"/>
  <c r="BE30" i="1"/>
  <c r="BF30" i="1" s="1"/>
  <c r="BB30" i="1"/>
  <c r="AY30" i="1"/>
  <c r="AZ30" i="1" s="1"/>
  <c r="AV30" i="1"/>
  <c r="AS30" i="1"/>
  <c r="AT30" i="1" s="1"/>
  <c r="AQ30" i="1"/>
  <c r="AN30" i="1"/>
  <c r="AO30" i="1" s="1"/>
  <c r="AK30" i="1"/>
  <c r="AH30" i="1"/>
  <c r="AI30" i="1" s="1"/>
  <c r="AG30" i="1"/>
  <c r="BM29" i="1"/>
  <c r="BJ29" i="1"/>
  <c r="BK29" i="1" s="1"/>
  <c r="BL29" i="1" s="1"/>
  <c r="BH29" i="1"/>
  <c r="BE29" i="1"/>
  <c r="BF29" i="1" s="1"/>
  <c r="BB29" i="1"/>
  <c r="AY29" i="1"/>
  <c r="AZ29" i="1" s="1"/>
  <c r="AV29" i="1"/>
  <c r="AS29" i="1"/>
  <c r="AT29" i="1" s="1"/>
  <c r="AQ29" i="1"/>
  <c r="AN29" i="1"/>
  <c r="AO29" i="1" s="1"/>
  <c r="AK29" i="1"/>
  <c r="AH29" i="1"/>
  <c r="AI29" i="1" s="1"/>
  <c r="AG29" i="1"/>
  <c r="BM28" i="1"/>
  <c r="BJ28" i="1"/>
  <c r="BK28" i="1" s="1"/>
  <c r="BL28" i="1" s="1"/>
  <c r="BH28" i="1"/>
  <c r="BE28" i="1"/>
  <c r="BF28" i="1" s="1"/>
  <c r="BB28" i="1"/>
  <c r="AY28" i="1"/>
  <c r="AZ28" i="1" s="1"/>
  <c r="AV28" i="1"/>
  <c r="AS28" i="1"/>
  <c r="AT28" i="1" s="1"/>
  <c r="AQ28" i="1"/>
  <c r="AN28" i="1"/>
  <c r="AO28" i="1" s="1"/>
  <c r="AK28" i="1"/>
  <c r="AH28" i="1"/>
  <c r="AI28" i="1" s="1"/>
  <c r="AG28" i="1"/>
  <c r="BM27" i="1"/>
  <c r="BJ27" i="1"/>
  <c r="BK27" i="1" s="1"/>
  <c r="BL27" i="1" s="1"/>
  <c r="BH27" i="1"/>
  <c r="BE27" i="1"/>
  <c r="BF27" i="1" s="1"/>
  <c r="BB27" i="1"/>
  <c r="AY27" i="1"/>
  <c r="AZ27" i="1" s="1"/>
  <c r="AV27" i="1"/>
  <c r="AS27" i="1"/>
  <c r="AT27" i="1" s="1"/>
  <c r="AQ27" i="1"/>
  <c r="AN27" i="1"/>
  <c r="AO27" i="1" s="1"/>
  <c r="AK27" i="1"/>
  <c r="AH27" i="1"/>
  <c r="AI27" i="1" s="1"/>
  <c r="AG27" i="1"/>
  <c r="BM26" i="1"/>
  <c r="BJ26" i="1"/>
  <c r="BK26" i="1" s="1"/>
  <c r="BL26" i="1" s="1"/>
  <c r="BH26" i="1"/>
  <c r="BE26" i="1"/>
  <c r="BF26" i="1" s="1"/>
  <c r="BB26" i="1"/>
  <c r="AY26" i="1"/>
  <c r="AZ26" i="1" s="1"/>
  <c r="AV26" i="1"/>
  <c r="AS26" i="1"/>
  <c r="AQ26" i="1"/>
  <c r="AN26" i="1"/>
  <c r="AO26" i="1" s="1"/>
  <c r="AK26" i="1"/>
  <c r="AH26" i="1"/>
  <c r="AG26" i="1"/>
  <c r="AG25" i="1"/>
  <c r="BM24" i="1"/>
  <c r="BJ24" i="1"/>
  <c r="BK24" i="1" s="1"/>
  <c r="BL24" i="1" s="1"/>
  <c r="BH24" i="1"/>
  <c r="BE24" i="1"/>
  <c r="BF24" i="1" s="1"/>
  <c r="BB24" i="1"/>
  <c r="AY24" i="1"/>
  <c r="AZ24" i="1" s="1"/>
  <c r="AV24" i="1"/>
  <c r="AS24" i="1"/>
  <c r="AT24" i="1" s="1"/>
  <c r="AQ24" i="1"/>
  <c r="AN24" i="1"/>
  <c r="AO24" i="1" s="1"/>
  <c r="AP24" i="1" s="1"/>
  <c r="AK24" i="1"/>
  <c r="AH24" i="1"/>
  <c r="AI24" i="1" s="1"/>
  <c r="AG24" i="1"/>
  <c r="BM23" i="1"/>
  <c r="BJ23" i="1"/>
  <c r="BK23" i="1" s="1"/>
  <c r="BL23" i="1" s="1"/>
  <c r="BH23" i="1"/>
  <c r="BE23" i="1"/>
  <c r="BF23" i="1" s="1"/>
  <c r="BB23" i="1"/>
  <c r="AY23" i="1"/>
  <c r="AZ23" i="1" s="1"/>
  <c r="AV23" i="1"/>
  <c r="AS23" i="1"/>
  <c r="AT23" i="1" s="1"/>
  <c r="AQ23" i="1"/>
  <c r="AN23" i="1"/>
  <c r="AO23" i="1" s="1"/>
  <c r="AK23" i="1"/>
  <c r="AH23" i="1"/>
  <c r="AI23" i="1" s="1"/>
  <c r="AG23" i="1"/>
  <c r="BM22" i="1"/>
  <c r="BJ22" i="1"/>
  <c r="BK22" i="1" s="1"/>
  <c r="BL22" i="1" s="1"/>
  <c r="BH22" i="1"/>
  <c r="BE22" i="1"/>
  <c r="BF22" i="1" s="1"/>
  <c r="BB22" i="1"/>
  <c r="AY22" i="1"/>
  <c r="AZ22" i="1" s="1"/>
  <c r="AV22" i="1"/>
  <c r="AS22" i="1"/>
  <c r="AT22" i="1" s="1"/>
  <c r="AQ22" i="1"/>
  <c r="AN22" i="1"/>
  <c r="AO22" i="1" s="1"/>
  <c r="AP22" i="1" s="1"/>
  <c r="AK22" i="1"/>
  <c r="AH22" i="1"/>
  <c r="AI22" i="1" s="1"/>
  <c r="AG22" i="1"/>
  <c r="BM21" i="1"/>
  <c r="BJ21" i="1"/>
  <c r="BK21" i="1" s="1"/>
  <c r="BL21" i="1" s="1"/>
  <c r="BH21" i="1"/>
  <c r="BE21" i="1"/>
  <c r="BF21" i="1" s="1"/>
  <c r="BB21" i="1"/>
  <c r="AY21" i="1"/>
  <c r="AZ21" i="1" s="1"/>
  <c r="AV21" i="1"/>
  <c r="AS21" i="1"/>
  <c r="AT21" i="1" s="1"/>
  <c r="AQ21" i="1"/>
  <c r="AN21" i="1"/>
  <c r="AO21" i="1" s="1"/>
  <c r="AK21" i="1"/>
  <c r="AH21" i="1"/>
  <c r="AI21" i="1" s="1"/>
  <c r="AG21" i="1"/>
  <c r="BM20" i="1"/>
  <c r="BJ20" i="1"/>
  <c r="BK20" i="1" s="1"/>
  <c r="BL20" i="1" s="1"/>
  <c r="BH20" i="1"/>
  <c r="BE20" i="1"/>
  <c r="BF20" i="1" s="1"/>
  <c r="BB20" i="1"/>
  <c r="AY20" i="1"/>
  <c r="AZ20" i="1" s="1"/>
  <c r="AV20" i="1"/>
  <c r="AS20" i="1"/>
  <c r="AT20" i="1" s="1"/>
  <c r="AQ20" i="1"/>
  <c r="AN20" i="1"/>
  <c r="AO20" i="1" s="1"/>
  <c r="AP20" i="1" s="1"/>
  <c r="AK20" i="1"/>
  <c r="AH20" i="1"/>
  <c r="AI20" i="1" s="1"/>
  <c r="AG20" i="1"/>
  <c r="BM19" i="1"/>
  <c r="BJ19" i="1"/>
  <c r="BK19" i="1" s="1"/>
  <c r="BL19" i="1" s="1"/>
  <c r="BH19" i="1"/>
  <c r="BE19" i="1"/>
  <c r="BF19" i="1" s="1"/>
  <c r="BB19" i="1"/>
  <c r="AY19" i="1"/>
  <c r="AZ19" i="1" s="1"/>
  <c r="AV19" i="1"/>
  <c r="AS19" i="1"/>
  <c r="AT19" i="1" s="1"/>
  <c r="AQ19" i="1"/>
  <c r="AN19" i="1"/>
  <c r="AO19" i="1" s="1"/>
  <c r="AK19" i="1"/>
  <c r="AH19" i="1"/>
  <c r="AI19" i="1" s="1"/>
  <c r="AG19" i="1"/>
  <c r="BM18" i="1"/>
  <c r="BJ18" i="1"/>
  <c r="BK18" i="1" s="1"/>
  <c r="BL18" i="1" s="1"/>
  <c r="BH18" i="1"/>
  <c r="BE18" i="1"/>
  <c r="BF18" i="1" s="1"/>
  <c r="BB18" i="1"/>
  <c r="AY18" i="1"/>
  <c r="AZ18" i="1" s="1"/>
  <c r="AV18" i="1"/>
  <c r="AS18" i="1"/>
  <c r="AT18" i="1" s="1"/>
  <c r="AQ18" i="1"/>
  <c r="AN18" i="1"/>
  <c r="AO18" i="1" s="1"/>
  <c r="AK18" i="1"/>
  <c r="AH18" i="1"/>
  <c r="AI18" i="1" s="1"/>
  <c r="AG18" i="1"/>
  <c r="BM17" i="1"/>
  <c r="BJ17" i="1"/>
  <c r="BK17" i="1" s="1"/>
  <c r="BL17" i="1" s="1"/>
  <c r="BH17" i="1"/>
  <c r="BE17" i="1"/>
  <c r="BF17" i="1" s="1"/>
  <c r="BB17" i="1"/>
  <c r="AY17" i="1"/>
  <c r="AZ17" i="1" s="1"/>
  <c r="AV17" i="1"/>
  <c r="AS17" i="1"/>
  <c r="AT17" i="1" s="1"/>
  <c r="AQ17" i="1"/>
  <c r="AN17" i="1"/>
  <c r="AO17" i="1" s="1"/>
  <c r="AK17" i="1"/>
  <c r="AH17" i="1"/>
  <c r="AI17" i="1" s="1"/>
  <c r="AG17" i="1"/>
  <c r="BM16" i="1"/>
  <c r="BJ16" i="1"/>
  <c r="BK16" i="1" s="1"/>
  <c r="BL16" i="1" s="1"/>
  <c r="BH16" i="1"/>
  <c r="BE16" i="1"/>
  <c r="BF16" i="1" s="1"/>
  <c r="BB16" i="1"/>
  <c r="AY16" i="1"/>
  <c r="AV16" i="1"/>
  <c r="AS16" i="1"/>
  <c r="AT16" i="1" s="1"/>
  <c r="AQ16" i="1"/>
  <c r="AN16" i="1"/>
  <c r="AK16" i="1"/>
  <c r="AH16" i="1"/>
  <c r="AI16" i="1" s="1"/>
  <c r="AG16" i="1"/>
  <c r="AG15" i="1"/>
  <c r="BM14" i="1"/>
  <c r="BK14" i="1"/>
  <c r="BL14" i="1" s="1"/>
  <c r="BH14" i="1"/>
  <c r="BF14" i="1"/>
  <c r="BB14" i="1"/>
  <c r="AZ14" i="1"/>
  <c r="AV14" i="1"/>
  <c r="AT14" i="1"/>
  <c r="AQ14" i="1"/>
  <c r="AO14" i="1"/>
  <c r="AK14" i="1"/>
  <c r="AI14" i="1"/>
  <c r="AG14" i="1"/>
  <c r="BM13" i="1"/>
  <c r="BK13" i="1"/>
  <c r="BL13" i="1" s="1"/>
  <c r="BH13" i="1"/>
  <c r="BF13" i="1"/>
  <c r="BB13" i="1"/>
  <c r="AZ13" i="1"/>
  <c r="AV13" i="1"/>
  <c r="AT13" i="1"/>
  <c r="AQ13" i="1"/>
  <c r="AO13" i="1"/>
  <c r="AP13" i="1" s="1"/>
  <c r="AK13" i="1"/>
  <c r="AI13" i="1"/>
  <c r="AG13" i="1"/>
  <c r="BM12" i="1"/>
  <c r="BK12" i="1"/>
  <c r="BL12" i="1" s="1"/>
  <c r="BH12" i="1"/>
  <c r="BF12" i="1"/>
  <c r="BB12" i="1"/>
  <c r="AZ12" i="1"/>
  <c r="AV12" i="1"/>
  <c r="AT12" i="1"/>
  <c r="AQ12" i="1"/>
  <c r="AO12" i="1"/>
  <c r="AK12" i="1"/>
  <c r="AI12" i="1"/>
  <c r="AJ12" i="1" s="1"/>
  <c r="AG12" i="1"/>
  <c r="BM11" i="1"/>
  <c r="BK11" i="1"/>
  <c r="BL11" i="1" s="1"/>
  <c r="BH11" i="1"/>
  <c r="BF11" i="1"/>
  <c r="BB11" i="1"/>
  <c r="AZ11" i="1"/>
  <c r="AV11" i="1"/>
  <c r="AT11" i="1"/>
  <c r="AQ11" i="1"/>
  <c r="AO11" i="1"/>
  <c r="AK11" i="1"/>
  <c r="AI11" i="1"/>
  <c r="AG11" i="1"/>
  <c r="BM10" i="1"/>
  <c r="BK10" i="1"/>
  <c r="BL10" i="1" s="1"/>
  <c r="BH10" i="1"/>
  <c r="BF10" i="1"/>
  <c r="BB10" i="1"/>
  <c r="AZ10" i="1"/>
  <c r="AV10" i="1"/>
  <c r="AT10" i="1"/>
  <c r="AQ10" i="1"/>
  <c r="AK10" i="1"/>
  <c r="AI10" i="1"/>
  <c r="AG10" i="1"/>
  <c r="BM9" i="1"/>
  <c r="BK9" i="1"/>
  <c r="BL9" i="1" s="1"/>
  <c r="BH9" i="1"/>
  <c r="BF9" i="1"/>
  <c r="BB9" i="1"/>
  <c r="AZ9" i="1"/>
  <c r="AV9" i="1"/>
  <c r="AT9" i="1"/>
  <c r="AQ9" i="1"/>
  <c r="AO9" i="1"/>
  <c r="AP9" i="1" s="1"/>
  <c r="AK9" i="1"/>
  <c r="AI9" i="1"/>
  <c r="AG9" i="1"/>
  <c r="BM8" i="1"/>
  <c r="BK8" i="1"/>
  <c r="BL8" i="1" s="1"/>
  <c r="BH8" i="1"/>
  <c r="BF8" i="1"/>
  <c r="BB8" i="1"/>
  <c r="AZ8" i="1"/>
  <c r="AV8" i="1"/>
  <c r="AT8" i="1"/>
  <c r="AQ8" i="1"/>
  <c r="AO8" i="1"/>
  <c r="AK8" i="1"/>
  <c r="AI8" i="1"/>
  <c r="AG8" i="1"/>
  <c r="BM7" i="1"/>
  <c r="BK7" i="1"/>
  <c r="BL7" i="1" s="1"/>
  <c r="BH7" i="1"/>
  <c r="BF7" i="1"/>
  <c r="BB7" i="1"/>
  <c r="AZ7" i="1"/>
  <c r="AV7" i="1"/>
  <c r="AT7" i="1"/>
  <c r="AQ7" i="1"/>
  <c r="AO7" i="1"/>
  <c r="AK7" i="1"/>
  <c r="AI7" i="1"/>
  <c r="AJ7" i="1" s="1"/>
  <c r="AG7" i="1"/>
  <c r="BM6" i="1"/>
  <c r="BK6" i="1"/>
  <c r="BL6" i="1" s="1"/>
  <c r="BH6" i="1"/>
  <c r="BF6" i="1"/>
  <c r="BB6" i="1"/>
  <c r="AZ6" i="1"/>
  <c r="AV6" i="1"/>
  <c r="AT6" i="1"/>
  <c r="AQ6" i="1"/>
  <c r="AO6" i="1"/>
  <c r="AK6" i="1"/>
  <c r="AI6" i="1"/>
  <c r="AG6" i="1"/>
  <c r="BM5" i="1"/>
  <c r="BK5" i="1"/>
  <c r="BL5" i="1" s="1"/>
  <c r="BH5" i="1"/>
  <c r="BF5" i="1"/>
  <c r="BB5" i="1"/>
  <c r="AV5" i="1"/>
  <c r="AT5" i="1"/>
  <c r="AQ5" i="1"/>
  <c r="AO5" i="1"/>
  <c r="AK5" i="1"/>
  <c r="AG5" i="1"/>
  <c r="BI86" i="3" l="1"/>
  <c r="BJ86" i="3" s="1"/>
  <c r="BK86" i="3" s="1"/>
  <c r="BK6" i="3"/>
  <c r="BK7" i="3"/>
  <c r="BK9" i="3"/>
  <c r="BI10" i="3"/>
  <c r="BH15" i="3"/>
  <c r="BD86" i="3"/>
  <c r="BE86" i="3" s="1"/>
  <c r="BF86" i="3" s="1"/>
  <c r="BD15" i="3"/>
  <c r="BD5" i="3"/>
  <c r="BD6" i="3"/>
  <c r="BD11" i="3"/>
  <c r="AY86" i="3"/>
  <c r="AZ86" i="3" s="1"/>
  <c r="BA86" i="3"/>
  <c r="AY8" i="3"/>
  <c r="AY9" i="3"/>
  <c r="AX15" i="3"/>
  <c r="AY5" i="3"/>
  <c r="AV15" i="3"/>
  <c r="AT15" i="3"/>
  <c r="AT6" i="3"/>
  <c r="AV8" i="3"/>
  <c r="AT10" i="3"/>
  <c r="AO86" i="3"/>
  <c r="AP86" i="3" s="1"/>
  <c r="AQ86" i="3" s="1"/>
  <c r="AO5" i="3"/>
  <c r="AO6" i="3"/>
  <c r="AO7" i="3"/>
  <c r="AO8" i="3"/>
  <c r="AO9" i="3"/>
  <c r="AO10" i="3"/>
  <c r="AO11" i="3"/>
  <c r="AN15" i="3"/>
  <c r="AL9" i="3"/>
  <c r="AL5" i="3"/>
  <c r="AI15" i="3"/>
  <c r="AL15" i="3" s="1"/>
  <c r="AJ8" i="3"/>
  <c r="AL6" i="3"/>
  <c r="AL10" i="3"/>
  <c r="AL86" i="3"/>
  <c r="AJ86" i="3"/>
  <c r="AJ7" i="3"/>
  <c r="AJ11" i="3"/>
  <c r="AJ15" i="3"/>
  <c r="AW53" i="1"/>
  <c r="BC59" i="1"/>
  <c r="AV39" i="1"/>
  <c r="AZ47" i="1"/>
  <c r="AY39" i="1"/>
  <c r="AY49" i="1" s="1"/>
  <c r="AZ49" i="1" s="1"/>
  <c r="BF38" i="1"/>
  <c r="BF39" i="1" s="1"/>
  <c r="BE39" i="1"/>
  <c r="AT47" i="1"/>
  <c r="AW47" i="1" s="1"/>
  <c r="AS39" i="1"/>
  <c r="BC42" i="1"/>
  <c r="AW44" i="1"/>
  <c r="BC46" i="1"/>
  <c r="AW48" i="1"/>
  <c r="BC50" i="1"/>
  <c r="BC51" i="1"/>
  <c r="BC52" i="1"/>
  <c r="BC56" i="1"/>
  <c r="BC69" i="1"/>
  <c r="AW71" i="1"/>
  <c r="AW85" i="1"/>
  <c r="BC84" i="1"/>
  <c r="AL36" i="1"/>
  <c r="BC7" i="1"/>
  <c r="AW9" i="1"/>
  <c r="AW10" i="1"/>
  <c r="BC12" i="1"/>
  <c r="AL18" i="1"/>
  <c r="AW18" i="1"/>
  <c r="AW24" i="1"/>
  <c r="BC26" i="1"/>
  <c r="BC30" i="1"/>
  <c r="BC34" i="1"/>
  <c r="AW5" i="1"/>
  <c r="AW6" i="1"/>
  <c r="BC8" i="1"/>
  <c r="AL11" i="1"/>
  <c r="AW11" i="1"/>
  <c r="BC17" i="1"/>
  <c r="AW19" i="1"/>
  <c r="BC23" i="1"/>
  <c r="BC27" i="1"/>
  <c r="AW29" i="1"/>
  <c r="BC31" i="1"/>
  <c r="AW33" i="1"/>
  <c r="BC40" i="1"/>
  <c r="AW34" i="1"/>
  <c r="BC36" i="1"/>
  <c r="AW38" i="1"/>
  <c r="BC41" i="1"/>
  <c r="BC43" i="1"/>
  <c r="AW45" i="1"/>
  <c r="BC53" i="1"/>
  <c r="BC57" i="1"/>
  <c r="AW59" i="1"/>
  <c r="AW61" i="1"/>
  <c r="BC63" i="1"/>
  <c r="AW65" i="1"/>
  <c r="BC67" i="1"/>
  <c r="BC70" i="1"/>
  <c r="AW72" i="1"/>
  <c r="BC74" i="1"/>
  <c r="BC81" i="1"/>
  <c r="AW82" i="1"/>
  <c r="AW83" i="1"/>
  <c r="AW84" i="1"/>
  <c r="BC6" i="1"/>
  <c r="AW8" i="1"/>
  <c r="AW13" i="1"/>
  <c r="AW17" i="1"/>
  <c r="BC19" i="1"/>
  <c r="AW20" i="1"/>
  <c r="BC21" i="1"/>
  <c r="AW27" i="1"/>
  <c r="BC29" i="1"/>
  <c r="AW31" i="1"/>
  <c r="BC33" i="1"/>
  <c r="AW35" i="1"/>
  <c r="AW40" i="1"/>
  <c r="BC44" i="1"/>
  <c r="AW46" i="1"/>
  <c r="BC48" i="1"/>
  <c r="AW50" i="1"/>
  <c r="AW52" i="1"/>
  <c r="BC54" i="1"/>
  <c r="AW56" i="1"/>
  <c r="BC60" i="1"/>
  <c r="AW62" i="1"/>
  <c r="BC64" i="1"/>
  <c r="AW66" i="1"/>
  <c r="AW69" i="1"/>
  <c r="BC71" i="1"/>
  <c r="AW77" i="1"/>
  <c r="AM83" i="1"/>
  <c r="AU23" i="1"/>
  <c r="AW23" i="1"/>
  <c r="AU21" i="1"/>
  <c r="AW21" i="1"/>
  <c r="BA22" i="1"/>
  <c r="BC22" i="1"/>
  <c r="BA73" i="1"/>
  <c r="BC73" i="1"/>
  <c r="AU28" i="1"/>
  <c r="AW28" i="1"/>
  <c r="AU32" i="1"/>
  <c r="AW32" i="1"/>
  <c r="AU55" i="1"/>
  <c r="AW55" i="1"/>
  <c r="AR56" i="1"/>
  <c r="BA78" i="1"/>
  <c r="BC78" i="1"/>
  <c r="BA20" i="1"/>
  <c r="BC20" i="1"/>
  <c r="AU36" i="1"/>
  <c r="AW36" i="1"/>
  <c r="AU42" i="1"/>
  <c r="AW42" i="1"/>
  <c r="AU53" i="1"/>
  <c r="AU73" i="1"/>
  <c r="AW73" i="1"/>
  <c r="AW7" i="1"/>
  <c r="BI7" i="1"/>
  <c r="BC10" i="1"/>
  <c r="AW12" i="1"/>
  <c r="BC14" i="1"/>
  <c r="AW16" i="1"/>
  <c r="BA18" i="1"/>
  <c r="BC18" i="1"/>
  <c r="BN20" i="1"/>
  <c r="AW22" i="1"/>
  <c r="BA24" i="1"/>
  <c r="BC24" i="1"/>
  <c r="BC28" i="1"/>
  <c r="AU30" i="1"/>
  <c r="AW30" i="1"/>
  <c r="BC32" i="1"/>
  <c r="BC35" i="1"/>
  <c r="AW41" i="1"/>
  <c r="AW43" i="1"/>
  <c r="BC45" i="1"/>
  <c r="BC47" i="1"/>
  <c r="AW54" i="1"/>
  <c r="BN54" i="1"/>
  <c r="BC55" i="1"/>
  <c r="AW57" i="1"/>
  <c r="BC61" i="1"/>
  <c r="AW63" i="1"/>
  <c r="BC65" i="1"/>
  <c r="AW67" i="1"/>
  <c r="AW70" i="1"/>
  <c r="BC72" i="1"/>
  <c r="AW74" i="1"/>
  <c r="BC76" i="1"/>
  <c r="AU78" i="1"/>
  <c r="AW78" i="1"/>
  <c r="AW81" i="1"/>
  <c r="BA82" i="1"/>
  <c r="BC82" i="1"/>
  <c r="AU51" i="1"/>
  <c r="AW51" i="1"/>
  <c r="BA11" i="1"/>
  <c r="BC11" i="1"/>
  <c r="BA13" i="1"/>
  <c r="BC13" i="1"/>
  <c r="BA9" i="1"/>
  <c r="BC9" i="1"/>
  <c r="AU14" i="1"/>
  <c r="AW14" i="1"/>
  <c r="AX14" i="1"/>
  <c r="AL13" i="1"/>
  <c r="AL16" i="1"/>
  <c r="AR22" i="1"/>
  <c r="AX23" i="1"/>
  <c r="BN56" i="1"/>
  <c r="AL60" i="1"/>
  <c r="BM79" i="1"/>
  <c r="BI83" i="1"/>
  <c r="AV58" i="1"/>
  <c r="BH58" i="1"/>
  <c r="AL51" i="1"/>
  <c r="AX5" i="1"/>
  <c r="BI5" i="1"/>
  <c r="AM7" i="1"/>
  <c r="AX8" i="1"/>
  <c r="AL34" i="1"/>
  <c r="AL41" i="1"/>
  <c r="AL43" i="1"/>
  <c r="AL46" i="1"/>
  <c r="AL53" i="1"/>
  <c r="AR54" i="1"/>
  <c r="AL55" i="1"/>
  <c r="AL57" i="1"/>
  <c r="AL70" i="1"/>
  <c r="BE79" i="1"/>
  <c r="BF79" i="1" s="1"/>
  <c r="BG79" i="1" s="1"/>
  <c r="AM81" i="1"/>
  <c r="AK15" i="1"/>
  <c r="AX6" i="1"/>
  <c r="AX9" i="1"/>
  <c r="BN13" i="1"/>
  <c r="BI14" i="1"/>
  <c r="AL20" i="1"/>
  <c r="AX21" i="1"/>
  <c r="BI21" i="1"/>
  <c r="BN22" i="1"/>
  <c r="BI23" i="1"/>
  <c r="AX51" i="1"/>
  <c r="AR52" i="1"/>
  <c r="BH79" i="1"/>
  <c r="BN8" i="1"/>
  <c r="AL24" i="1"/>
  <c r="AL38" i="1"/>
  <c r="AL45" i="1"/>
  <c r="AL47" i="1"/>
  <c r="AK58" i="1"/>
  <c r="BN52" i="1"/>
  <c r="AL71" i="1"/>
  <c r="AV86" i="1"/>
  <c r="BH86" i="1"/>
  <c r="AM82" i="1"/>
  <c r="BI85" i="1"/>
  <c r="AP54" i="1"/>
  <c r="BF76" i="1"/>
  <c r="BG76" i="1" s="1"/>
  <c r="AL12" i="1"/>
  <c r="AX72" i="1"/>
  <c r="BB86" i="1"/>
  <c r="BB75" i="1"/>
  <c r="AL32" i="1"/>
  <c r="BB15" i="1"/>
  <c r="BI6" i="1"/>
  <c r="BI8" i="1"/>
  <c r="AL44" i="1"/>
  <c r="AL48" i="1"/>
  <c r="AL61" i="1"/>
  <c r="AL65" i="1"/>
  <c r="AU72" i="1"/>
  <c r="AQ79" i="1"/>
  <c r="BD10" i="1"/>
  <c r="BA10" i="1"/>
  <c r="BN11" i="1"/>
  <c r="AU12" i="1"/>
  <c r="AX12" i="1"/>
  <c r="BN16" i="1"/>
  <c r="BI26" i="1"/>
  <c r="BG26" i="1"/>
  <c r="BD27" i="1"/>
  <c r="BA27" i="1"/>
  <c r="BI30" i="1"/>
  <c r="BG30" i="1"/>
  <c r="BA31" i="1"/>
  <c r="AR41" i="1"/>
  <c r="AP41" i="1"/>
  <c r="BE58" i="1"/>
  <c r="BF58" i="1" s="1"/>
  <c r="BF50" i="1"/>
  <c r="BI50" i="1" s="1"/>
  <c r="BA61" i="1"/>
  <c r="BD61" i="1"/>
  <c r="BI62" i="1"/>
  <c r="BG62" i="1"/>
  <c r="BD63" i="1"/>
  <c r="BA63" i="1"/>
  <c r="BG64" i="1"/>
  <c r="BA65" i="1"/>
  <c r="BD65" i="1"/>
  <c r="BG66" i="1"/>
  <c r="BA67" i="1"/>
  <c r="BD72" i="1"/>
  <c r="BA72" i="1"/>
  <c r="AP77" i="1"/>
  <c r="AX7" i="1"/>
  <c r="AM10" i="1"/>
  <c r="AL10" i="1"/>
  <c r="AR18" i="1"/>
  <c r="AP18" i="1"/>
  <c r="AJ21" i="1"/>
  <c r="AL21" i="1"/>
  <c r="AL22" i="1"/>
  <c r="AL27" i="1"/>
  <c r="AL29" i="1"/>
  <c r="AL31" i="1"/>
  <c r="AL33" i="1"/>
  <c r="BN33" i="1"/>
  <c r="BE37" i="1"/>
  <c r="BF37" i="1" s="1"/>
  <c r="BG37" i="1" s="1"/>
  <c r="AV49" i="1"/>
  <c r="BN41" i="1"/>
  <c r="AP45" i="1"/>
  <c r="AR45" i="1"/>
  <c r="AY58" i="1"/>
  <c r="AZ58" i="1" s="1"/>
  <c r="BA58" i="1" s="1"/>
  <c r="BD60" i="1"/>
  <c r="BA60" i="1"/>
  <c r="AL63" i="1"/>
  <c r="AL67" i="1"/>
  <c r="BG74" i="1"/>
  <c r="AX17" i="1"/>
  <c r="AU17" i="1"/>
  <c r="BG28" i="1"/>
  <c r="BI28" i="1"/>
  <c r="BA29" i="1"/>
  <c r="BD29" i="1"/>
  <c r="AV25" i="1"/>
  <c r="BN18" i="1"/>
  <c r="AU19" i="1"/>
  <c r="AX19" i="1"/>
  <c r="AQ37" i="1"/>
  <c r="AO38" i="1"/>
  <c r="AN49" i="1"/>
  <c r="AO49" i="1" s="1"/>
  <c r="AP49" i="1" s="1"/>
  <c r="AR70" i="1"/>
  <c r="AP70" i="1"/>
  <c r="BN71" i="1"/>
  <c r="AL6" i="1"/>
  <c r="AJ6" i="1"/>
  <c r="AM6" i="1"/>
  <c r="AM8" i="1"/>
  <c r="AJ8" i="1"/>
  <c r="AJ9" i="1"/>
  <c r="AL9" i="1"/>
  <c r="BM15" i="1"/>
  <c r="AR11" i="1"/>
  <c r="AP11" i="1"/>
  <c r="AJ14" i="1"/>
  <c r="AL14" i="1"/>
  <c r="BB25" i="1"/>
  <c r="AJ23" i="1"/>
  <c r="AL23" i="1"/>
  <c r="BN24" i="1"/>
  <c r="BM37" i="1"/>
  <c r="AJ28" i="1"/>
  <c r="AM28" i="1"/>
  <c r="AL28" i="1"/>
  <c r="AL30" i="1"/>
  <c r="AM30" i="1"/>
  <c r="AJ30" i="1"/>
  <c r="AJ32" i="1"/>
  <c r="AM32" i="1"/>
  <c r="AR34" i="1"/>
  <c r="AP34" i="1"/>
  <c r="AL35" i="1"/>
  <c r="BB49" i="1"/>
  <c r="AX40" i="1"/>
  <c r="AU40" i="1"/>
  <c r="AX42" i="1"/>
  <c r="AR43" i="1"/>
  <c r="AP43" i="1"/>
  <c r="AP47" i="1"/>
  <c r="AI76" i="1"/>
  <c r="AH79" i="1"/>
  <c r="AI79" i="1" s="1"/>
  <c r="AI80" i="1"/>
  <c r="AM80" i="1" s="1"/>
  <c r="AH86" i="1"/>
  <c r="AI86" i="1" s="1"/>
  <c r="AJ86" i="1" s="1"/>
  <c r="AL8" i="1"/>
  <c r="AQ15" i="1"/>
  <c r="AY15" i="1"/>
  <c r="AZ15" i="1" s="1"/>
  <c r="AL7" i="1"/>
  <c r="AX10" i="1"/>
  <c r="BI12" i="1"/>
  <c r="BH25" i="1"/>
  <c r="AJ19" i="1"/>
  <c r="AL19" i="1"/>
  <c r="BI19" i="1"/>
  <c r="AY37" i="1"/>
  <c r="AZ37" i="1" s="1"/>
  <c r="AR29" i="1"/>
  <c r="AX34" i="1"/>
  <c r="AH49" i="1"/>
  <c r="AI49" i="1" s="1"/>
  <c r="AJ49" i="1" s="1"/>
  <c r="AL42" i="1"/>
  <c r="BN43" i="1"/>
  <c r="AU44" i="1"/>
  <c r="AU48" i="1"/>
  <c r="AX48" i="1"/>
  <c r="AH58" i="1"/>
  <c r="AI58" i="1" s="1"/>
  <c r="AI50" i="1"/>
  <c r="AL50" i="1" s="1"/>
  <c r="AL54" i="1"/>
  <c r="BN60" i="1"/>
  <c r="AX69" i="1"/>
  <c r="AU69" i="1"/>
  <c r="AJ72" i="1"/>
  <c r="AL72" i="1"/>
  <c r="AM72" i="1"/>
  <c r="AM73" i="1"/>
  <c r="AJ73" i="1"/>
  <c r="AU74" i="1"/>
  <c r="AL59" i="1"/>
  <c r="AV15" i="1"/>
  <c r="AN15" i="1"/>
  <c r="AO15" i="1" s="1"/>
  <c r="BI10" i="1"/>
  <c r="AK25" i="1"/>
  <c r="BE25" i="1"/>
  <c r="BF25" i="1" s="1"/>
  <c r="BG25" i="1" s="1"/>
  <c r="AJ17" i="1"/>
  <c r="AL17" i="1"/>
  <c r="AQ25" i="1"/>
  <c r="BI17" i="1"/>
  <c r="AK37" i="1"/>
  <c r="BB37" i="1"/>
  <c r="AR27" i="1"/>
  <c r="AV37" i="1"/>
  <c r="AK49" i="1"/>
  <c r="BH49" i="1"/>
  <c r="AL40" i="1"/>
  <c r="BM49" i="1"/>
  <c r="BN45" i="1"/>
  <c r="AU46" i="1"/>
  <c r="AL52" i="1"/>
  <c r="AL56" i="1"/>
  <c r="BI60" i="1"/>
  <c r="BG60" i="1"/>
  <c r="AL62" i="1"/>
  <c r="AM62" i="1"/>
  <c r="AJ62" i="1"/>
  <c r="AJ64" i="1"/>
  <c r="AL64" i="1"/>
  <c r="AM64" i="1"/>
  <c r="AL66" i="1"/>
  <c r="AM66" i="1"/>
  <c r="AJ66" i="1"/>
  <c r="BN70" i="1"/>
  <c r="BA76" i="1"/>
  <c r="AM77" i="1"/>
  <c r="AJ77" i="1"/>
  <c r="AQ86" i="1"/>
  <c r="BA85" i="1"/>
  <c r="BD85" i="1"/>
  <c r="AH68" i="1"/>
  <c r="AI68" i="1" s="1"/>
  <c r="AY68" i="1"/>
  <c r="AZ68" i="1" s="1"/>
  <c r="BA68" i="1" s="1"/>
  <c r="BH68" i="1"/>
  <c r="AN75" i="1"/>
  <c r="AO75" i="1" s="1"/>
  <c r="AP75" i="1" s="1"/>
  <c r="AK86" i="1"/>
  <c r="AM85" i="1"/>
  <c r="BM68" i="1"/>
  <c r="BB68" i="1"/>
  <c r="BA7" i="1"/>
  <c r="BD7" i="1"/>
  <c r="BA6" i="1"/>
  <c r="BD6" i="1"/>
  <c r="BG9" i="1"/>
  <c r="BI9" i="1"/>
  <c r="BA8" i="1"/>
  <c r="BD8" i="1"/>
  <c r="AR5" i="1"/>
  <c r="BH15" i="1"/>
  <c r="AR6" i="1"/>
  <c r="AR7" i="1"/>
  <c r="AM9" i="1"/>
  <c r="AX11" i="1"/>
  <c r="AU11" i="1"/>
  <c r="AU13" i="1"/>
  <c r="AX13" i="1"/>
  <c r="AX16" i="1"/>
  <c r="AU16" i="1"/>
  <c r="AU18" i="1"/>
  <c r="AX18" i="1"/>
  <c r="AX20" i="1"/>
  <c r="AU20" i="1"/>
  <c r="AU22" i="1"/>
  <c r="AX22" i="1"/>
  <c r="AX24" i="1"/>
  <c r="AU24" i="1"/>
  <c r="AP26" i="1"/>
  <c r="AR26" i="1"/>
  <c r="BI27" i="1"/>
  <c r="BG27" i="1"/>
  <c r="AR28" i="1"/>
  <c r="AP28" i="1"/>
  <c r="BG29" i="1"/>
  <c r="BI29" i="1"/>
  <c r="AP30" i="1"/>
  <c r="AR30" i="1"/>
  <c r="BG31" i="1"/>
  <c r="AR32" i="1"/>
  <c r="AP32" i="1"/>
  <c r="BN32" i="1"/>
  <c r="AM33" i="1"/>
  <c r="AJ33" i="1"/>
  <c r="AN37" i="1"/>
  <c r="AO37" i="1" s="1"/>
  <c r="AX38" i="1"/>
  <c r="AU38" i="1"/>
  <c r="AM40" i="1"/>
  <c r="AJ40" i="1"/>
  <c r="BG40" i="1"/>
  <c r="BI40" i="1"/>
  <c r="BD41" i="1"/>
  <c r="BA41" i="1"/>
  <c r="BA42" i="1"/>
  <c r="BD42" i="1"/>
  <c r="AX43" i="1"/>
  <c r="AU43" i="1"/>
  <c r="AM44" i="1"/>
  <c r="AJ44" i="1"/>
  <c r="BG44" i="1"/>
  <c r="BD45" i="1"/>
  <c r="BA45" i="1"/>
  <c r="BA46" i="1"/>
  <c r="AU47" i="1"/>
  <c r="AM48" i="1"/>
  <c r="AJ48" i="1"/>
  <c r="BG48" i="1"/>
  <c r="BI48" i="1"/>
  <c r="AP5" i="1"/>
  <c r="AU5" i="1"/>
  <c r="AZ5" i="1"/>
  <c r="BC5" i="1" s="1"/>
  <c r="BN5" i="1"/>
  <c r="AP6" i="1"/>
  <c r="AU6" i="1"/>
  <c r="BN6" i="1"/>
  <c r="AP7" i="1"/>
  <c r="AU7" i="1"/>
  <c r="BN7" i="1"/>
  <c r="AP8" i="1"/>
  <c r="AU8" i="1"/>
  <c r="BG8" i="1"/>
  <c r="BD9" i="1"/>
  <c r="BN9" i="1"/>
  <c r="AJ10" i="1"/>
  <c r="AO10" i="1"/>
  <c r="AU10" i="1"/>
  <c r="BG10" i="1"/>
  <c r="BN10" i="1"/>
  <c r="AJ11" i="1"/>
  <c r="AM11" i="1"/>
  <c r="BD11" i="1"/>
  <c r="AM12" i="1"/>
  <c r="BG12" i="1"/>
  <c r="BN12" i="1"/>
  <c r="AM13" i="1"/>
  <c r="AJ13" i="1"/>
  <c r="BD13" i="1"/>
  <c r="AM14" i="1"/>
  <c r="BG14" i="1"/>
  <c r="BN14" i="1"/>
  <c r="AJ16" i="1"/>
  <c r="AM16" i="1"/>
  <c r="AM17" i="1"/>
  <c r="BG17" i="1"/>
  <c r="BN17" i="1"/>
  <c r="AM18" i="1"/>
  <c r="AJ18" i="1"/>
  <c r="BD18" i="1"/>
  <c r="AM19" i="1"/>
  <c r="BG19" i="1"/>
  <c r="BN19" i="1"/>
  <c r="AJ20" i="1"/>
  <c r="AM20" i="1"/>
  <c r="BD20" i="1"/>
  <c r="AM21" i="1"/>
  <c r="BG21" i="1"/>
  <c r="BN21" i="1"/>
  <c r="AM22" i="1"/>
  <c r="AJ22" i="1"/>
  <c r="BD22" i="1"/>
  <c r="AM23" i="1"/>
  <c r="BG23" i="1"/>
  <c r="BN23" i="1"/>
  <c r="AJ24" i="1"/>
  <c r="AM24" i="1"/>
  <c r="BD24" i="1"/>
  <c r="AP27" i="1"/>
  <c r="AU27" i="1"/>
  <c r="AX27" i="1"/>
  <c r="BN27" i="1"/>
  <c r="AX28" i="1"/>
  <c r="AP29" i="1"/>
  <c r="AX29" i="1"/>
  <c r="AU29" i="1"/>
  <c r="BN29" i="1"/>
  <c r="AX30" i="1"/>
  <c r="AP31" i="1"/>
  <c r="AU31" i="1"/>
  <c r="AX32" i="1"/>
  <c r="AU33" i="1"/>
  <c r="AX33" i="1"/>
  <c r="AU34" i="1"/>
  <c r="BD34" i="1"/>
  <c r="BA34" i="1"/>
  <c r="AU35" i="1"/>
  <c r="AM36" i="1"/>
  <c r="AJ36" i="1"/>
  <c r="BG36" i="1"/>
  <c r="BD50" i="1"/>
  <c r="BA50" i="1"/>
  <c r="BA51" i="1"/>
  <c r="BD51" i="1"/>
  <c r="AX52" i="1"/>
  <c r="AU52" i="1"/>
  <c r="AM53" i="1"/>
  <c r="AJ53" i="1"/>
  <c r="BG53" i="1"/>
  <c r="BD54" i="1"/>
  <c r="BA54" i="1"/>
  <c r="BA55" i="1"/>
  <c r="AX56" i="1"/>
  <c r="AU56" i="1"/>
  <c r="AM57" i="1"/>
  <c r="AJ57" i="1"/>
  <c r="BA57" i="1"/>
  <c r="AX59" i="1"/>
  <c r="AU59" i="1"/>
  <c r="BI61" i="1"/>
  <c r="BG61" i="1"/>
  <c r="AU62" i="1"/>
  <c r="AX62" i="1"/>
  <c r="AR63" i="1"/>
  <c r="AP63" i="1"/>
  <c r="BN63" i="1"/>
  <c r="AP64" i="1"/>
  <c r="AM65" i="1"/>
  <c r="AJ65" i="1"/>
  <c r="BI65" i="1"/>
  <c r="BG65" i="1"/>
  <c r="AU66" i="1"/>
  <c r="AP67" i="1"/>
  <c r="AH75" i="1"/>
  <c r="AI75" i="1" s="1"/>
  <c r="AI69" i="1"/>
  <c r="AL69" i="1" s="1"/>
  <c r="AQ75" i="1"/>
  <c r="BE75" i="1"/>
  <c r="BF75" i="1" s="1"/>
  <c r="BF69" i="1"/>
  <c r="BM75" i="1"/>
  <c r="BD70" i="1"/>
  <c r="BA70" i="1"/>
  <c r="AX71" i="1"/>
  <c r="AU71" i="1"/>
  <c r="BI71" i="1"/>
  <c r="BG71" i="1"/>
  <c r="AJ74" i="1"/>
  <c r="AM74" i="1"/>
  <c r="AT76" i="1"/>
  <c r="AW76" i="1" s="1"/>
  <c r="AS79" i="1"/>
  <c r="AT79" i="1" s="1"/>
  <c r="AU77" i="1"/>
  <c r="AJ79" i="1"/>
  <c r="BD12" i="1"/>
  <c r="BA12" i="1"/>
  <c r="BA14" i="1"/>
  <c r="BD14" i="1"/>
  <c r="BE15" i="1"/>
  <c r="AY25" i="1"/>
  <c r="AZ25" i="1" s="1"/>
  <c r="AZ16" i="1"/>
  <c r="BC16" i="1" s="1"/>
  <c r="BD17" i="1"/>
  <c r="BA17" i="1"/>
  <c r="BA19" i="1"/>
  <c r="BD19" i="1"/>
  <c r="BD21" i="1"/>
  <c r="BA21" i="1"/>
  <c r="BA23" i="1"/>
  <c r="BD23" i="1"/>
  <c r="AH25" i="1"/>
  <c r="AI25" i="1" s="1"/>
  <c r="AS37" i="1"/>
  <c r="AT37" i="1" s="1"/>
  <c r="AT26" i="1"/>
  <c r="AW26" i="1" s="1"/>
  <c r="BN26" i="1"/>
  <c r="AM27" i="1"/>
  <c r="AJ27" i="1"/>
  <c r="BN28" i="1"/>
  <c r="AJ29" i="1"/>
  <c r="AM29" i="1"/>
  <c r="BN30" i="1"/>
  <c r="AM31" i="1"/>
  <c r="AJ31" i="1"/>
  <c r="BG32" i="1"/>
  <c r="BI32" i="1"/>
  <c r="AJ34" i="1"/>
  <c r="AM34" i="1"/>
  <c r="AZ38" i="1"/>
  <c r="BD40" i="1"/>
  <c r="BA40" i="1"/>
  <c r="AU41" i="1"/>
  <c r="AX41" i="1"/>
  <c r="AM42" i="1"/>
  <c r="AJ42" i="1"/>
  <c r="BG42" i="1"/>
  <c r="BI42" i="1"/>
  <c r="BD43" i="1"/>
  <c r="BA43" i="1"/>
  <c r="BA44" i="1"/>
  <c r="AU45" i="1"/>
  <c r="AX45" i="1"/>
  <c r="AM46" i="1"/>
  <c r="AJ46" i="1"/>
  <c r="BG46" i="1"/>
  <c r="BA47" i="1"/>
  <c r="BD48" i="1"/>
  <c r="BA48" i="1"/>
  <c r="AH15" i="1"/>
  <c r="AI5" i="1"/>
  <c r="AL5" i="1" s="1"/>
  <c r="AS15" i="1"/>
  <c r="BG5" i="1"/>
  <c r="BG6" i="1"/>
  <c r="BG7" i="1"/>
  <c r="AU9" i="1"/>
  <c r="BG11" i="1"/>
  <c r="BI11" i="1"/>
  <c r="AP12" i="1"/>
  <c r="BI13" i="1"/>
  <c r="BG13" i="1"/>
  <c r="AP14" i="1"/>
  <c r="AO16" i="1"/>
  <c r="AN25" i="1"/>
  <c r="AO25" i="1" s="1"/>
  <c r="BG16" i="1"/>
  <c r="BI16" i="1"/>
  <c r="BM25" i="1"/>
  <c r="AP17" i="1"/>
  <c r="AR17" i="1"/>
  <c r="BI18" i="1"/>
  <c r="BG18" i="1"/>
  <c r="AR19" i="1"/>
  <c r="AP19" i="1"/>
  <c r="BG20" i="1"/>
  <c r="BI20" i="1"/>
  <c r="AP21" i="1"/>
  <c r="AR21" i="1"/>
  <c r="BI22" i="1"/>
  <c r="BG22" i="1"/>
  <c r="AR23" i="1"/>
  <c r="AP23" i="1"/>
  <c r="BG24" i="1"/>
  <c r="BI24" i="1"/>
  <c r="AS25" i="1"/>
  <c r="AT25" i="1" s="1"/>
  <c r="BJ25" i="1"/>
  <c r="BK25" i="1" s="1"/>
  <c r="BL25" i="1" s="1"/>
  <c r="AH37" i="1"/>
  <c r="AI37" i="1" s="1"/>
  <c r="AI26" i="1"/>
  <c r="AL26" i="1" s="1"/>
  <c r="BD26" i="1"/>
  <c r="BA26" i="1"/>
  <c r="BA28" i="1"/>
  <c r="BD28" i="1"/>
  <c r="BD30" i="1"/>
  <c r="BA30" i="1"/>
  <c r="BD32" i="1"/>
  <c r="BA32" i="1"/>
  <c r="AR33" i="1"/>
  <c r="AP33" i="1"/>
  <c r="BD33" i="1"/>
  <c r="BA33" i="1"/>
  <c r="BG34" i="1"/>
  <c r="BI34" i="1"/>
  <c r="BA35" i="1"/>
  <c r="BA36" i="1"/>
  <c r="BE49" i="1"/>
  <c r="BF49" i="1" s="1"/>
  <c r="AU50" i="1"/>
  <c r="AX50" i="1"/>
  <c r="AM51" i="1"/>
  <c r="AJ51" i="1"/>
  <c r="BG51" i="1"/>
  <c r="BI51" i="1"/>
  <c r="BD52" i="1"/>
  <c r="BA52" i="1"/>
  <c r="BA53" i="1"/>
  <c r="AU54" i="1"/>
  <c r="AX54" i="1"/>
  <c r="AM55" i="1"/>
  <c r="AJ55" i="1"/>
  <c r="BG55" i="1"/>
  <c r="BD56" i="1"/>
  <c r="BA56" i="1"/>
  <c r="AU57" i="1"/>
  <c r="BG57" i="1"/>
  <c r="AM59" i="1"/>
  <c r="AR61" i="1"/>
  <c r="AP61" i="1"/>
  <c r="BN61" i="1"/>
  <c r="AR62" i="1"/>
  <c r="AP62" i="1"/>
  <c r="BN62" i="1"/>
  <c r="AJ63" i="1"/>
  <c r="AM63" i="1"/>
  <c r="BG63" i="1"/>
  <c r="BI63" i="1"/>
  <c r="AU64" i="1"/>
  <c r="AR65" i="1"/>
  <c r="AP65" i="1"/>
  <c r="BN65" i="1"/>
  <c r="AP66" i="1"/>
  <c r="AJ67" i="1"/>
  <c r="AM67" i="1"/>
  <c r="BG67" i="1"/>
  <c r="BD69" i="1"/>
  <c r="BA69" i="1"/>
  <c r="AU70" i="1"/>
  <c r="AX70" i="1"/>
  <c r="AM71" i="1"/>
  <c r="AJ71" i="1"/>
  <c r="BA71" i="1"/>
  <c r="BD71" i="1"/>
  <c r="BA74" i="1"/>
  <c r="AN79" i="1"/>
  <c r="AO79" i="1" s="1"/>
  <c r="AO76" i="1"/>
  <c r="BJ79" i="1"/>
  <c r="BK79" i="1" s="1"/>
  <c r="BL79" i="1" s="1"/>
  <c r="BK76" i="1"/>
  <c r="BL76" i="1" s="1"/>
  <c r="AZ77" i="1"/>
  <c r="BC77" i="1" s="1"/>
  <c r="AY79" i="1"/>
  <c r="AZ79" i="1" s="1"/>
  <c r="AK79" i="1"/>
  <c r="AM78" i="1"/>
  <c r="AZ80" i="1"/>
  <c r="BC80" i="1" s="1"/>
  <c r="AY86" i="1"/>
  <c r="AZ86" i="1" s="1"/>
  <c r="BJ37" i="1"/>
  <c r="BK37" i="1" s="1"/>
  <c r="BL37" i="1" s="1"/>
  <c r="BI33" i="1"/>
  <c r="BG35" i="1"/>
  <c r="AP36" i="1"/>
  <c r="AS49" i="1"/>
  <c r="AT49" i="1" s="1"/>
  <c r="BG38" i="1"/>
  <c r="BI38" i="1"/>
  <c r="AP40" i="1"/>
  <c r="AR40" i="1"/>
  <c r="BI41" i="1"/>
  <c r="BG41" i="1"/>
  <c r="AR42" i="1"/>
  <c r="AP42" i="1"/>
  <c r="BG43" i="1"/>
  <c r="BI43" i="1"/>
  <c r="AP44" i="1"/>
  <c r="BI45" i="1"/>
  <c r="BG45" i="1"/>
  <c r="AP46" i="1"/>
  <c r="BG47" i="1"/>
  <c r="AP48" i="1"/>
  <c r="AR48" i="1"/>
  <c r="AN58" i="1"/>
  <c r="AO58" i="1" s="1"/>
  <c r="AO50" i="1"/>
  <c r="BM58" i="1"/>
  <c r="AR51" i="1"/>
  <c r="AP51" i="1"/>
  <c r="BG52" i="1"/>
  <c r="BI52" i="1"/>
  <c r="AP53" i="1"/>
  <c r="BI54" i="1"/>
  <c r="BG54" i="1"/>
  <c r="AP55" i="1"/>
  <c r="BG56" i="1"/>
  <c r="BI56" i="1"/>
  <c r="AP57" i="1"/>
  <c r="AQ68" i="1"/>
  <c r="AV68" i="1"/>
  <c r="BE68" i="1"/>
  <c r="BF68" i="1" s="1"/>
  <c r="BF59" i="1"/>
  <c r="AP60" i="1"/>
  <c r="AR60" i="1"/>
  <c r="AS68" i="1"/>
  <c r="AT68" i="1" s="1"/>
  <c r="BJ68" i="1"/>
  <c r="BK68" i="1" s="1"/>
  <c r="BL68" i="1" s="1"/>
  <c r="AP82" i="1"/>
  <c r="AP84" i="1"/>
  <c r="AP85" i="1"/>
  <c r="AR85" i="1"/>
  <c r="BH37" i="1"/>
  <c r="BN34" i="1"/>
  <c r="AM35" i="1"/>
  <c r="AJ35" i="1"/>
  <c r="AJ38" i="1"/>
  <c r="AM38" i="1"/>
  <c r="AQ49" i="1"/>
  <c r="BK38" i="1"/>
  <c r="BJ49" i="1"/>
  <c r="BK49" i="1" s="1"/>
  <c r="BL49" i="1" s="1"/>
  <c r="BN40" i="1"/>
  <c r="AM41" i="1"/>
  <c r="AJ41" i="1"/>
  <c r="BN42" i="1"/>
  <c r="AJ43" i="1"/>
  <c r="AM43" i="1"/>
  <c r="AM45" i="1"/>
  <c r="AJ45" i="1"/>
  <c r="AJ47" i="1"/>
  <c r="AM47" i="1"/>
  <c r="BN48" i="1"/>
  <c r="AQ58" i="1"/>
  <c r="BJ58" i="1"/>
  <c r="BK58" i="1" s="1"/>
  <c r="BL58" i="1" s="1"/>
  <c r="BK50" i="1"/>
  <c r="BL50" i="1" s="1"/>
  <c r="BN51" i="1"/>
  <c r="AJ52" i="1"/>
  <c r="AM52" i="1"/>
  <c r="AM54" i="1"/>
  <c r="AJ54" i="1"/>
  <c r="AJ56" i="1"/>
  <c r="AM56" i="1"/>
  <c r="BD59" i="1"/>
  <c r="BA59" i="1"/>
  <c r="BN59" i="1"/>
  <c r="AJ60" i="1"/>
  <c r="AM60" i="1"/>
  <c r="AU60" i="1"/>
  <c r="AX60" i="1"/>
  <c r="AP83" i="1"/>
  <c r="AR83" i="1"/>
  <c r="BA83" i="1"/>
  <c r="BD83" i="1"/>
  <c r="AS58" i="1"/>
  <c r="AT58" i="1" s="1"/>
  <c r="BB58" i="1"/>
  <c r="AK68" i="1"/>
  <c r="AM61" i="1"/>
  <c r="AU61" i="1"/>
  <c r="AX61" i="1"/>
  <c r="AX63" i="1"/>
  <c r="AU63" i="1"/>
  <c r="AU65" i="1"/>
  <c r="AX65" i="1"/>
  <c r="AU67" i="1"/>
  <c r="AP69" i="1"/>
  <c r="AR69" i="1"/>
  <c r="AV75" i="1"/>
  <c r="BI70" i="1"/>
  <c r="BG70" i="1"/>
  <c r="AR71" i="1"/>
  <c r="AP71" i="1"/>
  <c r="BG72" i="1"/>
  <c r="BI72" i="1"/>
  <c r="BN72" i="1"/>
  <c r="BD73" i="1"/>
  <c r="BI73" i="1"/>
  <c r="BG73" i="1"/>
  <c r="BE86" i="1"/>
  <c r="BF86" i="1" s="1"/>
  <c r="BF80" i="1"/>
  <c r="BI80" i="1" s="1"/>
  <c r="BA81" i="1"/>
  <c r="BA84" i="1"/>
  <c r="AO59" i="1"/>
  <c r="AN68" i="1"/>
  <c r="AO68" i="1" s="1"/>
  <c r="BA62" i="1"/>
  <c r="BD62" i="1"/>
  <c r="BA64" i="1"/>
  <c r="BA66" i="1"/>
  <c r="BN69" i="1"/>
  <c r="AM70" i="1"/>
  <c r="AJ70" i="1"/>
  <c r="AP73" i="1"/>
  <c r="AR73" i="1"/>
  <c r="AX73" i="1"/>
  <c r="AS75" i="1"/>
  <c r="AT75" i="1" s="1"/>
  <c r="BJ75" i="1"/>
  <c r="BK75" i="1" s="1"/>
  <c r="BL75" i="1" s="1"/>
  <c r="AT80" i="1"/>
  <c r="AW80" i="1" s="1"/>
  <c r="AS86" i="1"/>
  <c r="AT86" i="1" s="1"/>
  <c r="BK80" i="1"/>
  <c r="BL80" i="1" s="1"/>
  <c r="BJ86" i="1"/>
  <c r="BK86" i="1" s="1"/>
  <c r="BL86" i="1" s="1"/>
  <c r="BM86" i="1"/>
  <c r="AM84" i="1"/>
  <c r="AK75" i="1"/>
  <c r="AY75" i="1"/>
  <c r="AZ75" i="1" s="1"/>
  <c r="BH75" i="1"/>
  <c r="AR72" i="1"/>
  <c r="AV79" i="1"/>
  <c r="BB79" i="1"/>
  <c r="AN86" i="1"/>
  <c r="AO86" i="1" s="1"/>
  <c r="AO80" i="1"/>
  <c r="BI15" i="3" l="1"/>
  <c r="BK15" i="3"/>
  <c r="BA15" i="3"/>
  <c r="AY15" i="3"/>
  <c r="AT86" i="3"/>
  <c r="AU86" i="3" s="1"/>
  <c r="AV86" i="3"/>
  <c r="AO15" i="3"/>
  <c r="AQ15" i="3"/>
  <c r="BK39" i="1"/>
  <c r="BN39" i="1" s="1"/>
  <c r="BL38" i="1"/>
  <c r="AT39" i="1"/>
  <c r="AX39" i="1" s="1"/>
  <c r="BC38" i="1"/>
  <c r="BC39" i="1" s="1"/>
  <c r="AZ39" i="1"/>
  <c r="BD39" i="1" s="1"/>
  <c r="AW39" i="1"/>
  <c r="BC75" i="1"/>
  <c r="BC25" i="1"/>
  <c r="AW25" i="1"/>
  <c r="AW37" i="1"/>
  <c r="AM79" i="1"/>
  <c r="AW86" i="1"/>
  <c r="AW79" i="1"/>
  <c r="AW58" i="1"/>
  <c r="AR49" i="1"/>
  <c r="AW49" i="1"/>
  <c r="BC49" i="1"/>
  <c r="AS87" i="1"/>
  <c r="AT87" i="1" s="1"/>
  <c r="BC86" i="1"/>
  <c r="BC79" i="1"/>
  <c r="AL37" i="1"/>
  <c r="BC15" i="1"/>
  <c r="BA37" i="1"/>
  <c r="BC37" i="1"/>
  <c r="BC58" i="1"/>
  <c r="BI37" i="1"/>
  <c r="BM87" i="1"/>
  <c r="AW75" i="1"/>
  <c r="AW68" i="1"/>
  <c r="BC68" i="1"/>
  <c r="AM50" i="1"/>
  <c r="BG50" i="1"/>
  <c r="AM86" i="1"/>
  <c r="BD58" i="1"/>
  <c r="AL25" i="1"/>
  <c r="AR75" i="1"/>
  <c r="BD68" i="1"/>
  <c r="BD37" i="1"/>
  <c r="BB87" i="1"/>
  <c r="AM49" i="1"/>
  <c r="AK87" i="1"/>
  <c r="AL68" i="1"/>
  <c r="AR38" i="1"/>
  <c r="AP38" i="1"/>
  <c r="AL49" i="1"/>
  <c r="BG58" i="1"/>
  <c r="BI58" i="1"/>
  <c r="BI25" i="1"/>
  <c r="AM76" i="1"/>
  <c r="AJ76" i="1"/>
  <c r="AJ68" i="1"/>
  <c r="AJ50" i="1"/>
  <c r="AV87" i="1"/>
  <c r="AJ58" i="1"/>
  <c r="AL58" i="1"/>
  <c r="AM58" i="1"/>
  <c r="AX86" i="1"/>
  <c r="AU86" i="1"/>
  <c r="BN68" i="1"/>
  <c r="AP76" i="1"/>
  <c r="BD38" i="1"/>
  <c r="AX37" i="1"/>
  <c r="AU37" i="1"/>
  <c r="AQ87" i="1"/>
  <c r="BG68" i="1"/>
  <c r="BI68" i="1"/>
  <c r="AP25" i="1"/>
  <c r="AR25" i="1"/>
  <c r="AJ25" i="1"/>
  <c r="AM25" i="1"/>
  <c r="BJ87" i="1"/>
  <c r="BK15" i="1"/>
  <c r="AP37" i="1"/>
  <c r="AR37" i="1"/>
  <c r="BN86" i="1"/>
  <c r="AP68" i="1"/>
  <c r="AR68" i="1"/>
  <c r="AM68" i="1"/>
  <c r="BN49" i="1"/>
  <c r="AP58" i="1"/>
  <c r="AR58" i="1"/>
  <c r="BA86" i="1"/>
  <c r="BD86" i="1"/>
  <c r="BA79" i="1"/>
  <c r="BG49" i="1"/>
  <c r="BI49" i="1"/>
  <c r="AM26" i="1"/>
  <c r="AJ26" i="1"/>
  <c r="AR16" i="1"/>
  <c r="AP16" i="1"/>
  <c r="AH87" i="1"/>
  <c r="AI87" i="1" s="1"/>
  <c r="AI15" i="1"/>
  <c r="AL15" i="1" s="1"/>
  <c r="BA16" i="1"/>
  <c r="BD16" i="1"/>
  <c r="AU79" i="1"/>
  <c r="BG69" i="1"/>
  <c r="BI69" i="1"/>
  <c r="AM75" i="1"/>
  <c r="AJ75" i="1"/>
  <c r="BA5" i="1"/>
  <c r="BD5" i="1"/>
  <c r="BH87" i="1"/>
  <c r="AP15" i="1"/>
  <c r="AR15" i="1"/>
  <c r="AP80" i="1"/>
  <c r="AR80" i="1"/>
  <c r="AU75" i="1"/>
  <c r="AX75" i="1"/>
  <c r="AX58" i="1"/>
  <c r="AU58" i="1"/>
  <c r="BN58" i="1"/>
  <c r="BG59" i="1"/>
  <c r="BI59" i="1"/>
  <c r="BN25" i="1"/>
  <c r="AT15" i="1"/>
  <c r="AW15" i="1" s="1"/>
  <c r="BE87" i="1"/>
  <c r="BF87" i="1" s="1"/>
  <c r="BF15" i="1"/>
  <c r="BD15" i="1"/>
  <c r="BA15" i="1"/>
  <c r="AR86" i="1"/>
  <c r="AP86" i="1"/>
  <c r="BD75" i="1"/>
  <c r="BA75" i="1"/>
  <c r="BI86" i="1"/>
  <c r="BG86" i="1"/>
  <c r="AU68" i="1"/>
  <c r="AX68" i="1"/>
  <c r="AP50" i="1"/>
  <c r="AR50" i="1"/>
  <c r="BN37" i="1"/>
  <c r="AP79" i="1"/>
  <c r="AX25" i="1"/>
  <c r="AU25" i="1"/>
  <c r="AM5" i="1"/>
  <c r="AJ5" i="1"/>
  <c r="AM69" i="1"/>
  <c r="AJ69" i="1"/>
  <c r="AY87" i="1"/>
  <c r="AZ87" i="1" s="1"/>
  <c r="BN80" i="1"/>
  <c r="BN75" i="1"/>
  <c r="AR59" i="1"/>
  <c r="AP59" i="1"/>
  <c r="BN50" i="1"/>
  <c r="BN38" i="1"/>
  <c r="AU49" i="1"/>
  <c r="AX49" i="1"/>
  <c r="BA80" i="1"/>
  <c r="BD80" i="1"/>
  <c r="BA77" i="1"/>
  <c r="AJ37" i="1"/>
  <c r="AM37" i="1"/>
  <c r="BD49" i="1"/>
  <c r="BA49" i="1"/>
  <c r="AU26" i="1"/>
  <c r="AX26" i="1"/>
  <c r="BA25" i="1"/>
  <c r="BD25" i="1"/>
  <c r="AU76" i="1"/>
  <c r="BG75" i="1"/>
  <c r="BI75" i="1"/>
  <c r="AP10" i="1"/>
  <c r="AR10" i="1"/>
  <c r="AN87" i="1"/>
  <c r="AO87" i="1" s="1"/>
  <c r="BK87" i="1" l="1"/>
  <c r="BL87" i="1" s="1"/>
  <c r="BL15" i="1"/>
  <c r="AW87" i="1"/>
  <c r="BC87" i="1"/>
  <c r="BA87" i="1"/>
  <c r="BD87" i="1"/>
  <c r="AX87" i="1"/>
  <c r="AU87" i="1"/>
  <c r="BN87" i="1"/>
  <c r="BG15" i="1"/>
  <c r="BI15" i="1"/>
  <c r="BI87" i="1"/>
  <c r="BG87" i="1"/>
  <c r="AJ15" i="1"/>
  <c r="AM15" i="1"/>
  <c r="AR87" i="1"/>
  <c r="AP87" i="1"/>
  <c r="AX15" i="1"/>
  <c r="AU15" i="1"/>
  <c r="AJ87" i="1"/>
  <c r="AM87" i="1"/>
  <c r="BN15" i="1"/>
</calcChain>
</file>

<file path=xl/sharedStrings.xml><?xml version="1.0" encoding="utf-8"?>
<sst xmlns="http://schemas.openxmlformats.org/spreadsheetml/2006/main" count="687" uniqueCount="150">
  <si>
    <t>2026年国际市场运营系统上半年预计签排发数量</t>
  </si>
  <si>
    <t>报表日期：</t>
  </si>
  <si>
    <t>2026-04-28</t>
  </si>
  <si>
    <t>序号</t>
  </si>
  <si>
    <t>模块类型</t>
  </si>
  <si>
    <t>模块</t>
  </si>
  <si>
    <t>1-4月新签梯量</t>
  </si>
  <si>
    <t>1-4月新签金额</t>
  </si>
  <si>
    <t>1-4月排产台</t>
  </si>
  <si>
    <t>1-4月排产额</t>
  </si>
  <si>
    <t>1-4月发货台</t>
  </si>
  <si>
    <t>1-4月发货额</t>
  </si>
  <si>
    <t>预计上半年签单</t>
  </si>
  <si>
    <t>预计上半年排产</t>
  </si>
  <si>
    <t>预计上半年发货</t>
  </si>
  <si>
    <t>指标</t>
  </si>
  <si>
    <t>完成</t>
  </si>
  <si>
    <t>完成比</t>
  </si>
  <si>
    <t>去年同期</t>
  </si>
  <si>
    <t>增长比</t>
  </si>
  <si>
    <t>5-6月台数</t>
  </si>
  <si>
    <t>上半年台数合计</t>
  </si>
  <si>
    <t>5-6月合同额</t>
  </si>
  <si>
    <t>上半年合同额合计</t>
  </si>
  <si>
    <t>上半年排产额合计</t>
  </si>
  <si>
    <t>A</t>
  </si>
  <si>
    <t>俄罗斯（中部）</t>
  </si>
  <si>
    <t>俄罗斯（西部）</t>
  </si>
  <si>
    <t>俄罗斯（东部）</t>
  </si>
  <si>
    <t>罗斯托夫</t>
  </si>
  <si>
    <t>哈巴</t>
  </si>
  <si>
    <t>B</t>
  </si>
  <si>
    <t>俄罗斯（中南）</t>
  </si>
  <si>
    <t>俄罗斯（西南）</t>
  </si>
  <si>
    <t>C</t>
  </si>
  <si>
    <t>莫斯科</t>
  </si>
  <si>
    <t>叶卡</t>
  </si>
  <si>
    <t>新西</t>
  </si>
  <si>
    <t>俄罗斯合计</t>
  </si>
  <si>
    <t>D</t>
  </si>
  <si>
    <t>朝鲜-韩国</t>
  </si>
  <si>
    <t>新加坡市政会</t>
  </si>
  <si>
    <t>新加坡HDB</t>
  </si>
  <si>
    <t>泰国</t>
  </si>
  <si>
    <t>泰国2</t>
  </si>
  <si>
    <t>金三角</t>
  </si>
  <si>
    <t>马来西亚</t>
  </si>
  <si>
    <t>马尔代夫</t>
  </si>
  <si>
    <t>香港-台湾</t>
  </si>
  <si>
    <t>亚洲1合计</t>
  </si>
  <si>
    <t>越南-2</t>
  </si>
  <si>
    <t>印度公建</t>
  </si>
  <si>
    <t>巴基斯坦</t>
  </si>
  <si>
    <t>孟加拉-1</t>
  </si>
  <si>
    <t>澳大利亚</t>
  </si>
  <si>
    <t>菲律宾</t>
  </si>
  <si>
    <t>印尼-1</t>
  </si>
  <si>
    <t>越南-1（工厂）</t>
  </si>
  <si>
    <t>印度私营</t>
  </si>
  <si>
    <t>菲律宾-2</t>
  </si>
  <si>
    <t>印尼-2</t>
  </si>
  <si>
    <t>亚洲2合计</t>
  </si>
  <si>
    <t>阿联酋-2</t>
  </si>
  <si>
    <t>沙特工厂</t>
  </si>
  <si>
    <t>沙特-1</t>
  </si>
  <si>
    <t>科威特</t>
  </si>
  <si>
    <t>阿联酋-1</t>
  </si>
  <si>
    <t>卡塔尔</t>
  </si>
  <si>
    <t>伊拉克</t>
  </si>
  <si>
    <t>巴勒斯坦</t>
  </si>
  <si>
    <t>阿联酋3</t>
  </si>
  <si>
    <t>伊朗+阿曼</t>
  </si>
  <si>
    <t>中东合计</t>
  </si>
  <si>
    <t>蒙古</t>
  </si>
  <si>
    <t>哈萨克斯坦-1</t>
  </si>
  <si>
    <t>塔吉克/哈萨克斯坦-2</t>
  </si>
  <si>
    <t>哈萨克斯坦-3</t>
  </si>
  <si>
    <t>乌兹别克斯坦</t>
  </si>
  <si>
    <t>吉尔吉斯斯坦</t>
  </si>
  <si>
    <t>阿塞拜疆</t>
  </si>
  <si>
    <t>格鲁吉亚</t>
  </si>
  <si>
    <t>中亚合计</t>
  </si>
  <si>
    <t>墨西哥-1</t>
  </si>
  <si>
    <t>墨西哥-2</t>
  </si>
  <si>
    <t>秘鲁</t>
  </si>
  <si>
    <t>智利</t>
  </si>
  <si>
    <t>加勒比海</t>
  </si>
  <si>
    <t>多米尼加</t>
  </si>
  <si>
    <t>哥伦比亚</t>
  </si>
  <si>
    <t>秘鲁2</t>
  </si>
  <si>
    <t>巴西</t>
  </si>
  <si>
    <t>美洲合计</t>
  </si>
  <si>
    <t>埃及-1</t>
  </si>
  <si>
    <t>埃及-2</t>
  </si>
  <si>
    <t>肯尼亚/坦桑尼亚</t>
  </si>
  <si>
    <t>尼日利亚/埃塞俄比亚</t>
  </si>
  <si>
    <t>非洲法语区</t>
  </si>
  <si>
    <t>南非/安格拉</t>
  </si>
  <si>
    <t>非洲合计</t>
  </si>
  <si>
    <t>德国西班牙</t>
  </si>
  <si>
    <t>东欧</t>
  </si>
  <si>
    <t>英国意大利</t>
  </si>
  <si>
    <t>欧洲合计</t>
  </si>
  <si>
    <t>商贸1</t>
  </si>
  <si>
    <t>商贸2</t>
  </si>
  <si>
    <t>商贸3</t>
  </si>
  <si>
    <t>配件-1</t>
  </si>
  <si>
    <t>配件-2</t>
  </si>
  <si>
    <t>改造</t>
  </si>
  <si>
    <t>-</t>
  </si>
  <si>
    <t>商贸配件合计</t>
  </si>
  <si>
    <t>全国贸合计</t>
  </si>
  <si>
    <t>预计5月签单</t>
  </si>
  <si>
    <t>预计5月排产</t>
  </si>
  <si>
    <t>预计5月发货</t>
  </si>
  <si>
    <t>5月台数</t>
  </si>
  <si>
    <t>1-5月台数合计</t>
  </si>
  <si>
    <t>5月合同额</t>
  </si>
  <si>
    <t>1-5月合同额合计</t>
  </si>
  <si>
    <t>1-5月排产额合计</t>
  </si>
  <si>
    <t>2026年上半年预计排产发货数量</t>
  </si>
  <si>
    <t>上半年台数</t>
    <phoneticPr fontId="7" type="noConversion"/>
  </si>
  <si>
    <t>增长额</t>
    <phoneticPr fontId="7" type="noConversion"/>
  </si>
  <si>
    <t>增长额</t>
    <phoneticPr fontId="7" type="noConversion"/>
  </si>
  <si>
    <t>上半年台数</t>
  </si>
  <si>
    <t>上半年排产额</t>
  </si>
  <si>
    <t>上半年排产额</t>
    <phoneticPr fontId="8" type="noConversion"/>
  </si>
  <si>
    <t>上半年台数</t>
    <phoneticPr fontId="8" type="noConversion"/>
  </si>
  <si>
    <t>上半年合同额</t>
  </si>
  <si>
    <t>上半年合同额</t>
    <phoneticPr fontId="8" type="noConversion"/>
  </si>
  <si>
    <t>预计上半年发货台数</t>
  </si>
  <si>
    <t>预计上半年发货台数</t>
    <phoneticPr fontId="8" type="noConversion"/>
  </si>
  <si>
    <t>预计上半年发货量</t>
  </si>
  <si>
    <t>预计上半年发货量</t>
    <phoneticPr fontId="8" type="noConversion"/>
  </si>
  <si>
    <t>预计上半年排产台数</t>
  </si>
  <si>
    <t>预计上半年排产台数</t>
    <phoneticPr fontId="8" type="noConversion"/>
  </si>
  <si>
    <t>预计上半年排产额</t>
  </si>
  <si>
    <t>预计上半年排产额</t>
    <phoneticPr fontId="8" type="noConversion"/>
  </si>
  <si>
    <t>区域</t>
    <phoneticPr fontId="8" type="noConversion"/>
  </si>
  <si>
    <t>俄罗斯</t>
    <phoneticPr fontId="8" type="noConversion"/>
  </si>
  <si>
    <t>亚洲1</t>
    <phoneticPr fontId="8" type="noConversion"/>
  </si>
  <si>
    <t>亚洲2</t>
    <phoneticPr fontId="8" type="noConversion"/>
  </si>
  <si>
    <t>中东</t>
    <phoneticPr fontId="8" type="noConversion"/>
  </si>
  <si>
    <t>中亚</t>
    <phoneticPr fontId="8" type="noConversion"/>
  </si>
  <si>
    <t>美洲</t>
    <phoneticPr fontId="8" type="noConversion"/>
  </si>
  <si>
    <t>非洲</t>
    <phoneticPr fontId="8" type="noConversion"/>
  </si>
  <si>
    <t>欧洲</t>
    <phoneticPr fontId="8" type="noConversion"/>
  </si>
  <si>
    <t>商贸配件</t>
    <phoneticPr fontId="8" type="noConversion"/>
  </si>
  <si>
    <t>合计</t>
    <phoneticPr fontId="8" type="noConversion"/>
  </si>
  <si>
    <t>5月合同额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</si>
</sst>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_ "/>
    <numFmt numFmtId="177" formatCode="0.0%"/>
    <numFmt numFmtId="178" formatCode="0_);[Red]\(0\)"/>
  </numFmts>
  <fonts count="10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4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sz val="11"/>
      <color rgb="FFFFFFFF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3B82F6"/>
        <bgColor rgb="FF3B82F6"/>
      </patternFill>
    </fill>
    <fill>
      <patternFill patternType="solid">
        <fgColor rgb="FF00B050"/>
        <bgColor indexed="64"/>
      </patternFill>
    </fill>
    <fill>
      <patternFill patternType="solid">
        <fgColor rgb="FF60A5FA"/>
        <bgColor rgb="FF60A5FA"/>
      </patternFill>
    </fill>
    <fill>
      <patternFill patternType="solid">
        <fgColor theme="9"/>
        <bgColor rgb="FF60A5FA"/>
      </patternFill>
    </fill>
    <fill>
      <patternFill patternType="solid">
        <fgColor rgb="FF00B050"/>
        <bgColor rgb="FF60A5FA"/>
      </patternFill>
    </fill>
    <fill>
      <patternFill patternType="solid">
        <fgColor theme="2"/>
        <bgColor rgb="FFFEF3C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>
      <alignment vertical="center"/>
    </xf>
  </cellStyleXfs>
  <cellXfs count="106">
    <xf numFmtId="0" fontId="0" fillId="0" borderId="0" xfId="0"/>
    <xf numFmtId="0" fontId="0" fillId="0" borderId="1" xfId="0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9" fontId="0" fillId="0" borderId="1" xfId="1" applyFont="1" applyFill="1" applyBorder="1" applyAlignment="1">
      <alignment horizontal="center" vertical="center" wrapText="1"/>
    </xf>
    <xf numFmtId="0" fontId="0" fillId="2" borderId="0" xfId="0" applyFill="1"/>
    <xf numFmtId="176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3" fontId="0" fillId="0" borderId="1" xfId="0" applyNumberFormat="1" applyBorder="1"/>
    <xf numFmtId="9" fontId="0" fillId="0" borderId="1" xfId="1" applyFont="1" applyBorder="1" applyAlignment="1"/>
    <xf numFmtId="0" fontId="0" fillId="0" borderId="1" xfId="1" applyNumberFormat="1" applyFont="1" applyBorder="1" applyAlignment="1"/>
    <xf numFmtId="176" fontId="0" fillId="0" borderId="1" xfId="0" applyNumberFormat="1" applyBorder="1"/>
    <xf numFmtId="176" fontId="0" fillId="0" borderId="1" xfId="1" applyNumberFormat="1" applyFont="1" applyBorder="1" applyAlignment="1"/>
    <xf numFmtId="3" fontId="0" fillId="8" borderId="1" xfId="0" applyNumberFormat="1" applyFill="1" applyBorder="1" applyAlignment="1">
      <alignment horizontal="right" vertical="center"/>
    </xf>
    <xf numFmtId="177" fontId="0" fillId="8" borderId="1" xfId="0" applyNumberFormat="1" applyFill="1" applyBorder="1" applyAlignment="1">
      <alignment horizontal="right" vertical="center"/>
    </xf>
    <xf numFmtId="10" fontId="0" fillId="2" borderId="1" xfId="0" applyNumberFormat="1" applyFill="1" applyBorder="1" applyAlignment="1">
      <alignment horizontal="right" vertical="center"/>
    </xf>
    <xf numFmtId="3" fontId="0" fillId="2" borderId="1" xfId="0" applyNumberFormat="1" applyFill="1" applyBorder="1"/>
    <xf numFmtId="9" fontId="0" fillId="2" borderId="1" xfId="1" applyFont="1" applyFill="1" applyBorder="1" applyAlignment="1"/>
    <xf numFmtId="0" fontId="0" fillId="0" borderId="0" xfId="0" applyNumberFormat="1"/>
    <xf numFmtId="0" fontId="2" fillId="0" borderId="0" xfId="0" applyNumberFormat="1" applyFont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Fill="1" applyBorder="1" applyAlignment="1">
      <alignment horizontal="right" vertical="center"/>
    </xf>
    <xf numFmtId="0" fontId="0" fillId="0" borderId="1" xfId="0" applyNumberFormat="1" applyBorder="1"/>
    <xf numFmtId="0" fontId="0" fillId="8" borderId="1" xfId="0" applyNumberFormat="1" applyFill="1" applyBorder="1" applyAlignment="1">
      <alignment horizontal="right" vertical="center"/>
    </xf>
    <xf numFmtId="176" fontId="0" fillId="8" borderId="1" xfId="0" applyNumberFormat="1" applyFill="1" applyBorder="1" applyAlignment="1">
      <alignment horizontal="right" vertical="center"/>
    </xf>
    <xf numFmtId="3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1" xfId="0" applyBorder="1"/>
    <xf numFmtId="1" fontId="0" fillId="8" borderId="1" xfId="0" applyNumberFormat="1" applyFill="1" applyBorder="1" applyAlignment="1">
      <alignment horizontal="right" vertical="center"/>
    </xf>
    <xf numFmtId="177" fontId="0" fillId="2" borderId="1" xfId="0" applyNumberFormat="1" applyFill="1" applyBorder="1" applyAlignment="1">
      <alignment horizontal="right" vertical="center"/>
    </xf>
    <xf numFmtId="1" fontId="0" fillId="0" borderId="1" xfId="0" applyNumberFormat="1" applyBorder="1"/>
    <xf numFmtId="0" fontId="0" fillId="9" borderId="1" xfId="0" applyFill="1" applyBorder="1"/>
    <xf numFmtId="9" fontId="0" fillId="9" borderId="1" xfId="1" applyFont="1" applyFill="1" applyBorder="1" applyAlignment="1"/>
    <xf numFmtId="1" fontId="0" fillId="9" borderId="1" xfId="0" applyNumberFormat="1" applyFill="1" applyBorder="1"/>
    <xf numFmtId="0" fontId="0" fillId="10" borderId="1" xfId="0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right" vertical="center"/>
    </xf>
    <xf numFmtId="9" fontId="0" fillId="0" borderId="1" xfId="0" applyNumberFormat="1" applyFill="1" applyBorder="1" applyAlignment="1">
      <alignment horizontal="right" vertical="center"/>
    </xf>
    <xf numFmtId="9" fontId="0" fillId="2" borderId="1" xfId="0" applyNumberFormat="1" applyFill="1" applyBorder="1" applyAlignment="1">
      <alignment horizontal="right" vertical="center"/>
    </xf>
    <xf numFmtId="177" fontId="0" fillId="0" borderId="0" xfId="0" applyNumberFormat="1"/>
    <xf numFmtId="177" fontId="0" fillId="11" borderId="1" xfId="0" applyNumberFormat="1" applyFill="1" applyBorder="1" applyAlignment="1">
      <alignment horizontal="right" vertical="center"/>
    </xf>
    <xf numFmtId="10" fontId="0" fillId="11" borderId="1" xfId="0" applyNumberFormat="1" applyFill="1" applyBorder="1" applyAlignment="1">
      <alignment horizontal="right" vertical="center"/>
    </xf>
    <xf numFmtId="9" fontId="0" fillId="11" borderId="1" xfId="0" applyNumberFormat="1" applyFill="1" applyBorder="1" applyAlignment="1">
      <alignment horizontal="right" vertical="center"/>
    </xf>
    <xf numFmtId="3" fontId="0" fillId="0" borderId="0" xfId="0" applyNumberFormat="1"/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right" vertical="center"/>
    </xf>
    <xf numFmtId="0" fontId="0" fillId="0" borderId="1" xfId="0" applyFill="1" applyBorder="1"/>
    <xf numFmtId="3" fontId="0" fillId="0" borderId="1" xfId="0" applyNumberFormat="1" applyFill="1" applyBorder="1"/>
    <xf numFmtId="9" fontId="0" fillId="0" borderId="1" xfId="1" applyFont="1" applyFill="1" applyBorder="1" applyAlignment="1"/>
    <xf numFmtId="176" fontId="0" fillId="0" borderId="1" xfId="1" applyNumberFormat="1" applyFont="1" applyFill="1" applyBorder="1" applyAlignment="1"/>
    <xf numFmtId="178" fontId="9" fillId="0" borderId="1" xfId="0" applyNumberFormat="1" applyFont="1" applyFill="1" applyBorder="1"/>
    <xf numFmtId="176" fontId="0" fillId="0" borderId="1" xfId="0" applyNumberFormat="1" applyFill="1" applyBorder="1"/>
    <xf numFmtId="0" fontId="0" fillId="0" borderId="1" xfId="0" applyNumberFormat="1" applyFill="1" applyBorder="1"/>
    <xf numFmtId="9" fontId="0" fillId="0" borderId="1" xfId="0" applyNumberFormat="1" applyFill="1" applyBorder="1"/>
    <xf numFmtId="3" fontId="0" fillId="0" borderId="1" xfId="1" applyNumberFormat="1" applyFont="1" applyFill="1" applyBorder="1" applyAlignment="1"/>
    <xf numFmtId="3" fontId="0" fillId="0" borderId="1" xfId="0" applyNumberFormat="1" applyFill="1" applyBorder="1" applyAlignment="1">
      <alignment horizontal="center" vertical="center"/>
    </xf>
    <xf numFmtId="3" fontId="0" fillId="0" borderId="1" xfId="1" applyNumberFormat="1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1" xfId="1" applyNumberFormat="1" applyFon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right" vertical="center"/>
    </xf>
    <xf numFmtId="177" fontId="0" fillId="9" borderId="1" xfId="0" applyNumberFormat="1" applyFill="1" applyBorder="1" applyAlignment="1">
      <alignment horizontal="right" vertical="center"/>
    </xf>
    <xf numFmtId="10" fontId="0" fillId="9" borderId="1" xfId="0" applyNumberFormat="1" applyFill="1" applyBorder="1" applyAlignment="1">
      <alignment horizontal="right" vertical="center"/>
    </xf>
    <xf numFmtId="3" fontId="0" fillId="9" borderId="1" xfId="0" applyNumberFormat="1" applyFill="1" applyBorder="1"/>
    <xf numFmtId="0" fontId="0" fillId="9" borderId="1" xfId="0" applyNumberFormat="1" applyFill="1" applyBorder="1" applyAlignment="1">
      <alignment horizontal="right" vertical="center"/>
    </xf>
    <xf numFmtId="176" fontId="0" fillId="9" borderId="1" xfId="1" applyNumberFormat="1" applyFont="1" applyFill="1" applyBorder="1" applyAlignment="1"/>
    <xf numFmtId="9" fontId="0" fillId="9" borderId="1" xfId="0" applyNumberFormat="1" applyFill="1" applyBorder="1" applyAlignment="1">
      <alignment horizontal="right" vertical="center"/>
    </xf>
    <xf numFmtId="3" fontId="0" fillId="9" borderId="1" xfId="1" applyNumberFormat="1" applyFont="1" applyFill="1" applyBorder="1" applyAlignment="1"/>
    <xf numFmtId="9" fontId="0" fillId="9" borderId="1" xfId="0" applyNumberFormat="1" applyFill="1" applyBorder="1"/>
    <xf numFmtId="0" fontId="0" fillId="9" borderId="0" xfId="0" applyFill="1"/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2026&#24180;&#21512;&#21516;&#23436;&#25104;&#24773;&#20917;&#34920;&#26356;&#26032;&#29256;&#21435;&#24180;5&#26376;6&#26376;&#29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2026&#24180;5-6&#26376;&#22269;&#36152;&#38144;&#21806;&#35745;&#21010;&#25253;&#34920;&#27719;&#24635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R"/>
      <sheetName val="ORACLE"/>
      <sheetName val="ORALC链接模板"/>
      <sheetName val="Sheet2"/>
      <sheetName val="Sheet1"/>
      <sheetName val="Sheet4"/>
      <sheetName val="Sheet5"/>
      <sheetName val="Sheet6"/>
      <sheetName val="九大区汇总"/>
      <sheetName val="完成表"/>
      <sheetName val="Sheet9"/>
      <sheetName val="Sheet3"/>
      <sheetName val="国家对区域"/>
      <sheetName val="Sheet7"/>
      <sheetName val="打印"/>
      <sheetName val="Sheet10"/>
      <sheetName val="两年对比终版"/>
      <sheetName val="两年对比核对版"/>
      <sheetName val="指标"/>
      <sheetName val="国家对区域十二"/>
      <sheetName val="三年对比"/>
      <sheetName val="兵团"/>
      <sheetName val="大台账"/>
      <sheetName val="2025签订"/>
      <sheetName val="改造"/>
      <sheetName val="2026签订"/>
      <sheetName val="2025年排产"/>
      <sheetName val="2026年排产"/>
      <sheetName val="2025发货"/>
      <sheetName val="2026发货"/>
      <sheetName val="25年回款"/>
      <sheetName val="26年回款"/>
      <sheetName val="排产未发货"/>
      <sheetName val="安装"/>
      <sheetName val="Sheet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国贸签订、排产、发货两年对比</v>
          </cell>
        </row>
        <row r="3">
          <cell r="A3" t="str">
            <v>模块</v>
          </cell>
          <cell r="B3" t="str">
            <v>市场类别</v>
          </cell>
          <cell r="C3" t="str">
            <v>签订台数</v>
          </cell>
          <cell r="F3" t="str">
            <v>签订额    
 （万元）</v>
          </cell>
          <cell r="I3" t="str">
            <v>海外差额</v>
          </cell>
          <cell r="K3" t="str">
            <v>签订额合计</v>
          </cell>
          <cell r="N3" t="str">
            <v>排产台数</v>
          </cell>
          <cell r="Q3" t="str">
            <v>排产额</v>
          </cell>
          <cell r="T3" t="str">
            <v>发货台数</v>
          </cell>
          <cell r="W3" t="str">
            <v>发货额</v>
          </cell>
        </row>
        <row r="4">
          <cell r="C4">
            <v>2025</v>
          </cell>
          <cell r="D4">
            <v>2026</v>
          </cell>
          <cell r="E4" t="str">
            <v>增长比例</v>
          </cell>
          <cell r="F4">
            <v>2025</v>
          </cell>
          <cell r="G4">
            <v>2026</v>
          </cell>
          <cell r="H4" t="str">
            <v>增长比例</v>
          </cell>
          <cell r="I4">
            <v>2025</v>
          </cell>
          <cell r="J4">
            <v>2026</v>
          </cell>
          <cell r="K4">
            <v>2025</v>
          </cell>
          <cell r="L4">
            <v>2026</v>
          </cell>
          <cell r="M4" t="str">
            <v>增长比例</v>
          </cell>
          <cell r="N4">
            <v>2025</v>
          </cell>
          <cell r="O4">
            <v>2026</v>
          </cell>
          <cell r="P4" t="str">
            <v>增长比例</v>
          </cell>
          <cell r="Q4">
            <v>2025</v>
          </cell>
          <cell r="R4">
            <v>2026</v>
          </cell>
          <cell r="S4" t="str">
            <v>增长比例</v>
          </cell>
          <cell r="T4">
            <v>2025</v>
          </cell>
          <cell r="U4">
            <v>2026</v>
          </cell>
          <cell r="V4" t="str">
            <v>增长比例</v>
          </cell>
          <cell r="W4">
            <v>2025</v>
          </cell>
        </row>
        <row r="5">
          <cell r="A5" t="str">
            <v>俄罗斯（中部）</v>
          </cell>
          <cell r="B5" t="str">
            <v>A</v>
          </cell>
          <cell r="C5">
            <v>714</v>
          </cell>
          <cell r="D5">
            <v>429</v>
          </cell>
          <cell r="E5">
            <v>-0.39915966386554602</v>
          </cell>
          <cell r="F5">
            <v>12648.62736</v>
          </cell>
          <cell r="G5">
            <v>8320.51</v>
          </cell>
          <cell r="H5">
            <v>-0.34218079454907802</v>
          </cell>
          <cell r="K5">
            <v>12648.62736</v>
          </cell>
          <cell r="L5">
            <v>8320.51</v>
          </cell>
          <cell r="M5">
            <v>-0.34218079454907802</v>
          </cell>
          <cell r="N5">
            <v>371</v>
          </cell>
          <cell r="O5">
            <v>291</v>
          </cell>
          <cell r="P5">
            <v>-0.215633423180593</v>
          </cell>
          <cell r="Q5">
            <v>6707.2803599999997</v>
          </cell>
          <cell r="R5">
            <v>5446.15</v>
          </cell>
          <cell r="S5">
            <v>-0.188024101023265</v>
          </cell>
          <cell r="T5">
            <v>223</v>
          </cell>
          <cell r="U5">
            <v>166</v>
          </cell>
          <cell r="V5">
            <v>-0.25560538116591902</v>
          </cell>
          <cell r="W5">
            <v>4120.0565999999999</v>
          </cell>
        </row>
        <row r="6">
          <cell r="A6" t="str">
            <v>俄罗斯（西部）</v>
          </cell>
          <cell r="B6" t="str">
            <v>A</v>
          </cell>
          <cell r="C6">
            <v>500</v>
          </cell>
          <cell r="D6">
            <v>289</v>
          </cell>
          <cell r="E6">
            <v>-0.42199999999999999</v>
          </cell>
          <cell r="F6">
            <v>9367.9865399999999</v>
          </cell>
          <cell r="G6">
            <v>7186.16</v>
          </cell>
          <cell r="H6">
            <v>-0.232902399110407</v>
          </cell>
          <cell r="K6">
            <v>9367.9865399999999</v>
          </cell>
          <cell r="L6">
            <v>7186.16</v>
          </cell>
          <cell r="M6">
            <v>-0.232902399110407</v>
          </cell>
          <cell r="N6">
            <v>207</v>
          </cell>
          <cell r="O6">
            <v>179</v>
          </cell>
          <cell r="P6">
            <v>-0.135265700483092</v>
          </cell>
          <cell r="Q6">
            <v>4230.2511999999997</v>
          </cell>
          <cell r="R6">
            <v>2931.35</v>
          </cell>
          <cell r="S6">
            <v>-0.30705060730199701</v>
          </cell>
          <cell r="T6">
            <v>121</v>
          </cell>
          <cell r="U6">
            <v>175</v>
          </cell>
          <cell r="V6">
            <v>0.44628099173553698</v>
          </cell>
          <cell r="W6">
            <v>2814.2512000000002</v>
          </cell>
        </row>
        <row r="7">
          <cell r="A7" t="str">
            <v>俄罗斯（东部）</v>
          </cell>
          <cell r="B7" t="str">
            <v>A</v>
          </cell>
          <cell r="C7">
            <v>446</v>
          </cell>
          <cell r="D7">
            <v>193</v>
          </cell>
          <cell r="E7">
            <v>-0.56726457399103103</v>
          </cell>
          <cell r="F7">
            <v>6485.9782999999998</v>
          </cell>
          <cell r="G7">
            <v>3691.48</v>
          </cell>
          <cell r="H7">
            <v>-0.43085224321518301</v>
          </cell>
          <cell r="K7">
            <v>6485.9782999999998</v>
          </cell>
          <cell r="L7">
            <v>3691.48</v>
          </cell>
          <cell r="M7">
            <v>-0.43085224321518301</v>
          </cell>
          <cell r="N7">
            <v>126</v>
          </cell>
          <cell r="O7">
            <v>75</v>
          </cell>
          <cell r="P7">
            <v>-0.40476190476190499</v>
          </cell>
          <cell r="Q7">
            <v>1887.3783000000001</v>
          </cell>
          <cell r="R7">
            <v>978.14</v>
          </cell>
          <cell r="S7">
            <v>-0.48174671712607903</v>
          </cell>
          <cell r="T7">
            <v>125</v>
          </cell>
          <cell r="U7">
            <v>49</v>
          </cell>
          <cell r="V7">
            <v>-0.60799999999999998</v>
          </cell>
          <cell r="W7">
            <v>1964.9377999999999</v>
          </cell>
        </row>
        <row r="8">
          <cell r="A8" t="str">
            <v>罗斯托夫</v>
          </cell>
          <cell r="B8" t="str">
            <v>A</v>
          </cell>
          <cell r="C8">
            <v>0</v>
          </cell>
          <cell r="D8">
            <v>39</v>
          </cell>
          <cell r="E8" t="e">
            <v>#DIV/0!</v>
          </cell>
          <cell r="F8">
            <v>0</v>
          </cell>
          <cell r="G8">
            <v>867.42</v>
          </cell>
          <cell r="H8" t="e">
            <v>#DIV/0!</v>
          </cell>
          <cell r="K8">
            <v>0</v>
          </cell>
          <cell r="L8">
            <v>867.42</v>
          </cell>
          <cell r="M8" t="e">
            <v>#DIV/0!</v>
          </cell>
          <cell r="N8">
            <v>0</v>
          </cell>
          <cell r="O8">
            <v>10</v>
          </cell>
          <cell r="P8" t="e">
            <v>#DIV/0!</v>
          </cell>
          <cell r="Q8">
            <v>0</v>
          </cell>
          <cell r="R8">
            <v>102.4</v>
          </cell>
          <cell r="S8" t="e">
            <v>#DIV/0!</v>
          </cell>
          <cell r="T8">
            <v>0</v>
          </cell>
          <cell r="U8">
            <v>10</v>
          </cell>
          <cell r="V8" t="e">
            <v>#DIV/0!</v>
          </cell>
          <cell r="W8">
            <v>0</v>
          </cell>
        </row>
        <row r="9">
          <cell r="A9" t="str">
            <v>哈巴</v>
          </cell>
          <cell r="B9" t="str">
            <v>A</v>
          </cell>
          <cell r="C9">
            <v>0</v>
          </cell>
          <cell r="D9">
            <v>89</v>
          </cell>
          <cell r="E9" t="e">
            <v>#DIV/0!</v>
          </cell>
          <cell r="F9">
            <v>0</v>
          </cell>
          <cell r="G9">
            <v>946.58550000000002</v>
          </cell>
          <cell r="H9" t="e">
            <v>#DIV/0!</v>
          </cell>
          <cell r="K9">
            <v>0</v>
          </cell>
          <cell r="L9">
            <v>946.58550000000002</v>
          </cell>
          <cell r="M9" t="e">
            <v>#DIV/0!</v>
          </cell>
          <cell r="N9">
            <v>0</v>
          </cell>
          <cell r="O9">
            <v>43</v>
          </cell>
          <cell r="P9" t="e">
            <v>#DIV/0!</v>
          </cell>
          <cell r="Q9">
            <v>0</v>
          </cell>
          <cell r="R9">
            <v>456.9255</v>
          </cell>
          <cell r="S9" t="e">
            <v>#DIV/0!</v>
          </cell>
          <cell r="T9">
            <v>0</v>
          </cell>
          <cell r="U9">
            <v>18</v>
          </cell>
          <cell r="V9" t="e">
            <v>#DIV/0!</v>
          </cell>
          <cell r="W9">
            <v>0</v>
          </cell>
        </row>
        <row r="10">
          <cell r="A10" t="str">
            <v>俄罗斯（中南）</v>
          </cell>
          <cell r="B10" t="str">
            <v>B</v>
          </cell>
          <cell r="C10">
            <v>79</v>
          </cell>
          <cell r="D10">
            <v>15</v>
          </cell>
          <cell r="E10">
            <v>-0.810126582278481</v>
          </cell>
          <cell r="F10">
            <v>1044.9259999999999</v>
          </cell>
          <cell r="G10">
            <v>145.87</v>
          </cell>
          <cell r="H10">
            <v>-0.86040159781649606</v>
          </cell>
          <cell r="K10">
            <v>1044.9259999999999</v>
          </cell>
          <cell r="L10">
            <v>145.87</v>
          </cell>
          <cell r="M10">
            <v>-0.86040159781649606</v>
          </cell>
          <cell r="N10">
            <v>30</v>
          </cell>
          <cell r="O10">
            <v>6</v>
          </cell>
          <cell r="P10">
            <v>-0.8</v>
          </cell>
          <cell r="Q10">
            <v>487.23200000000003</v>
          </cell>
          <cell r="R10">
            <v>61.14</v>
          </cell>
          <cell r="S10">
            <v>-0.87451563115723097</v>
          </cell>
          <cell r="T10">
            <v>36</v>
          </cell>
          <cell r="U10">
            <v>9</v>
          </cell>
          <cell r="V10">
            <v>-0.75</v>
          </cell>
          <cell r="W10">
            <v>515.13199999999995</v>
          </cell>
        </row>
        <row r="11">
          <cell r="A11" t="str">
            <v>俄罗斯（西南）</v>
          </cell>
          <cell r="B11" t="str">
            <v>B</v>
          </cell>
          <cell r="C11">
            <v>415</v>
          </cell>
          <cell r="D11">
            <v>54</v>
          </cell>
          <cell r="E11">
            <v>-0.86987951807228903</v>
          </cell>
          <cell r="F11">
            <v>7818.7330000000002</v>
          </cell>
          <cell r="G11">
            <v>1317.06</v>
          </cell>
          <cell r="H11">
            <v>-0.83155071288404403</v>
          </cell>
          <cell r="K11">
            <v>7818.7330000000002</v>
          </cell>
          <cell r="L11">
            <v>1317.06</v>
          </cell>
          <cell r="M11">
            <v>-0.83155071288404403</v>
          </cell>
          <cell r="N11">
            <v>156</v>
          </cell>
          <cell r="O11">
            <v>26</v>
          </cell>
          <cell r="P11">
            <v>-0.83333333333333304</v>
          </cell>
          <cell r="Q11">
            <v>2594.4504999999999</v>
          </cell>
          <cell r="R11">
            <v>294.80311</v>
          </cell>
          <cell r="S11">
            <v>-0.88637165750512503</v>
          </cell>
          <cell r="T11">
            <v>108</v>
          </cell>
          <cell r="U11">
            <v>24</v>
          </cell>
          <cell r="V11">
            <v>-0.77777777777777801</v>
          </cell>
          <cell r="W11">
            <v>1970.7394999999999</v>
          </cell>
        </row>
        <row r="12">
          <cell r="A12" t="str">
            <v>莫斯科</v>
          </cell>
          <cell r="B12" t="str">
            <v>C</v>
          </cell>
          <cell r="C12">
            <v>0</v>
          </cell>
          <cell r="D12">
            <v>2</v>
          </cell>
          <cell r="E12" t="e">
            <v>#DIV/0!</v>
          </cell>
          <cell r="F12">
            <v>0</v>
          </cell>
          <cell r="G12">
            <v>22.84</v>
          </cell>
          <cell r="H12" t="e">
            <v>#DIV/0!</v>
          </cell>
          <cell r="K12">
            <v>0</v>
          </cell>
          <cell r="L12">
            <v>22.84</v>
          </cell>
          <cell r="M12" t="e">
            <v>#DIV/0!</v>
          </cell>
          <cell r="N12">
            <v>0</v>
          </cell>
          <cell r="O12">
            <v>2</v>
          </cell>
          <cell r="P12" t="e">
            <v>#DIV/0!</v>
          </cell>
          <cell r="Q12">
            <v>0</v>
          </cell>
          <cell r="R12">
            <v>22.84</v>
          </cell>
          <cell r="S12" t="e">
            <v>#DIV/0!</v>
          </cell>
          <cell r="T12">
            <v>0</v>
          </cell>
          <cell r="U12">
            <v>2</v>
          </cell>
          <cell r="V12" t="e">
            <v>#DIV/0!</v>
          </cell>
          <cell r="W12">
            <v>0</v>
          </cell>
        </row>
        <row r="13">
          <cell r="A13" t="str">
            <v>叶卡</v>
          </cell>
          <cell r="B13" t="str">
            <v>C</v>
          </cell>
          <cell r="C13">
            <v>0</v>
          </cell>
          <cell r="D13">
            <v>0</v>
          </cell>
          <cell r="E13" t="e">
            <v>#DIV/0!</v>
          </cell>
          <cell r="F13">
            <v>0</v>
          </cell>
          <cell r="G13">
            <v>0</v>
          </cell>
          <cell r="H13" t="e">
            <v>#DIV/0!</v>
          </cell>
          <cell r="K13">
            <v>0</v>
          </cell>
          <cell r="L13">
            <v>0</v>
          </cell>
          <cell r="M13" t="e">
            <v>#DIV/0!</v>
          </cell>
          <cell r="N13">
            <v>0</v>
          </cell>
          <cell r="O13">
            <v>0</v>
          </cell>
          <cell r="P13" t="e">
            <v>#DIV/0!</v>
          </cell>
          <cell r="Q13">
            <v>0</v>
          </cell>
          <cell r="R13">
            <v>0</v>
          </cell>
          <cell r="S13" t="e">
            <v>#DIV/0!</v>
          </cell>
          <cell r="T13">
            <v>0</v>
          </cell>
          <cell r="U13">
            <v>0</v>
          </cell>
          <cell r="V13" t="e">
            <v>#DIV/0!</v>
          </cell>
          <cell r="W13">
            <v>0</v>
          </cell>
        </row>
        <row r="14">
          <cell r="A14" t="str">
            <v>新西</v>
          </cell>
          <cell r="B14" t="str">
            <v>C</v>
          </cell>
          <cell r="C14">
            <v>0</v>
          </cell>
          <cell r="D14">
            <v>0</v>
          </cell>
          <cell r="E14" t="e">
            <v>#DIV/0!</v>
          </cell>
          <cell r="F14">
            <v>0</v>
          </cell>
          <cell r="G14">
            <v>0</v>
          </cell>
          <cell r="H14" t="e">
            <v>#DIV/0!</v>
          </cell>
          <cell r="K14">
            <v>0</v>
          </cell>
          <cell r="L14">
            <v>0</v>
          </cell>
          <cell r="M14" t="e">
            <v>#DIV/0!</v>
          </cell>
          <cell r="N14">
            <v>0</v>
          </cell>
          <cell r="O14">
            <v>0</v>
          </cell>
          <cell r="P14" t="e">
            <v>#DIV/0!</v>
          </cell>
          <cell r="Q14">
            <v>0</v>
          </cell>
          <cell r="R14">
            <v>0</v>
          </cell>
          <cell r="S14" t="e">
            <v>#DIV/0!</v>
          </cell>
          <cell r="T14">
            <v>0</v>
          </cell>
          <cell r="U14">
            <v>0</v>
          </cell>
          <cell r="V14" t="e">
            <v>#DIV/0!</v>
          </cell>
          <cell r="W14">
            <v>0</v>
          </cell>
        </row>
        <row r="15">
          <cell r="A15" t="str">
            <v>俄罗斯合计</v>
          </cell>
          <cell r="C15">
            <v>2154</v>
          </cell>
          <cell r="D15">
            <v>1110</v>
          </cell>
          <cell r="E15">
            <v>-0.48467966573816201</v>
          </cell>
          <cell r="F15">
            <v>37366.251199999999</v>
          </cell>
          <cell r="G15">
            <v>22497.925500000001</v>
          </cell>
          <cell r="H15">
            <v>-0.39790787736287497</v>
          </cell>
          <cell r="I15">
            <v>0</v>
          </cell>
          <cell r="J15">
            <v>0</v>
          </cell>
          <cell r="K15">
            <v>37366.251199999999</v>
          </cell>
          <cell r="L15">
            <v>22497.925500000001</v>
          </cell>
          <cell r="M15">
            <v>-0.39790787736287497</v>
          </cell>
          <cell r="N15">
            <v>890</v>
          </cell>
          <cell r="O15">
            <v>632</v>
          </cell>
          <cell r="P15">
            <v>-0.28988764044943799</v>
          </cell>
          <cell r="Q15">
            <v>15906.592360000001</v>
          </cell>
          <cell r="R15">
            <v>10293.748610000001</v>
          </cell>
          <cell r="S15">
            <v>-0.35286273910649202</v>
          </cell>
          <cell r="T15">
            <v>613</v>
          </cell>
          <cell r="U15">
            <v>453</v>
          </cell>
          <cell r="V15">
            <v>-0.26101141924959198</v>
          </cell>
          <cell r="W15">
            <v>11385.117099999999</v>
          </cell>
        </row>
        <row r="16">
          <cell r="A16" t="str">
            <v>蒙古</v>
          </cell>
          <cell r="B16" t="str">
            <v>C</v>
          </cell>
          <cell r="C16">
            <v>73</v>
          </cell>
          <cell r="D16">
            <v>36</v>
          </cell>
          <cell r="E16">
            <v>-0.50684931506849296</v>
          </cell>
          <cell r="F16">
            <v>800.21296800000005</v>
          </cell>
          <cell r="G16">
            <v>411.43661600000001</v>
          </cell>
          <cell r="H16">
            <v>-0.48584110423964</v>
          </cell>
          <cell r="K16">
            <v>800.21296800000005</v>
          </cell>
          <cell r="L16">
            <v>411.43661600000001</v>
          </cell>
          <cell r="M16">
            <v>-0.48584110423964</v>
          </cell>
          <cell r="N16">
            <v>15</v>
          </cell>
          <cell r="O16">
            <v>10</v>
          </cell>
          <cell r="P16">
            <v>-0.33333333333333298</v>
          </cell>
          <cell r="Q16">
            <v>187.86055999999999</v>
          </cell>
          <cell r="R16">
            <v>110.117828</v>
          </cell>
          <cell r="S16">
            <v>-0.413832110369521</v>
          </cell>
          <cell r="T16">
            <v>10</v>
          </cell>
          <cell r="U16">
            <v>2</v>
          </cell>
          <cell r="V16">
            <v>-0.8</v>
          </cell>
          <cell r="W16">
            <v>152.329161</v>
          </cell>
        </row>
        <row r="17">
          <cell r="A17" t="str">
            <v>哈萨克斯坦-1</v>
          </cell>
          <cell r="B17" t="str">
            <v>A</v>
          </cell>
          <cell r="C17">
            <v>155</v>
          </cell>
          <cell r="D17">
            <v>150</v>
          </cell>
          <cell r="E17">
            <v>-3.2258064516128997E-2</v>
          </cell>
          <cell r="F17">
            <v>1270.468435</v>
          </cell>
          <cell r="G17">
            <v>1291.8094900000001</v>
          </cell>
          <cell r="H17">
            <v>1.6797784511663801E-2</v>
          </cell>
          <cell r="K17">
            <v>1270.468435</v>
          </cell>
          <cell r="L17">
            <v>1291.8094900000001</v>
          </cell>
          <cell r="M17">
            <v>1.6797784511663801E-2</v>
          </cell>
          <cell r="N17">
            <v>55</v>
          </cell>
          <cell r="O17">
            <v>73</v>
          </cell>
          <cell r="P17">
            <v>0.32727272727272699</v>
          </cell>
          <cell r="Q17">
            <v>530.29769199999998</v>
          </cell>
          <cell r="R17">
            <v>692.25918000000001</v>
          </cell>
          <cell r="S17">
            <v>0.30541616613334199</v>
          </cell>
          <cell r="T17">
            <v>48</v>
          </cell>
          <cell r="U17">
            <v>24</v>
          </cell>
          <cell r="V17">
            <v>-0.5</v>
          </cell>
          <cell r="W17">
            <v>502.43066499999998</v>
          </cell>
        </row>
        <row r="18">
          <cell r="A18" t="str">
            <v>塔吉克/哈萨克斯坦-2</v>
          </cell>
          <cell r="B18" t="str">
            <v>B</v>
          </cell>
          <cell r="C18">
            <v>210</v>
          </cell>
          <cell r="D18">
            <v>59</v>
          </cell>
          <cell r="E18">
            <v>-0.71904761904761905</v>
          </cell>
          <cell r="F18">
            <v>2098.8549979999998</v>
          </cell>
          <cell r="G18">
            <v>482.47182800000002</v>
          </cell>
          <cell r="H18">
            <v>-0.77012617429038799</v>
          </cell>
          <cell r="K18">
            <v>2098.8549979999998</v>
          </cell>
          <cell r="L18">
            <v>482.47182800000002</v>
          </cell>
          <cell r="M18">
            <v>-0.77012617429038799</v>
          </cell>
          <cell r="N18">
            <v>36</v>
          </cell>
          <cell r="O18">
            <v>25</v>
          </cell>
          <cell r="P18">
            <v>-0.30555555555555602</v>
          </cell>
          <cell r="Q18">
            <v>317.42713099999997</v>
          </cell>
          <cell r="R18">
            <v>169.88091800000001</v>
          </cell>
          <cell r="S18">
            <v>-0.46481916191341499</v>
          </cell>
          <cell r="T18">
            <v>29</v>
          </cell>
          <cell r="U18">
            <v>5</v>
          </cell>
          <cell r="V18">
            <v>-0.82758620689655205</v>
          </cell>
          <cell r="W18">
            <v>276.05057599999998</v>
          </cell>
        </row>
        <row r="19">
          <cell r="A19" t="str">
            <v>哈萨克斯坦-3</v>
          </cell>
          <cell r="B19" t="str">
            <v>C</v>
          </cell>
          <cell r="C19">
            <v>0</v>
          </cell>
          <cell r="D19">
            <v>54</v>
          </cell>
          <cell r="E19" t="e">
            <v>#DIV/0!</v>
          </cell>
          <cell r="F19">
            <v>0</v>
          </cell>
          <cell r="G19">
            <v>376.35416600000002</v>
          </cell>
          <cell r="H19" t="e">
            <v>#DIV/0!</v>
          </cell>
          <cell r="K19">
            <v>0</v>
          </cell>
          <cell r="L19">
            <v>376.35416600000002</v>
          </cell>
          <cell r="M19" t="e">
            <v>#DIV/0!</v>
          </cell>
          <cell r="N19">
            <v>0</v>
          </cell>
          <cell r="O19">
            <v>23</v>
          </cell>
          <cell r="P19" t="e">
            <v>#DIV/0!</v>
          </cell>
          <cell r="Q19">
            <v>0</v>
          </cell>
          <cell r="R19">
            <v>157.29484600000001</v>
          </cell>
          <cell r="S19" t="e">
            <v>#DIV/0!</v>
          </cell>
          <cell r="T19">
            <v>0</v>
          </cell>
          <cell r="U19">
            <v>2</v>
          </cell>
          <cell r="V19" t="e">
            <v>#DIV/0!</v>
          </cell>
          <cell r="W19">
            <v>0</v>
          </cell>
        </row>
        <row r="20">
          <cell r="A20" t="str">
            <v>乌兹别克斯坦</v>
          </cell>
          <cell r="B20" t="str">
            <v>D</v>
          </cell>
          <cell r="C20">
            <v>138</v>
          </cell>
          <cell r="D20">
            <v>12</v>
          </cell>
          <cell r="E20">
            <v>-0.91304347826086996</v>
          </cell>
          <cell r="F20">
            <v>1844.2106389999999</v>
          </cell>
          <cell r="G20">
            <v>103.843498</v>
          </cell>
          <cell r="H20">
            <v>-0.94369217062086397</v>
          </cell>
          <cell r="K20">
            <v>1844.2106389999999</v>
          </cell>
          <cell r="L20">
            <v>103.843498</v>
          </cell>
          <cell r="M20">
            <v>-0.94369217062086397</v>
          </cell>
          <cell r="N20">
            <v>2</v>
          </cell>
          <cell r="O20">
            <v>7</v>
          </cell>
          <cell r="P20">
            <v>2.5</v>
          </cell>
          <cell r="Q20">
            <v>14.660022</v>
          </cell>
          <cell r="R20">
            <v>50.092812000000002</v>
          </cell>
          <cell r="S20">
            <v>2.4169670413864299</v>
          </cell>
          <cell r="T20">
            <v>1</v>
          </cell>
          <cell r="U20">
            <v>8</v>
          </cell>
          <cell r="V20">
            <v>7</v>
          </cell>
          <cell r="W20">
            <v>6.7391420000000002</v>
          </cell>
        </row>
        <row r="21">
          <cell r="A21" t="str">
            <v>吉尔吉斯斯坦</v>
          </cell>
          <cell r="B21" t="str">
            <v>D</v>
          </cell>
          <cell r="C21">
            <v>0</v>
          </cell>
          <cell r="D21">
            <v>39</v>
          </cell>
          <cell r="E21" t="e">
            <v>#DIV/0!</v>
          </cell>
          <cell r="F21">
            <v>0</v>
          </cell>
          <cell r="G21">
            <v>287.40306500000003</v>
          </cell>
          <cell r="H21" t="e">
            <v>#DIV/0!</v>
          </cell>
          <cell r="K21">
            <v>0</v>
          </cell>
          <cell r="L21">
            <v>287.40306500000003</v>
          </cell>
          <cell r="M21" t="e">
            <v>#DIV/0!</v>
          </cell>
          <cell r="N21">
            <v>0</v>
          </cell>
          <cell r="O21">
            <v>26</v>
          </cell>
          <cell r="P21" t="e">
            <v>#DIV/0!</v>
          </cell>
          <cell r="Q21">
            <v>0</v>
          </cell>
          <cell r="R21">
            <v>144.14292499999999</v>
          </cell>
          <cell r="S21" t="e">
            <v>#DIV/0!</v>
          </cell>
          <cell r="T21">
            <v>0</v>
          </cell>
          <cell r="U21">
            <v>6</v>
          </cell>
          <cell r="V21" t="e">
            <v>#DIV/0!</v>
          </cell>
          <cell r="W21">
            <v>0</v>
          </cell>
        </row>
        <row r="22">
          <cell r="A22" t="str">
            <v>阿塞拜疆</v>
          </cell>
          <cell r="B22" t="str">
            <v>C</v>
          </cell>
          <cell r="C22">
            <v>57</v>
          </cell>
          <cell r="D22">
            <v>45</v>
          </cell>
          <cell r="E22">
            <v>-0.21052631578947401</v>
          </cell>
          <cell r="F22">
            <v>430.01145500000001</v>
          </cell>
          <cell r="G22">
            <v>324.15623599999998</v>
          </cell>
          <cell r="H22">
            <v>-0.24616837009609499</v>
          </cell>
          <cell r="K22">
            <v>430.01145500000001</v>
          </cell>
          <cell r="L22">
            <v>324.15623599999998</v>
          </cell>
          <cell r="M22">
            <v>-0.24616837009609499</v>
          </cell>
          <cell r="N22">
            <v>2</v>
          </cell>
          <cell r="O22">
            <v>17</v>
          </cell>
          <cell r="P22">
            <v>7.5</v>
          </cell>
          <cell r="Q22">
            <v>19.154128</v>
          </cell>
          <cell r="R22">
            <v>103.97560799999999</v>
          </cell>
          <cell r="S22">
            <v>4.4283655199547596</v>
          </cell>
          <cell r="T22">
            <v>0</v>
          </cell>
          <cell r="U22">
            <v>22</v>
          </cell>
          <cell r="V22" t="e">
            <v>#DIV/0!</v>
          </cell>
          <cell r="W22">
            <v>0</v>
          </cell>
        </row>
        <row r="23">
          <cell r="A23" t="str">
            <v>格鲁吉亚</v>
          </cell>
          <cell r="B23" t="str">
            <v>D</v>
          </cell>
          <cell r="C23">
            <v>0</v>
          </cell>
          <cell r="D23">
            <v>0</v>
          </cell>
          <cell r="E23" t="e">
            <v>#DIV/0!</v>
          </cell>
          <cell r="F23">
            <v>0</v>
          </cell>
          <cell r="G23">
            <v>0</v>
          </cell>
          <cell r="H23" t="e">
            <v>#DIV/0!</v>
          </cell>
          <cell r="K23">
            <v>0</v>
          </cell>
          <cell r="L23">
            <v>0</v>
          </cell>
          <cell r="M23" t="e">
            <v>#DIV/0!</v>
          </cell>
          <cell r="N23">
            <v>0</v>
          </cell>
          <cell r="O23">
            <v>0</v>
          </cell>
          <cell r="P23" t="e">
            <v>#DIV/0!</v>
          </cell>
          <cell r="Q23">
            <v>0</v>
          </cell>
          <cell r="R23">
            <v>0</v>
          </cell>
          <cell r="S23" t="e">
            <v>#DIV/0!</v>
          </cell>
          <cell r="T23">
            <v>0</v>
          </cell>
          <cell r="U23">
            <v>0</v>
          </cell>
          <cell r="V23" t="e">
            <v>#DIV/0!</v>
          </cell>
          <cell r="W23">
            <v>0</v>
          </cell>
        </row>
        <row r="24">
          <cell r="A24" t="str">
            <v>中亚合计</v>
          </cell>
          <cell r="C24">
            <v>633</v>
          </cell>
          <cell r="D24">
            <v>395</v>
          </cell>
          <cell r="E24">
            <v>-0.37598736176935199</v>
          </cell>
          <cell r="F24">
            <v>6443.758495</v>
          </cell>
          <cell r="G24">
            <v>3277.4748989999998</v>
          </cell>
          <cell r="H24">
            <v>-0.49137217021042301</v>
          </cell>
          <cell r="I24">
            <v>0</v>
          </cell>
          <cell r="J24">
            <v>0</v>
          </cell>
          <cell r="K24">
            <v>6443.758495</v>
          </cell>
          <cell r="L24">
            <v>3277.4748989999998</v>
          </cell>
          <cell r="M24">
            <v>-0.49137217021042301</v>
          </cell>
          <cell r="N24">
            <v>110</v>
          </cell>
          <cell r="O24">
            <v>181</v>
          </cell>
          <cell r="P24">
            <v>0.64545454545454595</v>
          </cell>
          <cell r="Q24">
            <v>1069.399533</v>
          </cell>
          <cell r="R24">
            <v>1427.7641169999999</v>
          </cell>
          <cell r="S24">
            <v>0.33510822937679402</v>
          </cell>
          <cell r="T24">
            <v>88</v>
          </cell>
          <cell r="U24">
            <v>69</v>
          </cell>
          <cell r="V24">
            <v>-0.21590909090909099</v>
          </cell>
          <cell r="W24">
            <v>937.54954399999997</v>
          </cell>
        </row>
        <row r="25">
          <cell r="A25" t="str">
            <v>朝鲜-韩国</v>
          </cell>
          <cell r="B25" t="str">
            <v>D</v>
          </cell>
          <cell r="C25">
            <v>35</v>
          </cell>
          <cell r="D25">
            <v>34</v>
          </cell>
          <cell r="E25">
            <v>-2.8571428571428598E-2</v>
          </cell>
          <cell r="F25">
            <v>287.19</v>
          </cell>
          <cell r="G25">
            <v>294.161</v>
          </cell>
          <cell r="H25">
            <v>2.42731292872315E-2</v>
          </cell>
          <cell r="K25">
            <v>287.19</v>
          </cell>
          <cell r="L25">
            <v>294.161</v>
          </cell>
          <cell r="M25">
            <v>2.42731292872315E-2</v>
          </cell>
          <cell r="N25">
            <v>1</v>
          </cell>
          <cell r="O25">
            <v>4</v>
          </cell>
          <cell r="P25">
            <v>3</v>
          </cell>
          <cell r="Q25">
            <v>7.6</v>
          </cell>
          <cell r="R25">
            <v>36.860999999999997</v>
          </cell>
          <cell r="S25">
            <v>3.8501315789473698</v>
          </cell>
          <cell r="T25">
            <v>1</v>
          </cell>
          <cell r="U25">
            <v>6</v>
          </cell>
          <cell r="V25">
            <v>5</v>
          </cell>
          <cell r="W25">
            <v>7.6</v>
          </cell>
        </row>
        <row r="26">
          <cell r="A26" t="str">
            <v>新加坡市政会</v>
          </cell>
          <cell r="B26" t="str">
            <v>A</v>
          </cell>
          <cell r="C26">
            <v>196</v>
          </cell>
          <cell r="D26">
            <v>67</v>
          </cell>
          <cell r="E26">
            <v>-0.65816326530612201</v>
          </cell>
          <cell r="F26">
            <v>4135.4804710000099</v>
          </cell>
          <cell r="G26">
            <v>1640.0560700000001</v>
          </cell>
          <cell r="H26">
            <v>-0.60341825296942697</v>
          </cell>
          <cell r="I26">
            <v>315.62473412759999</v>
          </cell>
          <cell r="J26">
            <v>3.7840665000000002</v>
          </cell>
          <cell r="K26">
            <v>4451.1052051276101</v>
          </cell>
          <cell r="L26">
            <v>1643.8401365</v>
          </cell>
          <cell r="M26">
            <v>-0.63068944436399299</v>
          </cell>
          <cell r="N26">
            <v>77</v>
          </cell>
          <cell r="O26">
            <v>4</v>
          </cell>
          <cell r="P26">
            <v>-0.94805194805194803</v>
          </cell>
          <cell r="Q26">
            <v>1734.6186439999999</v>
          </cell>
          <cell r="R26">
            <v>82.685990000000004</v>
          </cell>
          <cell r="S26">
            <v>-0.95233189134337504</v>
          </cell>
          <cell r="T26">
            <v>25</v>
          </cell>
          <cell r="U26">
            <v>21</v>
          </cell>
          <cell r="V26">
            <v>-0.16</v>
          </cell>
          <cell r="W26">
            <v>619.60194100000001</v>
          </cell>
        </row>
        <row r="27">
          <cell r="A27" t="str">
            <v>新加坡HDB</v>
          </cell>
          <cell r="B27" t="str">
            <v>A</v>
          </cell>
          <cell r="C27">
            <v>260</v>
          </cell>
          <cell r="D27">
            <v>189</v>
          </cell>
          <cell r="E27">
            <v>-0.27307692307692299</v>
          </cell>
          <cell r="F27">
            <v>5925.60401799999</v>
          </cell>
          <cell r="G27">
            <v>4595.4741750000003</v>
          </cell>
          <cell r="H27">
            <v>-0.22447160474434399</v>
          </cell>
          <cell r="I27">
            <v>0</v>
          </cell>
          <cell r="J27">
            <v>0</v>
          </cell>
          <cell r="K27">
            <v>5925.60401799999</v>
          </cell>
          <cell r="L27">
            <v>4595.4741750000003</v>
          </cell>
          <cell r="M27">
            <v>-0.22447160474434399</v>
          </cell>
          <cell r="N27">
            <v>106</v>
          </cell>
          <cell r="O27">
            <v>118</v>
          </cell>
          <cell r="P27">
            <v>0.113207547169811</v>
          </cell>
          <cell r="Q27">
            <v>3962.6091150000002</v>
          </cell>
          <cell r="R27">
            <v>5640.0565969999998</v>
          </cell>
          <cell r="S27">
            <v>0.423318937931631</v>
          </cell>
          <cell r="T27">
            <v>10</v>
          </cell>
          <cell r="U27">
            <v>122</v>
          </cell>
          <cell r="V27">
            <v>11.2</v>
          </cell>
          <cell r="W27">
            <v>374.14792599999998</v>
          </cell>
        </row>
        <row r="28">
          <cell r="A28" t="str">
            <v>泰国</v>
          </cell>
          <cell r="B28" t="str">
            <v>D</v>
          </cell>
          <cell r="C28">
            <v>52</v>
          </cell>
          <cell r="D28">
            <v>20</v>
          </cell>
          <cell r="E28">
            <v>-0.61538461538461497</v>
          </cell>
          <cell r="F28">
            <v>517.46812299999999</v>
          </cell>
          <cell r="G28">
            <v>264.23188099999999</v>
          </cell>
          <cell r="H28">
            <v>-0.48937553975667802</v>
          </cell>
          <cell r="K28">
            <v>517.46812299999999</v>
          </cell>
          <cell r="L28">
            <v>264.23188099999999</v>
          </cell>
          <cell r="M28">
            <v>-0.48937553975667802</v>
          </cell>
          <cell r="N28">
            <v>26</v>
          </cell>
          <cell r="O28">
            <v>4</v>
          </cell>
          <cell r="P28">
            <v>-0.84615384615384603</v>
          </cell>
          <cell r="Q28">
            <v>239.82782900000001</v>
          </cell>
          <cell r="R28">
            <v>47.118023000000001</v>
          </cell>
          <cell r="S28">
            <v>-0.80353396352514195</v>
          </cell>
          <cell r="T28">
            <v>25</v>
          </cell>
          <cell r="U28">
            <v>3</v>
          </cell>
          <cell r="V28">
            <v>-0.88</v>
          </cell>
          <cell r="W28">
            <v>233.58912900000001</v>
          </cell>
        </row>
        <row r="29">
          <cell r="A29" t="str">
            <v>泰国2</v>
          </cell>
          <cell r="B29" t="str">
            <v>D</v>
          </cell>
          <cell r="C29">
            <v>0</v>
          </cell>
          <cell r="D29">
            <v>44</v>
          </cell>
          <cell r="E29" t="e">
            <v>#DIV/0!</v>
          </cell>
          <cell r="F29">
            <v>0</v>
          </cell>
          <cell r="G29">
            <v>382.54</v>
          </cell>
          <cell r="H29" t="e">
            <v>#DIV/0!</v>
          </cell>
          <cell r="K29">
            <v>0</v>
          </cell>
          <cell r="L29">
            <v>382.54</v>
          </cell>
          <cell r="M29" t="e">
            <v>#DIV/0!</v>
          </cell>
          <cell r="N29">
            <v>0</v>
          </cell>
          <cell r="O29">
            <v>9</v>
          </cell>
          <cell r="P29" t="e">
            <v>#DIV/0!</v>
          </cell>
          <cell r="Q29">
            <v>0</v>
          </cell>
          <cell r="R29">
            <v>74.13</v>
          </cell>
          <cell r="S29" t="e">
            <v>#DIV/0!</v>
          </cell>
          <cell r="T29">
            <v>0</v>
          </cell>
          <cell r="U29">
            <v>9</v>
          </cell>
          <cell r="V29" t="e">
            <v>#DIV/0!</v>
          </cell>
          <cell r="W29">
            <v>0</v>
          </cell>
        </row>
        <row r="30">
          <cell r="A30" t="str">
            <v>金三角</v>
          </cell>
          <cell r="B30" t="str">
            <v>D</v>
          </cell>
          <cell r="C30">
            <v>94</v>
          </cell>
          <cell r="D30">
            <v>5</v>
          </cell>
          <cell r="E30">
            <v>-0.94680851063829796</v>
          </cell>
          <cell r="F30">
            <v>1146.336677</v>
          </cell>
          <cell r="G30">
            <v>40.681399999999996</v>
          </cell>
          <cell r="H30">
            <v>-0.96451182203603203</v>
          </cell>
          <cell r="K30">
            <v>1146.336677</v>
          </cell>
          <cell r="L30">
            <v>40.681399999999996</v>
          </cell>
          <cell r="M30">
            <v>-0.96451182203603203</v>
          </cell>
          <cell r="N30">
            <v>0</v>
          </cell>
          <cell r="O30">
            <v>0</v>
          </cell>
          <cell r="P30" t="e">
            <v>#DIV/0!</v>
          </cell>
          <cell r="Q30">
            <v>0</v>
          </cell>
          <cell r="R30">
            <v>0</v>
          </cell>
          <cell r="S30" t="e">
            <v>#DIV/0!</v>
          </cell>
          <cell r="T30">
            <v>0</v>
          </cell>
          <cell r="U30">
            <v>0</v>
          </cell>
          <cell r="V30" t="e">
            <v>#DIV/0!</v>
          </cell>
          <cell r="W30">
            <v>0</v>
          </cell>
        </row>
        <row r="31">
          <cell r="A31" t="str">
            <v>马来西亚</v>
          </cell>
          <cell r="B31" t="str">
            <v>B</v>
          </cell>
          <cell r="C31">
            <v>66</v>
          </cell>
          <cell r="D31">
            <v>48</v>
          </cell>
          <cell r="E31">
            <v>-0.27272727272727298</v>
          </cell>
          <cell r="F31">
            <v>1463.75</v>
          </cell>
          <cell r="G31">
            <v>794.92610000000002</v>
          </cell>
          <cell r="H31">
            <v>-0.45692495303159703</v>
          </cell>
          <cell r="K31">
            <v>1463.75</v>
          </cell>
          <cell r="L31">
            <v>794.92610000000002</v>
          </cell>
          <cell r="M31">
            <v>-0.45692495303159703</v>
          </cell>
          <cell r="N31">
            <v>16</v>
          </cell>
          <cell r="O31">
            <v>14</v>
          </cell>
          <cell r="P31">
            <v>-0.125</v>
          </cell>
          <cell r="Q31">
            <v>132.08500000000001</v>
          </cell>
          <cell r="R31">
            <v>209.6181</v>
          </cell>
          <cell r="S31">
            <v>0.58699398114850299</v>
          </cell>
          <cell r="T31">
            <v>17</v>
          </cell>
          <cell r="U31">
            <v>6</v>
          </cell>
          <cell r="V31">
            <v>-0.64705882352941202</v>
          </cell>
          <cell r="W31">
            <v>140.47499999999999</v>
          </cell>
        </row>
        <row r="32">
          <cell r="A32" t="str">
            <v>马尔代夫</v>
          </cell>
          <cell r="B32" t="str">
            <v>D</v>
          </cell>
          <cell r="C32">
            <v>37</v>
          </cell>
          <cell r="D32">
            <v>23</v>
          </cell>
          <cell r="E32">
            <v>-0.37837837837837801</v>
          </cell>
          <cell r="F32">
            <v>543.86292400000002</v>
          </cell>
          <cell r="G32">
            <v>266.22041999999999</v>
          </cell>
          <cell r="H32">
            <v>-0.510500884961962</v>
          </cell>
          <cell r="K32">
            <v>543.86292400000002</v>
          </cell>
          <cell r="L32">
            <v>266.22041999999999</v>
          </cell>
          <cell r="M32">
            <v>-0.510500884961962</v>
          </cell>
          <cell r="N32">
            <v>7</v>
          </cell>
          <cell r="O32">
            <v>2</v>
          </cell>
          <cell r="P32">
            <v>-0.71428571428571397</v>
          </cell>
          <cell r="Q32">
            <v>96.411316999999997</v>
          </cell>
          <cell r="R32">
            <v>20.389084</v>
          </cell>
          <cell r="S32">
            <v>-0.78851980623810003</v>
          </cell>
          <cell r="T32">
            <v>16</v>
          </cell>
          <cell r="U32">
            <v>2</v>
          </cell>
          <cell r="V32">
            <v>-0.875</v>
          </cell>
          <cell r="W32">
            <v>3354.1559590000002</v>
          </cell>
        </row>
        <row r="33">
          <cell r="A33" t="str">
            <v>香港-台湾</v>
          </cell>
          <cell r="B33" t="str">
            <v>D</v>
          </cell>
          <cell r="C33">
            <v>0</v>
          </cell>
          <cell r="D33">
            <v>8</v>
          </cell>
          <cell r="E33" t="e">
            <v>#DIV/0!</v>
          </cell>
          <cell r="F33">
            <v>0</v>
          </cell>
          <cell r="G33">
            <v>50.38</v>
          </cell>
          <cell r="H33" t="e">
            <v>#DIV/0!</v>
          </cell>
          <cell r="K33">
            <v>0</v>
          </cell>
          <cell r="L33">
            <v>50.38</v>
          </cell>
          <cell r="M33" t="e">
            <v>#DIV/0!</v>
          </cell>
          <cell r="N33">
            <v>0</v>
          </cell>
          <cell r="O33">
            <v>0</v>
          </cell>
          <cell r="P33" t="e">
            <v>#DIV/0!</v>
          </cell>
          <cell r="Q33">
            <v>0</v>
          </cell>
          <cell r="R33">
            <v>0</v>
          </cell>
          <cell r="S33" t="e">
            <v>#DIV/0!</v>
          </cell>
          <cell r="T33">
            <v>0</v>
          </cell>
          <cell r="U33">
            <v>0</v>
          </cell>
          <cell r="V33" t="e">
            <v>#DIV/0!</v>
          </cell>
          <cell r="W33">
            <v>0</v>
          </cell>
        </row>
        <row r="34">
          <cell r="A34" t="str">
            <v>亚洲1合计</v>
          </cell>
          <cell r="C34">
            <v>740</v>
          </cell>
          <cell r="D34">
            <v>438</v>
          </cell>
          <cell r="E34">
            <v>-0.40810810810810799</v>
          </cell>
          <cell r="F34">
            <v>14019.692213</v>
          </cell>
          <cell r="G34">
            <v>8328.6710459999995</v>
          </cell>
          <cell r="H34">
            <v>-0.405930535459466</v>
          </cell>
          <cell r="I34">
            <v>315.62473412759999</v>
          </cell>
          <cell r="J34">
            <v>3.7840665000000002</v>
          </cell>
          <cell r="K34">
            <v>14335.3169471276</v>
          </cell>
          <cell r="L34">
            <v>8332.4551124999998</v>
          </cell>
          <cell r="M34">
            <v>-0.418746363039459</v>
          </cell>
          <cell r="N34">
            <v>233</v>
          </cell>
          <cell r="O34">
            <v>155</v>
          </cell>
          <cell r="P34">
            <v>-0.33476394849785401</v>
          </cell>
          <cell r="Q34">
            <v>6173.1519049999997</v>
          </cell>
          <cell r="R34">
            <v>6110.8587939999998</v>
          </cell>
          <cell r="S34">
            <v>-1.00909732918683E-2</v>
          </cell>
          <cell r="T34">
            <v>94</v>
          </cell>
          <cell r="U34">
            <v>169</v>
          </cell>
          <cell r="V34">
            <v>0.79787234042553201</v>
          </cell>
          <cell r="W34">
            <v>4729.5699549999999</v>
          </cell>
        </row>
        <row r="35">
          <cell r="A35" t="str">
            <v>越南-2</v>
          </cell>
          <cell r="B35" t="str">
            <v>C</v>
          </cell>
          <cell r="C35">
            <v>52</v>
          </cell>
          <cell r="D35">
            <v>64</v>
          </cell>
          <cell r="E35">
            <v>0.230769230769231</v>
          </cell>
          <cell r="F35">
            <v>393.58625000000001</v>
          </cell>
          <cell r="G35">
            <v>437.63195300000001</v>
          </cell>
          <cell r="H35">
            <v>0.111908642641861</v>
          </cell>
          <cell r="K35">
            <v>393.58625000000001</v>
          </cell>
          <cell r="L35">
            <v>437.63195300000001</v>
          </cell>
          <cell r="M35">
            <v>0.111908642641861</v>
          </cell>
          <cell r="N35">
            <v>22</v>
          </cell>
          <cell r="O35">
            <v>12</v>
          </cell>
          <cell r="P35">
            <v>-0.45454545454545497</v>
          </cell>
          <cell r="Q35">
            <v>178.457292</v>
          </cell>
          <cell r="R35">
            <v>65.701023000000006</v>
          </cell>
          <cell r="S35">
            <v>-0.63183895561970105</v>
          </cell>
          <cell r="T35">
            <v>29</v>
          </cell>
          <cell r="U35">
            <v>10</v>
          </cell>
          <cell r="V35">
            <v>-0.65517241379310298</v>
          </cell>
          <cell r="W35">
            <v>228.72333399999999</v>
          </cell>
        </row>
        <row r="36">
          <cell r="A36" t="str">
            <v>印度公建</v>
          </cell>
          <cell r="B36" t="str">
            <v>B</v>
          </cell>
          <cell r="C36">
            <v>23</v>
          </cell>
          <cell r="D36">
            <v>13</v>
          </cell>
          <cell r="E36">
            <v>-0.434782608695652</v>
          </cell>
          <cell r="F36">
            <v>773.87896499999999</v>
          </cell>
          <cell r="G36">
            <v>260.05322999999999</v>
          </cell>
          <cell r="H36">
            <v>-0.66396136636172798</v>
          </cell>
          <cell r="I36">
            <v>26.966047020000001</v>
          </cell>
          <cell r="J36">
            <v>56.205413040000003</v>
          </cell>
          <cell r="K36">
            <v>800.84501202000001</v>
          </cell>
          <cell r="L36">
            <v>316.25864303999998</v>
          </cell>
          <cell r="M36">
            <v>-0.60509382178420601</v>
          </cell>
          <cell r="N36">
            <v>3</v>
          </cell>
          <cell r="O36">
            <v>6</v>
          </cell>
          <cell r="P36">
            <v>1</v>
          </cell>
          <cell r="Q36">
            <v>44.012006999999997</v>
          </cell>
          <cell r="R36">
            <v>68.513610999999997</v>
          </cell>
          <cell r="S36">
            <v>0.55670271978280805</v>
          </cell>
          <cell r="T36">
            <v>0</v>
          </cell>
          <cell r="U36">
            <v>5</v>
          </cell>
          <cell r="V36" t="e">
            <v>#DIV/0!</v>
          </cell>
          <cell r="W36">
            <v>0</v>
          </cell>
        </row>
        <row r="37">
          <cell r="A37" t="str">
            <v>巴基斯坦</v>
          </cell>
          <cell r="B37" t="str">
            <v>D</v>
          </cell>
          <cell r="C37">
            <v>8</v>
          </cell>
          <cell r="D37">
            <v>20</v>
          </cell>
          <cell r="E37">
            <v>1.5</v>
          </cell>
          <cell r="F37">
            <v>74.024224000000004</v>
          </cell>
          <cell r="G37">
            <v>154.48683</v>
          </cell>
          <cell r="H37">
            <v>1.0869766902250799</v>
          </cell>
          <cell r="K37">
            <v>74.024224000000004</v>
          </cell>
          <cell r="L37">
            <v>154.48683</v>
          </cell>
          <cell r="M37">
            <v>1.0869766902250799</v>
          </cell>
          <cell r="N37">
            <v>2</v>
          </cell>
          <cell r="O37">
            <v>4</v>
          </cell>
          <cell r="P37">
            <v>1</v>
          </cell>
          <cell r="Q37">
            <v>6.9127679999999998</v>
          </cell>
          <cell r="R37">
            <v>23.250354000000002</v>
          </cell>
          <cell r="S37">
            <v>2.3633927827463599</v>
          </cell>
          <cell r="T37">
            <v>0</v>
          </cell>
          <cell r="U37">
            <v>5</v>
          </cell>
          <cell r="V37" t="e">
            <v>#DIV/0!</v>
          </cell>
          <cell r="W37">
            <v>0</v>
          </cell>
        </row>
        <row r="38">
          <cell r="A38" t="str">
            <v>孟加拉-1</v>
          </cell>
          <cell r="B38" t="str">
            <v>B</v>
          </cell>
          <cell r="C38">
            <v>128</v>
          </cell>
          <cell r="D38">
            <v>41</v>
          </cell>
          <cell r="E38">
            <v>-0.6796875</v>
          </cell>
          <cell r="F38">
            <v>1268.9124690000001</v>
          </cell>
          <cell r="G38">
            <v>430.34461700000003</v>
          </cell>
          <cell r="H38">
            <v>-0.66085555346528801</v>
          </cell>
          <cell r="K38">
            <v>1268.9124690000001</v>
          </cell>
          <cell r="L38">
            <v>430.34461700000003</v>
          </cell>
          <cell r="M38">
            <v>-0.66085555346528801</v>
          </cell>
          <cell r="N38">
            <v>27</v>
          </cell>
          <cell r="O38">
            <v>15</v>
          </cell>
          <cell r="P38">
            <v>-0.44444444444444398</v>
          </cell>
          <cell r="Q38">
            <v>224.145533</v>
          </cell>
          <cell r="R38">
            <v>122.237892</v>
          </cell>
          <cell r="S38">
            <v>-0.45464943974591698</v>
          </cell>
          <cell r="T38">
            <v>20</v>
          </cell>
          <cell r="U38">
            <v>14</v>
          </cell>
          <cell r="V38">
            <v>-0.3</v>
          </cell>
          <cell r="W38">
            <v>167.86765299999999</v>
          </cell>
        </row>
        <row r="39">
          <cell r="A39" t="str">
            <v>澳大利亚</v>
          </cell>
          <cell r="B39" t="str">
            <v>C</v>
          </cell>
          <cell r="C39">
            <v>39</v>
          </cell>
          <cell r="D39">
            <v>23</v>
          </cell>
          <cell r="E39">
            <v>-0.41025641025641002</v>
          </cell>
          <cell r="F39">
            <v>592.24855300000002</v>
          </cell>
          <cell r="G39">
            <v>320.91094299999997</v>
          </cell>
          <cell r="H39">
            <v>-0.458148202516588</v>
          </cell>
          <cell r="K39">
            <v>592.24855300000002</v>
          </cell>
          <cell r="L39">
            <v>320.91094299999997</v>
          </cell>
          <cell r="M39">
            <v>-0.458148202516588</v>
          </cell>
          <cell r="N39">
            <v>2</v>
          </cell>
          <cell r="O39">
            <v>8</v>
          </cell>
          <cell r="P39">
            <v>3</v>
          </cell>
          <cell r="Q39">
            <v>29.534538999999999</v>
          </cell>
          <cell r="R39">
            <v>88.302306999999999</v>
          </cell>
          <cell r="S39">
            <v>1.9897980462806599</v>
          </cell>
          <cell r="T39">
            <v>9</v>
          </cell>
          <cell r="U39">
            <v>3</v>
          </cell>
          <cell r="V39">
            <v>-0.66666666666666696</v>
          </cell>
          <cell r="W39">
            <v>179.53971200000001</v>
          </cell>
        </row>
        <row r="40">
          <cell r="A40" t="str">
            <v>菲律宾</v>
          </cell>
          <cell r="B40" t="str">
            <v>C</v>
          </cell>
          <cell r="C40">
            <v>0</v>
          </cell>
          <cell r="D40">
            <v>26</v>
          </cell>
          <cell r="E40" t="e">
            <v>#DIV/0!</v>
          </cell>
          <cell r="F40">
            <v>0</v>
          </cell>
          <cell r="G40">
            <v>214.36013</v>
          </cell>
          <cell r="H40" t="e">
            <v>#DIV/0!</v>
          </cell>
          <cell r="K40">
            <v>0</v>
          </cell>
          <cell r="L40">
            <v>214.36013</v>
          </cell>
          <cell r="M40" t="e">
            <v>#DIV/0!</v>
          </cell>
          <cell r="N40">
            <v>0</v>
          </cell>
          <cell r="O40">
            <v>0</v>
          </cell>
          <cell r="P40" t="e">
            <v>#DIV/0!</v>
          </cell>
          <cell r="Q40">
            <v>0</v>
          </cell>
          <cell r="R40">
            <v>0</v>
          </cell>
          <cell r="S40" t="e">
            <v>#DIV/0!</v>
          </cell>
          <cell r="T40">
            <v>0</v>
          </cell>
          <cell r="U40">
            <v>0</v>
          </cell>
          <cell r="V40" t="e">
            <v>#DIV/0!</v>
          </cell>
          <cell r="W40">
            <v>0</v>
          </cell>
        </row>
        <row r="41">
          <cell r="A41" t="str">
            <v>印尼-1</v>
          </cell>
          <cell r="B41" t="str">
            <v>C</v>
          </cell>
          <cell r="C41">
            <v>97</v>
          </cell>
          <cell r="D41">
            <v>48</v>
          </cell>
          <cell r="E41">
            <v>-0.50515463917525805</v>
          </cell>
          <cell r="F41">
            <v>1049.8086599999999</v>
          </cell>
          <cell r="G41">
            <v>499.41564</v>
          </cell>
          <cell r="H41">
            <v>-0.524279367251553</v>
          </cell>
          <cell r="K41">
            <v>1049.8086599999999</v>
          </cell>
          <cell r="L41">
            <v>499.41564</v>
          </cell>
          <cell r="M41">
            <v>-0.524279367251553</v>
          </cell>
          <cell r="N41">
            <v>1</v>
          </cell>
          <cell r="O41">
            <v>8</v>
          </cell>
          <cell r="P41">
            <v>7</v>
          </cell>
          <cell r="Q41">
            <v>7.43</v>
          </cell>
          <cell r="R41">
            <v>77.59975</v>
          </cell>
          <cell r="S41">
            <v>9.4441117092866804</v>
          </cell>
          <cell r="T41">
            <v>1</v>
          </cell>
          <cell r="U41">
            <v>8</v>
          </cell>
          <cell r="V41">
            <v>7</v>
          </cell>
          <cell r="W41">
            <v>7.43</v>
          </cell>
        </row>
        <row r="42">
          <cell r="A42" t="str">
            <v>越南-1（工厂）</v>
          </cell>
          <cell r="B42" t="str">
            <v>B</v>
          </cell>
          <cell r="C42">
            <v>10</v>
          </cell>
          <cell r="D42">
            <v>23</v>
          </cell>
          <cell r="E42">
            <v>1.3</v>
          </cell>
          <cell r="F42">
            <v>106.425487</v>
          </cell>
          <cell r="G42">
            <v>311.15490599999998</v>
          </cell>
          <cell r="H42">
            <v>1.92368787563077</v>
          </cell>
          <cell r="K42">
            <v>106.425487</v>
          </cell>
          <cell r="L42">
            <v>311.15490599999998</v>
          </cell>
          <cell r="M42">
            <v>1.92368787563077</v>
          </cell>
          <cell r="N42">
            <v>1</v>
          </cell>
          <cell r="O42">
            <v>10</v>
          </cell>
          <cell r="P42">
            <v>9</v>
          </cell>
          <cell r="Q42">
            <v>7.5608399999999998</v>
          </cell>
          <cell r="R42">
            <v>74.216801000000004</v>
          </cell>
          <cell r="S42">
            <v>8.8159465085889899</v>
          </cell>
          <cell r="T42">
            <v>0</v>
          </cell>
          <cell r="U42">
            <v>4</v>
          </cell>
          <cell r="V42" t="e">
            <v>#DIV/0!</v>
          </cell>
          <cell r="W42">
            <v>0</v>
          </cell>
        </row>
        <row r="43">
          <cell r="A43" t="str">
            <v>印度私营</v>
          </cell>
          <cell r="B43" t="str">
            <v>A</v>
          </cell>
          <cell r="C43">
            <v>110</v>
          </cell>
          <cell r="D43">
            <v>64</v>
          </cell>
          <cell r="E43">
            <v>-0.41818181818181799</v>
          </cell>
          <cell r="F43">
            <v>1592.6827720000001</v>
          </cell>
          <cell r="G43">
            <v>793.61421900000005</v>
          </cell>
          <cell r="H43">
            <v>-0.50171231022771401</v>
          </cell>
          <cell r="K43">
            <v>1592.6827720000001</v>
          </cell>
          <cell r="L43">
            <v>793.61421900000005</v>
          </cell>
          <cell r="M43">
            <v>-0.50171231022771401</v>
          </cell>
          <cell r="N43">
            <v>30</v>
          </cell>
          <cell r="O43">
            <v>23</v>
          </cell>
          <cell r="P43">
            <v>-0.233333333333333</v>
          </cell>
          <cell r="Q43">
            <v>723.49246400000004</v>
          </cell>
          <cell r="R43">
            <v>269.23994399999998</v>
          </cell>
          <cell r="S43">
            <v>-0.627860748526055</v>
          </cell>
          <cell r="T43">
            <v>19</v>
          </cell>
          <cell r="U43">
            <v>6</v>
          </cell>
          <cell r="V43">
            <v>-0.68421052631578905</v>
          </cell>
          <cell r="W43">
            <v>329.72867100000002</v>
          </cell>
        </row>
        <row r="44">
          <cell r="A44" t="str">
            <v>菲律宾-2</v>
          </cell>
          <cell r="B44" t="str">
            <v>C</v>
          </cell>
          <cell r="C44">
            <v>0</v>
          </cell>
          <cell r="D44">
            <v>29</v>
          </cell>
          <cell r="E44" t="e">
            <v>#DIV/0!</v>
          </cell>
          <cell r="F44">
            <v>0</v>
          </cell>
          <cell r="G44">
            <v>214.14943</v>
          </cell>
          <cell r="H44" t="e">
            <v>#DIV/0!</v>
          </cell>
          <cell r="K44">
            <v>0</v>
          </cell>
          <cell r="L44">
            <v>214.14943</v>
          </cell>
          <cell r="M44" t="e">
            <v>#DIV/0!</v>
          </cell>
          <cell r="N44">
            <v>0</v>
          </cell>
          <cell r="O44">
            <v>0</v>
          </cell>
          <cell r="P44" t="e">
            <v>#DIV/0!</v>
          </cell>
          <cell r="Q44">
            <v>0</v>
          </cell>
          <cell r="R44">
            <v>0</v>
          </cell>
          <cell r="S44" t="e">
            <v>#DIV/0!</v>
          </cell>
          <cell r="T44">
            <v>0</v>
          </cell>
          <cell r="U44">
            <v>0</v>
          </cell>
          <cell r="V44" t="e">
            <v>#DIV/0!</v>
          </cell>
          <cell r="W44">
            <v>0</v>
          </cell>
        </row>
        <row r="45">
          <cell r="A45" t="str">
            <v>印尼-2</v>
          </cell>
          <cell r="B45" t="str">
            <v>C</v>
          </cell>
          <cell r="C45">
            <v>0</v>
          </cell>
          <cell r="D45">
            <v>51</v>
          </cell>
          <cell r="E45" t="e">
            <v>#DIV/0!</v>
          </cell>
          <cell r="F45">
            <v>0</v>
          </cell>
          <cell r="G45">
            <v>530.63168099999996</v>
          </cell>
          <cell r="H45" t="e">
            <v>#DIV/0!</v>
          </cell>
          <cell r="K45">
            <v>0</v>
          </cell>
          <cell r="L45">
            <v>530.63168099999996</v>
          </cell>
          <cell r="M45" t="e">
            <v>#DIV/0!</v>
          </cell>
          <cell r="N45">
            <v>0</v>
          </cell>
          <cell r="O45">
            <v>0</v>
          </cell>
          <cell r="P45" t="e">
            <v>#DIV/0!</v>
          </cell>
          <cell r="Q45">
            <v>0</v>
          </cell>
          <cell r="R45">
            <v>0</v>
          </cell>
          <cell r="S45" t="e">
            <v>#DIV/0!</v>
          </cell>
          <cell r="T45">
            <v>0</v>
          </cell>
          <cell r="U45">
            <v>0</v>
          </cell>
          <cell r="V45" t="e">
            <v>#DIV/0!</v>
          </cell>
          <cell r="W45">
            <v>0</v>
          </cell>
        </row>
        <row r="46">
          <cell r="A46" t="str">
            <v>亚洲2合计</v>
          </cell>
          <cell r="C46">
            <v>467</v>
          </cell>
          <cell r="D46">
            <v>402</v>
          </cell>
          <cell r="E46">
            <v>-0.13918629550321199</v>
          </cell>
          <cell r="F46">
            <v>5851.5673800000004</v>
          </cell>
          <cell r="G46">
            <v>4166.7535790000002</v>
          </cell>
          <cell r="H46">
            <v>-0.28792521585900299</v>
          </cell>
          <cell r="I46">
            <v>26.966047020000001</v>
          </cell>
          <cell r="J46">
            <v>56.205413040000003</v>
          </cell>
          <cell r="K46">
            <v>5878.5334270200001</v>
          </cell>
          <cell r="L46">
            <v>4222.9589920400003</v>
          </cell>
          <cell r="M46">
            <v>-0.28163052154647</v>
          </cell>
          <cell r="N46">
            <v>88</v>
          </cell>
          <cell r="O46">
            <v>86</v>
          </cell>
          <cell r="P46">
            <v>-2.27272727272727E-2</v>
          </cell>
          <cell r="Q46">
            <v>1221.545443</v>
          </cell>
          <cell r="R46">
            <v>789.06168200000002</v>
          </cell>
          <cell r="S46">
            <v>-0.354046395472493</v>
          </cell>
          <cell r="T46">
            <v>78</v>
          </cell>
          <cell r="U46">
            <v>55</v>
          </cell>
          <cell r="V46">
            <v>-0.29487179487179499</v>
          </cell>
          <cell r="W46">
            <v>913.28936999999996</v>
          </cell>
        </row>
        <row r="47">
          <cell r="A47" t="str">
            <v>墨西哥-1</v>
          </cell>
          <cell r="B47" t="str">
            <v>A</v>
          </cell>
          <cell r="C47">
            <v>205</v>
          </cell>
          <cell r="D47">
            <v>127</v>
          </cell>
          <cell r="E47">
            <v>-0.38048780487804901</v>
          </cell>
          <cell r="F47">
            <v>3027.8659160000002</v>
          </cell>
          <cell r="G47">
            <v>2436.0628379999998</v>
          </cell>
          <cell r="H47">
            <v>-0.19545220773243799</v>
          </cell>
          <cell r="K47">
            <v>3027.8659160000002</v>
          </cell>
          <cell r="L47">
            <v>2436.0628379999998</v>
          </cell>
          <cell r="M47">
            <v>-0.19545220773243799</v>
          </cell>
          <cell r="N47">
            <v>61</v>
          </cell>
          <cell r="O47">
            <v>85</v>
          </cell>
          <cell r="P47">
            <v>0.39344262295082</v>
          </cell>
          <cell r="Q47">
            <v>919.33171900000002</v>
          </cell>
          <cell r="R47">
            <v>1224.1174510000001</v>
          </cell>
          <cell r="S47">
            <v>0.33152965975277099</v>
          </cell>
          <cell r="T47">
            <v>38</v>
          </cell>
          <cell r="U47">
            <v>79</v>
          </cell>
          <cell r="V47">
            <v>1.07894736842105</v>
          </cell>
          <cell r="W47">
            <v>490.77310799999998</v>
          </cell>
        </row>
        <row r="48">
          <cell r="A48" t="str">
            <v>墨西哥-2</v>
          </cell>
          <cell r="B48" t="str">
            <v>A</v>
          </cell>
          <cell r="C48">
            <v>210</v>
          </cell>
          <cell r="D48">
            <v>124</v>
          </cell>
          <cell r="E48">
            <v>-0.40952380952381001</v>
          </cell>
          <cell r="F48">
            <v>4168.0500819999997</v>
          </cell>
          <cell r="G48">
            <v>2246.0710600000002</v>
          </cell>
          <cell r="H48">
            <v>-0.461121863746358</v>
          </cell>
          <cell r="K48">
            <v>4168.0500819999997</v>
          </cell>
          <cell r="L48">
            <v>2246.0710600000002</v>
          </cell>
          <cell r="M48">
            <v>-0.461121863746358</v>
          </cell>
          <cell r="N48">
            <v>90</v>
          </cell>
          <cell r="O48">
            <v>64</v>
          </cell>
          <cell r="P48">
            <v>-0.28888888888888897</v>
          </cell>
          <cell r="Q48">
            <v>1491.4457580000001</v>
          </cell>
          <cell r="R48">
            <v>875.25621000000001</v>
          </cell>
          <cell r="S48">
            <v>-0.413149150543898</v>
          </cell>
          <cell r="T48">
            <v>67</v>
          </cell>
          <cell r="U48">
            <v>60</v>
          </cell>
          <cell r="V48">
            <v>-0.104477611940299</v>
          </cell>
          <cell r="W48">
            <v>931.40596400000004</v>
          </cell>
        </row>
        <row r="49">
          <cell r="A49" t="str">
            <v>秘鲁</v>
          </cell>
          <cell r="B49" t="str">
            <v>C</v>
          </cell>
          <cell r="C49">
            <v>40</v>
          </cell>
          <cell r="D49">
            <v>24</v>
          </cell>
          <cell r="E49">
            <v>-0.4</v>
          </cell>
          <cell r="F49">
            <v>715.240905</v>
          </cell>
          <cell r="G49">
            <v>300.29678999999999</v>
          </cell>
          <cell r="H49">
            <v>-0.58014595096459098</v>
          </cell>
          <cell r="K49">
            <v>715.240905</v>
          </cell>
          <cell r="L49">
            <v>300.29678999999999</v>
          </cell>
          <cell r="M49">
            <v>-0.58014595096459098</v>
          </cell>
          <cell r="N49">
            <v>1</v>
          </cell>
          <cell r="O49">
            <v>8</v>
          </cell>
          <cell r="P49">
            <v>7</v>
          </cell>
          <cell r="Q49">
            <v>9.1833600000000004</v>
          </cell>
          <cell r="R49">
            <v>99.284766000000005</v>
          </cell>
          <cell r="S49">
            <v>9.8113768816642306</v>
          </cell>
          <cell r="T49">
            <v>1</v>
          </cell>
          <cell r="U49">
            <v>2</v>
          </cell>
          <cell r="V49">
            <v>1</v>
          </cell>
          <cell r="W49">
            <v>16.065435999999998</v>
          </cell>
        </row>
        <row r="50">
          <cell r="A50" t="str">
            <v>智利</v>
          </cell>
          <cell r="B50" t="str">
            <v>C</v>
          </cell>
          <cell r="C50">
            <v>60</v>
          </cell>
          <cell r="D50">
            <v>38</v>
          </cell>
          <cell r="E50">
            <v>-0.36666666666666697</v>
          </cell>
          <cell r="F50">
            <v>872.93738499999995</v>
          </cell>
          <cell r="G50">
            <v>529.26157000000001</v>
          </cell>
          <cell r="H50">
            <v>-0.39370041987604898</v>
          </cell>
          <cell r="K50">
            <v>872.93738499999995</v>
          </cell>
          <cell r="L50">
            <v>529.26157000000001</v>
          </cell>
          <cell r="M50">
            <v>-0.39370041987604898</v>
          </cell>
          <cell r="N50">
            <v>5</v>
          </cell>
          <cell r="O50">
            <v>13</v>
          </cell>
          <cell r="P50">
            <v>1.6</v>
          </cell>
          <cell r="Q50">
            <v>50.763553999999999</v>
          </cell>
          <cell r="R50">
            <v>172.88048599999999</v>
          </cell>
          <cell r="S50">
            <v>2.4056024918980299</v>
          </cell>
          <cell r="T50">
            <v>7</v>
          </cell>
          <cell r="U50">
            <v>7</v>
          </cell>
          <cell r="V50">
            <v>0</v>
          </cell>
          <cell r="W50">
            <v>73.763803999999993</v>
          </cell>
        </row>
        <row r="51">
          <cell r="A51" t="str">
            <v>加勒比海</v>
          </cell>
          <cell r="B51" t="str">
            <v>A</v>
          </cell>
          <cell r="C51">
            <v>271</v>
          </cell>
          <cell r="D51">
            <v>247</v>
          </cell>
          <cell r="E51">
            <v>-8.8560885608856096E-2</v>
          </cell>
          <cell r="F51">
            <v>3201.1956659999901</v>
          </cell>
          <cell r="G51">
            <v>3048.4543779999999</v>
          </cell>
          <cell r="H51">
            <v>-4.7713824438243797E-2</v>
          </cell>
          <cell r="K51">
            <v>3201.1956659999901</v>
          </cell>
          <cell r="L51">
            <v>3048.4543779999999</v>
          </cell>
          <cell r="M51">
            <v>-4.7713824438243797E-2</v>
          </cell>
          <cell r="N51">
            <v>85</v>
          </cell>
          <cell r="O51">
            <v>56</v>
          </cell>
          <cell r="P51">
            <v>-0.34117647058823503</v>
          </cell>
          <cell r="Q51">
            <v>925.64737300000002</v>
          </cell>
          <cell r="R51">
            <v>538.03491099999997</v>
          </cell>
          <cell r="S51">
            <v>-0.41874743374872597</v>
          </cell>
          <cell r="T51">
            <v>75</v>
          </cell>
          <cell r="U51">
            <v>28</v>
          </cell>
          <cell r="V51">
            <v>-0.62666666666666704</v>
          </cell>
          <cell r="W51">
            <v>819.69526499999995</v>
          </cell>
        </row>
        <row r="52">
          <cell r="A52" t="str">
            <v>多米尼加</v>
          </cell>
          <cell r="B52" t="str">
            <v>C</v>
          </cell>
          <cell r="C52">
            <v>0</v>
          </cell>
          <cell r="D52">
            <v>12</v>
          </cell>
          <cell r="E52" t="e">
            <v>#DIV/0!</v>
          </cell>
          <cell r="F52">
            <v>0</v>
          </cell>
          <cell r="G52">
            <v>101.979831</v>
          </cell>
          <cell r="H52" t="e">
            <v>#DIV/0!</v>
          </cell>
          <cell r="K52">
            <v>0</v>
          </cell>
          <cell r="L52">
            <v>101.979831</v>
          </cell>
          <cell r="M52" t="e">
            <v>#DIV/0!</v>
          </cell>
          <cell r="N52">
            <v>0</v>
          </cell>
          <cell r="O52">
            <v>0</v>
          </cell>
          <cell r="P52" t="e">
            <v>#DIV/0!</v>
          </cell>
          <cell r="Q52">
            <v>0</v>
          </cell>
          <cell r="R52">
            <v>0</v>
          </cell>
          <cell r="S52" t="e">
            <v>#DIV/0!</v>
          </cell>
          <cell r="T52">
            <v>0</v>
          </cell>
          <cell r="U52">
            <v>0</v>
          </cell>
          <cell r="V52" t="e">
            <v>#DIV/0!</v>
          </cell>
          <cell r="W52">
            <v>0</v>
          </cell>
        </row>
        <row r="53">
          <cell r="A53" t="str">
            <v>哥伦比亚</v>
          </cell>
          <cell r="B53" t="str">
            <v>A</v>
          </cell>
          <cell r="C53">
            <v>326</v>
          </cell>
          <cell r="D53">
            <v>151</v>
          </cell>
          <cell r="E53">
            <v>-0.53680981595092003</v>
          </cell>
          <cell r="F53">
            <v>3941.709069</v>
          </cell>
          <cell r="G53">
            <v>2986.2533520000002</v>
          </cell>
          <cell r="H53">
            <v>-0.24239630583451299</v>
          </cell>
          <cell r="K53">
            <v>3941.709069</v>
          </cell>
          <cell r="L53">
            <v>2986.2533520000002</v>
          </cell>
          <cell r="M53">
            <v>-0.24239630583451299</v>
          </cell>
          <cell r="N53">
            <v>135</v>
          </cell>
          <cell r="O53">
            <v>57</v>
          </cell>
          <cell r="P53">
            <v>-0.57777777777777795</v>
          </cell>
          <cell r="Q53">
            <v>1488.884333</v>
          </cell>
          <cell r="R53">
            <v>526.91266199999995</v>
          </cell>
          <cell r="S53">
            <v>-0.64610235306976005</v>
          </cell>
          <cell r="T53">
            <v>110</v>
          </cell>
          <cell r="U53">
            <v>70</v>
          </cell>
          <cell r="V53">
            <v>-0.36363636363636398</v>
          </cell>
          <cell r="W53">
            <v>1188.587968</v>
          </cell>
        </row>
        <row r="54">
          <cell r="A54" t="str">
            <v>秘鲁2</v>
          </cell>
          <cell r="B54" t="str">
            <v>D</v>
          </cell>
          <cell r="C54">
            <v>0</v>
          </cell>
          <cell r="D54">
            <v>0</v>
          </cell>
          <cell r="E54" t="e">
            <v>#DIV/0!</v>
          </cell>
          <cell r="F54">
            <v>0</v>
          </cell>
          <cell r="G54">
            <v>0</v>
          </cell>
          <cell r="H54" t="e">
            <v>#DIV/0!</v>
          </cell>
          <cell r="K54">
            <v>0</v>
          </cell>
          <cell r="L54">
            <v>0</v>
          </cell>
          <cell r="M54" t="e">
            <v>#DIV/0!</v>
          </cell>
          <cell r="N54">
            <v>0</v>
          </cell>
          <cell r="O54">
            <v>0</v>
          </cell>
          <cell r="P54" t="e">
            <v>#DIV/0!</v>
          </cell>
          <cell r="Q54">
            <v>0</v>
          </cell>
          <cell r="R54">
            <v>0</v>
          </cell>
          <cell r="S54" t="e">
            <v>#DIV/0!</v>
          </cell>
          <cell r="T54">
            <v>0</v>
          </cell>
          <cell r="U54">
            <v>0</v>
          </cell>
          <cell r="V54" t="e">
            <v>#DIV/0!</v>
          </cell>
          <cell r="W54">
            <v>0</v>
          </cell>
        </row>
        <row r="55">
          <cell r="A55" t="str">
            <v>巴西</v>
          </cell>
          <cell r="B55" t="str">
            <v>D</v>
          </cell>
          <cell r="C55">
            <v>0</v>
          </cell>
          <cell r="D55">
            <v>0</v>
          </cell>
          <cell r="E55" t="e">
            <v>#DIV/0!</v>
          </cell>
          <cell r="F55">
            <v>0</v>
          </cell>
          <cell r="G55">
            <v>0</v>
          </cell>
          <cell r="H55" t="e">
            <v>#DIV/0!</v>
          </cell>
          <cell r="K55">
            <v>0</v>
          </cell>
          <cell r="L55">
            <v>0</v>
          </cell>
          <cell r="M55" t="e">
            <v>#DIV/0!</v>
          </cell>
          <cell r="N55">
            <v>0</v>
          </cell>
          <cell r="O55">
            <v>0</v>
          </cell>
          <cell r="P55" t="e">
            <v>#DIV/0!</v>
          </cell>
          <cell r="Q55">
            <v>0</v>
          </cell>
          <cell r="R55">
            <v>0</v>
          </cell>
          <cell r="S55" t="e">
            <v>#DIV/0!</v>
          </cell>
          <cell r="T55">
            <v>0</v>
          </cell>
          <cell r="U55">
            <v>0</v>
          </cell>
          <cell r="V55" t="e">
            <v>#DIV/0!</v>
          </cell>
          <cell r="W55">
            <v>0</v>
          </cell>
        </row>
        <row r="56">
          <cell r="A56" t="str">
            <v>美洲合计</v>
          </cell>
          <cell r="C56">
            <v>1112</v>
          </cell>
          <cell r="D56">
            <v>723</v>
          </cell>
          <cell r="E56">
            <v>-0.34982014388489202</v>
          </cell>
          <cell r="F56">
            <v>15926.999023</v>
          </cell>
          <cell r="G56">
            <v>11648.379819</v>
          </cell>
          <cell r="H56">
            <v>-0.26863938384257402</v>
          </cell>
          <cell r="I56">
            <v>0</v>
          </cell>
          <cell r="J56">
            <v>0</v>
          </cell>
          <cell r="K56">
            <v>15926.999023</v>
          </cell>
          <cell r="L56">
            <v>11648.379819</v>
          </cell>
          <cell r="M56">
            <v>-0.26863938384257402</v>
          </cell>
          <cell r="N56">
            <v>377</v>
          </cell>
          <cell r="O56">
            <v>283</v>
          </cell>
          <cell r="P56">
            <v>-0.24933687002652499</v>
          </cell>
          <cell r="Q56">
            <v>4885.2560970000004</v>
          </cell>
          <cell r="R56">
            <v>3436.4864859999998</v>
          </cell>
          <cell r="S56">
            <v>-0.29655960347497001</v>
          </cell>
          <cell r="T56">
            <v>298</v>
          </cell>
          <cell r="U56">
            <v>246</v>
          </cell>
          <cell r="V56">
            <v>-0.17449664429530201</v>
          </cell>
          <cell r="W56">
            <v>3520.291545</v>
          </cell>
        </row>
        <row r="57">
          <cell r="A57" t="str">
            <v>阿联酋-2</v>
          </cell>
          <cell r="B57" t="str">
            <v>B</v>
          </cell>
          <cell r="C57">
            <v>42</v>
          </cell>
          <cell r="D57">
            <v>43</v>
          </cell>
          <cell r="E57">
            <v>2.3809523809523801E-2</v>
          </cell>
          <cell r="F57">
            <v>1049.7855669999999</v>
          </cell>
          <cell r="G57">
            <v>490.78659199999998</v>
          </cell>
          <cell r="H57">
            <v>-0.53248872205155795</v>
          </cell>
          <cell r="K57">
            <v>1049.7855669999999</v>
          </cell>
          <cell r="L57">
            <v>490.78659199999998</v>
          </cell>
          <cell r="M57">
            <v>-0.53248872205155795</v>
          </cell>
          <cell r="N57">
            <v>27</v>
          </cell>
          <cell r="O57">
            <v>5</v>
          </cell>
          <cell r="P57">
            <v>-0.81481481481481499</v>
          </cell>
          <cell r="Q57">
            <v>913.934257</v>
          </cell>
          <cell r="R57">
            <v>55.939306000000002</v>
          </cell>
          <cell r="S57">
            <v>-0.93879285564410098</v>
          </cell>
          <cell r="T57">
            <v>26</v>
          </cell>
          <cell r="U57">
            <v>1</v>
          </cell>
          <cell r="V57">
            <v>-0.96153846153846201</v>
          </cell>
          <cell r="W57">
            <v>895.74991999999997</v>
          </cell>
        </row>
        <row r="58">
          <cell r="A58" t="str">
            <v>沙特工厂</v>
          </cell>
          <cell r="B58" t="str">
            <v>A</v>
          </cell>
          <cell r="C58">
            <v>860</v>
          </cell>
          <cell r="D58">
            <v>202</v>
          </cell>
          <cell r="E58">
            <v>-0.76511627906976698</v>
          </cell>
          <cell r="F58">
            <v>7680.8760709999397</v>
          </cell>
          <cell r="G58">
            <v>1622.2684240000001</v>
          </cell>
          <cell r="H58">
            <v>-0.78879122524511702</v>
          </cell>
          <cell r="K58">
            <v>7680.8760709999397</v>
          </cell>
          <cell r="L58">
            <v>1622.2684240000001</v>
          </cell>
          <cell r="M58">
            <v>-0.78879122524511702</v>
          </cell>
          <cell r="N58">
            <v>115</v>
          </cell>
          <cell r="O58">
            <v>29</v>
          </cell>
          <cell r="P58">
            <v>-0.74782608695652197</v>
          </cell>
          <cell r="Q58">
            <v>999.50570600000003</v>
          </cell>
          <cell r="R58">
            <v>257.58861000000002</v>
          </cell>
          <cell r="S58">
            <v>-0.74228400252874605</v>
          </cell>
          <cell r="T58">
            <v>132</v>
          </cell>
          <cell r="U58">
            <v>29</v>
          </cell>
          <cell r="V58">
            <v>-0.78030303030303005</v>
          </cell>
          <cell r="W58">
            <v>1132.2965879999999</v>
          </cell>
        </row>
        <row r="59">
          <cell r="A59" t="str">
            <v>沙特-1</v>
          </cell>
          <cell r="B59" t="str">
            <v>A</v>
          </cell>
          <cell r="C59">
            <v>380</v>
          </cell>
          <cell r="D59">
            <v>89</v>
          </cell>
          <cell r="E59">
            <v>-0.76578947368421102</v>
          </cell>
          <cell r="F59">
            <v>2999.3153000000002</v>
          </cell>
          <cell r="G59">
            <v>696.21054600000002</v>
          </cell>
          <cell r="H59">
            <v>-0.76787683975739396</v>
          </cell>
          <cell r="K59">
            <v>2999.3153000000002</v>
          </cell>
          <cell r="L59">
            <v>696.21054600000002</v>
          </cell>
          <cell r="M59">
            <v>-0.76787683975739396</v>
          </cell>
          <cell r="N59">
            <v>18</v>
          </cell>
          <cell r="O59">
            <v>13</v>
          </cell>
          <cell r="P59">
            <v>-0.27777777777777801</v>
          </cell>
          <cell r="Q59">
            <v>244.92996500000001</v>
          </cell>
          <cell r="R59">
            <v>108.78727600000001</v>
          </cell>
          <cell r="S59">
            <v>-0.55584333668606001</v>
          </cell>
          <cell r="T59">
            <v>22</v>
          </cell>
          <cell r="U59">
            <v>22</v>
          </cell>
          <cell r="V59">
            <v>0</v>
          </cell>
          <cell r="W59">
            <v>262.43405999999999</v>
          </cell>
        </row>
        <row r="60">
          <cell r="A60" t="str">
            <v>科威特</v>
          </cell>
          <cell r="B60" t="str">
            <v>C</v>
          </cell>
          <cell r="C60">
            <v>77</v>
          </cell>
          <cell r="D60">
            <v>25</v>
          </cell>
          <cell r="E60">
            <v>-0.67532467532467499</v>
          </cell>
          <cell r="F60">
            <v>1017.1580300000001</v>
          </cell>
          <cell r="G60">
            <v>479.95219800000001</v>
          </cell>
          <cell r="H60">
            <v>-0.52814392272948996</v>
          </cell>
          <cell r="K60">
            <v>1017.1580300000001</v>
          </cell>
          <cell r="L60">
            <v>479.95219800000001</v>
          </cell>
          <cell r="M60">
            <v>-0.52814392272948996</v>
          </cell>
          <cell r="N60">
            <v>11</v>
          </cell>
          <cell r="O60">
            <v>0</v>
          </cell>
          <cell r="P60">
            <v>-1</v>
          </cell>
          <cell r="Q60">
            <v>126.799567</v>
          </cell>
          <cell r="R60">
            <v>0</v>
          </cell>
          <cell r="S60">
            <v>-1</v>
          </cell>
          <cell r="T60">
            <v>12</v>
          </cell>
          <cell r="U60">
            <v>9</v>
          </cell>
          <cell r="V60">
            <v>-0.25</v>
          </cell>
          <cell r="W60">
            <v>134.82774499999999</v>
          </cell>
        </row>
        <row r="61">
          <cell r="A61" t="str">
            <v>阿联酋-1</v>
          </cell>
          <cell r="B61" t="str">
            <v>A</v>
          </cell>
          <cell r="C61">
            <v>404</v>
          </cell>
          <cell r="D61">
            <v>88</v>
          </cell>
          <cell r="E61">
            <v>-0.78217821782178198</v>
          </cell>
          <cell r="F61">
            <v>3426.458329</v>
          </cell>
          <cell r="G61">
            <v>778.696469000001</v>
          </cell>
          <cell r="H61">
            <v>-0.77274013157858501</v>
          </cell>
          <cell r="K61">
            <v>3426.458329</v>
          </cell>
          <cell r="L61">
            <v>778.696469000001</v>
          </cell>
          <cell r="M61">
            <v>-0.77274013157858501</v>
          </cell>
          <cell r="N61">
            <v>63</v>
          </cell>
          <cell r="O61">
            <v>34</v>
          </cell>
          <cell r="P61">
            <v>-0.46031746031746001</v>
          </cell>
          <cell r="Q61">
            <v>500.02766100000002</v>
          </cell>
          <cell r="R61">
            <v>246.24598900000001</v>
          </cell>
          <cell r="S61">
            <v>-0.50753526613400701</v>
          </cell>
          <cell r="T61">
            <v>52</v>
          </cell>
          <cell r="U61">
            <v>32</v>
          </cell>
          <cell r="V61">
            <v>-0.38461538461538503</v>
          </cell>
          <cell r="W61">
            <v>388.01157699999999</v>
          </cell>
        </row>
        <row r="62">
          <cell r="A62" t="str">
            <v>卡塔尔</v>
          </cell>
          <cell r="B62" t="str">
            <v>C</v>
          </cell>
          <cell r="C62">
            <v>0</v>
          </cell>
          <cell r="D62">
            <v>12</v>
          </cell>
          <cell r="E62" t="e">
            <v>#DIV/0!</v>
          </cell>
          <cell r="F62">
            <v>0</v>
          </cell>
          <cell r="G62">
            <v>155.36558400000001</v>
          </cell>
          <cell r="H62" t="e">
            <v>#DIV/0!</v>
          </cell>
          <cell r="K62">
            <v>0</v>
          </cell>
          <cell r="L62">
            <v>155.36558400000001</v>
          </cell>
          <cell r="M62" t="e">
            <v>#DIV/0!</v>
          </cell>
          <cell r="N62">
            <v>0</v>
          </cell>
          <cell r="O62">
            <v>0</v>
          </cell>
          <cell r="P62" t="e">
            <v>#DIV/0!</v>
          </cell>
          <cell r="Q62">
            <v>0</v>
          </cell>
          <cell r="R62">
            <v>0</v>
          </cell>
          <cell r="S62" t="e">
            <v>#DIV/0!</v>
          </cell>
          <cell r="T62">
            <v>0</v>
          </cell>
          <cell r="U62">
            <v>0</v>
          </cell>
          <cell r="V62" t="e">
            <v>#DIV/0!</v>
          </cell>
          <cell r="W62">
            <v>0</v>
          </cell>
        </row>
        <row r="63">
          <cell r="A63" t="str">
            <v>伊拉克</v>
          </cell>
          <cell r="B63" t="str">
            <v>D</v>
          </cell>
          <cell r="C63">
            <v>53</v>
          </cell>
          <cell r="D63">
            <v>24</v>
          </cell>
          <cell r="E63">
            <v>-0.54716981132075504</v>
          </cell>
          <cell r="F63">
            <v>592.63861599999996</v>
          </cell>
          <cell r="G63">
            <v>292.14370200000002</v>
          </cell>
          <cell r="H63">
            <v>-0.50704578791740396</v>
          </cell>
          <cell r="K63">
            <v>592.63861599999996</v>
          </cell>
          <cell r="L63">
            <v>292.14370200000002</v>
          </cell>
          <cell r="M63">
            <v>-0.50704578791740396</v>
          </cell>
          <cell r="N63">
            <v>8</v>
          </cell>
          <cell r="O63">
            <v>8</v>
          </cell>
          <cell r="P63">
            <v>0</v>
          </cell>
          <cell r="Q63">
            <v>61.438507000000001</v>
          </cell>
          <cell r="R63">
            <v>65.929432000000006</v>
          </cell>
          <cell r="S63">
            <v>7.3096258670478406E-2</v>
          </cell>
          <cell r="T63">
            <v>8</v>
          </cell>
          <cell r="U63">
            <v>4</v>
          </cell>
          <cell r="V63">
            <v>-0.5</v>
          </cell>
          <cell r="W63">
            <v>61.438507000000001</v>
          </cell>
        </row>
        <row r="64">
          <cell r="A64" t="str">
            <v>巴勒斯坦</v>
          </cell>
          <cell r="B64" t="str">
            <v>C</v>
          </cell>
          <cell r="C64">
            <v>0</v>
          </cell>
          <cell r="D64">
            <v>18</v>
          </cell>
          <cell r="E64" t="e">
            <v>#DIV/0!</v>
          </cell>
          <cell r="F64">
            <v>0</v>
          </cell>
          <cell r="G64">
            <v>333.39719000000002</v>
          </cell>
          <cell r="H64" t="e">
            <v>#DIV/0!</v>
          </cell>
          <cell r="I64">
            <v>0</v>
          </cell>
          <cell r="J64">
            <v>0</v>
          </cell>
          <cell r="K64">
            <v>0</v>
          </cell>
          <cell r="L64">
            <v>333.39719000000002</v>
          </cell>
          <cell r="M64" t="e">
            <v>#DIV/0!</v>
          </cell>
          <cell r="N64">
            <v>0</v>
          </cell>
          <cell r="O64">
            <v>3</v>
          </cell>
          <cell r="P64" t="e">
            <v>#DIV/0!</v>
          </cell>
          <cell r="Q64">
            <v>0</v>
          </cell>
          <cell r="R64">
            <v>24.950810000000001</v>
          </cell>
          <cell r="S64" t="e">
            <v>#DIV/0!</v>
          </cell>
          <cell r="T64">
            <v>0</v>
          </cell>
          <cell r="U64">
            <v>0</v>
          </cell>
          <cell r="V64" t="e">
            <v>#DIV/0!</v>
          </cell>
          <cell r="W64">
            <v>0</v>
          </cell>
        </row>
        <row r="65">
          <cell r="A65" t="str">
            <v>阿联酋3</v>
          </cell>
          <cell r="B65" t="str">
            <v>C</v>
          </cell>
          <cell r="C65">
            <v>0</v>
          </cell>
          <cell r="D65">
            <v>0</v>
          </cell>
          <cell r="E65" t="e">
            <v>#DIV/0!</v>
          </cell>
          <cell r="F65">
            <v>0</v>
          </cell>
          <cell r="G65">
            <v>0</v>
          </cell>
          <cell r="H65" t="e">
            <v>#DIV/0!</v>
          </cell>
          <cell r="K65">
            <v>0</v>
          </cell>
          <cell r="L65">
            <v>0</v>
          </cell>
          <cell r="M65" t="e">
            <v>#DIV/0!</v>
          </cell>
          <cell r="N65">
            <v>0</v>
          </cell>
          <cell r="O65">
            <v>0</v>
          </cell>
          <cell r="P65" t="e">
            <v>#DIV/0!</v>
          </cell>
          <cell r="Q65">
            <v>0</v>
          </cell>
          <cell r="R65">
            <v>0</v>
          </cell>
          <cell r="S65" t="e">
            <v>#DIV/0!</v>
          </cell>
          <cell r="T65">
            <v>0</v>
          </cell>
          <cell r="U65">
            <v>0</v>
          </cell>
          <cell r="V65" t="e">
            <v>#DIV/0!</v>
          </cell>
          <cell r="W65">
            <v>0</v>
          </cell>
        </row>
        <row r="66">
          <cell r="A66" t="str">
            <v>伊朗+阿曼</v>
          </cell>
          <cell r="B66" t="str">
            <v>D</v>
          </cell>
          <cell r="C66">
            <v>92</v>
          </cell>
          <cell r="D66">
            <v>28</v>
          </cell>
          <cell r="E66">
            <v>-0.69565217391304301</v>
          </cell>
          <cell r="F66">
            <v>1001.540992</v>
          </cell>
          <cell r="G66">
            <v>193.687006</v>
          </cell>
          <cell r="H66">
            <v>-0.80661100489434601</v>
          </cell>
          <cell r="K66">
            <v>1001.540992</v>
          </cell>
          <cell r="L66">
            <v>193.687006</v>
          </cell>
          <cell r="M66">
            <v>-0.80661100489434601</v>
          </cell>
          <cell r="N66">
            <v>20</v>
          </cell>
          <cell r="O66">
            <v>15</v>
          </cell>
          <cell r="P66">
            <v>-0.25</v>
          </cell>
          <cell r="Q66">
            <v>200.807132</v>
          </cell>
          <cell r="R66">
            <v>95.056314</v>
          </cell>
          <cell r="S66">
            <v>-0.52662879523621697</v>
          </cell>
          <cell r="T66">
            <v>15</v>
          </cell>
          <cell r="U66">
            <v>2</v>
          </cell>
          <cell r="V66">
            <v>-0.86666666666666703</v>
          </cell>
          <cell r="W66">
            <v>137.57912400000001</v>
          </cell>
        </row>
        <row r="67">
          <cell r="A67" t="str">
            <v>中东合计</v>
          </cell>
          <cell r="C67">
            <v>1908</v>
          </cell>
          <cell r="D67">
            <v>529</v>
          </cell>
          <cell r="E67">
            <v>-0.72274633123689702</v>
          </cell>
          <cell r="F67">
            <v>17767.7729049999</v>
          </cell>
          <cell r="G67">
            <v>5042.5077110000002</v>
          </cell>
          <cell r="H67">
            <v>-0.71619922553259197</v>
          </cell>
          <cell r="I67">
            <v>0</v>
          </cell>
          <cell r="J67">
            <v>0</v>
          </cell>
          <cell r="K67">
            <v>17767.7729049999</v>
          </cell>
          <cell r="L67">
            <v>5042.5077110000002</v>
          </cell>
          <cell r="M67">
            <v>-0.71619922553259197</v>
          </cell>
          <cell r="N67">
            <v>262</v>
          </cell>
          <cell r="O67">
            <v>107</v>
          </cell>
          <cell r="P67">
            <v>-0.59160305343511499</v>
          </cell>
          <cell r="Q67">
            <v>3047.4427949999999</v>
          </cell>
          <cell r="R67">
            <v>854.49773700000003</v>
          </cell>
          <cell r="S67">
            <v>-0.71960171380345805</v>
          </cell>
          <cell r="T67">
            <v>267</v>
          </cell>
          <cell r="U67">
            <v>99</v>
          </cell>
          <cell r="V67">
            <v>-0.62921348314606695</v>
          </cell>
          <cell r="W67">
            <v>3012.3375209999999</v>
          </cell>
        </row>
        <row r="68">
          <cell r="A68" t="str">
            <v>埃及-1</v>
          </cell>
          <cell r="B68" t="str">
            <v>A</v>
          </cell>
          <cell r="C68">
            <v>469</v>
          </cell>
          <cell r="D68">
            <v>210</v>
          </cell>
          <cell r="E68">
            <v>-0.55223880597014896</v>
          </cell>
          <cell r="F68">
            <v>6870.23698899998</v>
          </cell>
          <cell r="G68">
            <v>1334.20057</v>
          </cell>
          <cell r="H68">
            <v>-0.80579992041960102</v>
          </cell>
          <cell r="K68">
            <v>6870.23698899998</v>
          </cell>
          <cell r="L68">
            <v>1334.20057</v>
          </cell>
          <cell r="M68">
            <v>-0.80579992041960102</v>
          </cell>
          <cell r="N68">
            <v>406</v>
          </cell>
          <cell r="O68">
            <v>2</v>
          </cell>
          <cell r="P68">
            <v>-0.99507389162561599</v>
          </cell>
          <cell r="Q68">
            <v>2397.89588799999</v>
          </cell>
          <cell r="R68">
            <v>16.29336</v>
          </cell>
          <cell r="S68">
            <v>-0.99320514285814598</v>
          </cell>
          <cell r="T68">
            <v>6</v>
          </cell>
          <cell r="U68">
            <v>0</v>
          </cell>
          <cell r="V68">
            <v>-1</v>
          </cell>
          <cell r="W68">
            <v>57.934756</v>
          </cell>
        </row>
        <row r="69">
          <cell r="A69" t="str">
            <v>埃及-2</v>
          </cell>
          <cell r="B69" t="str">
            <v>D</v>
          </cell>
          <cell r="C69">
            <v>22</v>
          </cell>
          <cell r="D69">
            <v>28</v>
          </cell>
          <cell r="E69">
            <v>0.27272727272727298</v>
          </cell>
          <cell r="F69">
            <v>202.744236</v>
          </cell>
          <cell r="G69">
            <v>227.353666</v>
          </cell>
          <cell r="H69">
            <v>0.121381650524457</v>
          </cell>
          <cell r="K69">
            <v>202.744236</v>
          </cell>
          <cell r="L69">
            <v>227.353666</v>
          </cell>
          <cell r="M69">
            <v>0.121381650524457</v>
          </cell>
          <cell r="N69">
            <v>7</v>
          </cell>
          <cell r="O69">
            <v>1</v>
          </cell>
          <cell r="P69">
            <v>-0.85714285714285698</v>
          </cell>
          <cell r="Q69">
            <v>57.436799999999998</v>
          </cell>
          <cell r="R69">
            <v>8.2169100000000004</v>
          </cell>
          <cell r="S69">
            <v>-0.85693997576466696</v>
          </cell>
          <cell r="T69">
            <v>21</v>
          </cell>
          <cell r="U69">
            <v>11</v>
          </cell>
          <cell r="V69">
            <v>-0.476190476190476</v>
          </cell>
          <cell r="W69">
            <v>165.82313400000001</v>
          </cell>
        </row>
        <row r="70">
          <cell r="A70" t="str">
            <v>肯尼亚/坦桑尼亚</v>
          </cell>
          <cell r="B70" t="str">
            <v>C</v>
          </cell>
          <cell r="C70">
            <v>39</v>
          </cell>
          <cell r="D70">
            <v>28</v>
          </cell>
          <cell r="E70">
            <v>-0.28205128205128199</v>
          </cell>
          <cell r="F70">
            <v>652.63722499999994</v>
          </cell>
          <cell r="G70">
            <v>265.82459999999998</v>
          </cell>
          <cell r="H70">
            <v>-0.59269163661328095</v>
          </cell>
          <cell r="K70">
            <v>652.63722499999994</v>
          </cell>
          <cell r="L70">
            <v>265.82459999999998</v>
          </cell>
          <cell r="M70">
            <v>-0.59269163661328095</v>
          </cell>
          <cell r="N70">
            <v>0</v>
          </cell>
          <cell r="O70">
            <v>0</v>
          </cell>
          <cell r="P70" t="e">
            <v>#DIV/0!</v>
          </cell>
          <cell r="Q70">
            <v>0</v>
          </cell>
          <cell r="R70">
            <v>0</v>
          </cell>
          <cell r="S70" t="e">
            <v>#DIV/0!</v>
          </cell>
          <cell r="T70">
            <v>1</v>
          </cell>
          <cell r="U70">
            <v>0</v>
          </cell>
          <cell r="V70">
            <v>-1</v>
          </cell>
          <cell r="W70">
            <v>13.231109999999999</v>
          </cell>
        </row>
        <row r="71">
          <cell r="A71" t="str">
            <v>尼日利亚/埃塞俄比亚</v>
          </cell>
          <cell r="B71" t="str">
            <v>C</v>
          </cell>
          <cell r="C71">
            <v>38</v>
          </cell>
          <cell r="D71">
            <v>16</v>
          </cell>
          <cell r="E71">
            <v>-0.57894736842105299</v>
          </cell>
          <cell r="F71">
            <v>550.22496799999999</v>
          </cell>
          <cell r="G71">
            <v>188.6208</v>
          </cell>
          <cell r="H71">
            <v>-0.65719331006440296</v>
          </cell>
          <cell r="K71">
            <v>550.22496799999999</v>
          </cell>
          <cell r="L71">
            <v>188.6208</v>
          </cell>
          <cell r="M71">
            <v>-0.65719331006440296</v>
          </cell>
          <cell r="N71">
            <v>14</v>
          </cell>
          <cell r="O71">
            <v>8</v>
          </cell>
          <cell r="P71">
            <v>-0.42857142857142899</v>
          </cell>
          <cell r="Q71">
            <v>177.80094199999999</v>
          </cell>
          <cell r="R71">
            <v>80.185680000000005</v>
          </cell>
          <cell r="S71">
            <v>-0.54901431287130098</v>
          </cell>
          <cell r="T71">
            <v>17</v>
          </cell>
          <cell r="U71">
            <v>15</v>
          </cell>
          <cell r="V71">
            <v>-0.11764705882352899</v>
          </cell>
          <cell r="W71">
            <v>210.26359199999999</v>
          </cell>
        </row>
        <row r="72">
          <cell r="A72" t="str">
            <v>非洲法语区</v>
          </cell>
          <cell r="B72" t="str">
            <v>D</v>
          </cell>
          <cell r="C72">
            <v>129</v>
          </cell>
          <cell r="D72">
            <v>26</v>
          </cell>
          <cell r="E72">
            <v>-0.79844961240310097</v>
          </cell>
          <cell r="F72">
            <v>1471.255735</v>
          </cell>
          <cell r="G72">
            <v>184.57711</v>
          </cell>
          <cell r="H72">
            <v>-0.87454450942208295</v>
          </cell>
          <cell r="K72">
            <v>1471.255735</v>
          </cell>
          <cell r="L72">
            <v>184.57711</v>
          </cell>
          <cell r="M72">
            <v>-0.87454450942208295</v>
          </cell>
          <cell r="N72">
            <v>0</v>
          </cell>
          <cell r="O72">
            <v>0</v>
          </cell>
          <cell r="P72" t="e">
            <v>#DIV/0!</v>
          </cell>
          <cell r="Q72">
            <v>0</v>
          </cell>
          <cell r="R72">
            <v>0</v>
          </cell>
          <cell r="S72" t="e">
            <v>#DIV/0!</v>
          </cell>
          <cell r="T72">
            <v>0</v>
          </cell>
          <cell r="U72">
            <v>0</v>
          </cell>
          <cell r="V72" t="e">
            <v>#DIV/0!</v>
          </cell>
          <cell r="W72">
            <v>0</v>
          </cell>
        </row>
        <row r="73">
          <cell r="A73" t="str">
            <v>南非/安格拉</v>
          </cell>
          <cell r="B73" t="str">
            <v>D</v>
          </cell>
          <cell r="C73">
            <v>0</v>
          </cell>
          <cell r="D73">
            <v>23</v>
          </cell>
          <cell r="E73" t="e">
            <v>#DIV/0!</v>
          </cell>
          <cell r="F73">
            <v>0</v>
          </cell>
          <cell r="G73">
            <v>295.85252200000002</v>
          </cell>
          <cell r="H73" t="e">
            <v>#DIV/0!</v>
          </cell>
          <cell r="K73">
            <v>0</v>
          </cell>
          <cell r="L73">
            <v>295.85252200000002</v>
          </cell>
          <cell r="M73" t="e">
            <v>#DIV/0!</v>
          </cell>
          <cell r="N73">
            <v>0</v>
          </cell>
          <cell r="O73">
            <v>2</v>
          </cell>
          <cell r="P73" t="e">
            <v>#DIV/0!</v>
          </cell>
          <cell r="Q73">
            <v>0</v>
          </cell>
          <cell r="R73">
            <v>24.9391</v>
          </cell>
          <cell r="S73" t="e">
            <v>#DIV/0!</v>
          </cell>
          <cell r="T73">
            <v>0</v>
          </cell>
          <cell r="U73">
            <v>1</v>
          </cell>
          <cell r="V73" t="e">
            <v>#DIV/0!</v>
          </cell>
          <cell r="W73">
            <v>0</v>
          </cell>
        </row>
        <row r="74">
          <cell r="A74" t="str">
            <v>非洲合计</v>
          </cell>
          <cell r="C74">
            <v>697</v>
          </cell>
          <cell r="D74">
            <v>331</v>
          </cell>
          <cell r="E74">
            <v>-0.52510760401721701</v>
          </cell>
          <cell r="F74">
            <v>9747.0991529999792</v>
          </cell>
          <cell r="G74">
            <v>2496.4292679999999</v>
          </cell>
          <cell r="H74">
            <v>-0.74387977091300606</v>
          </cell>
          <cell r="I74">
            <v>0</v>
          </cell>
          <cell r="J74">
            <v>0</v>
          </cell>
          <cell r="K74">
            <v>9747.0991529999792</v>
          </cell>
          <cell r="L74">
            <v>2496.4292679999999</v>
          </cell>
          <cell r="M74">
            <v>-0.74387977091300606</v>
          </cell>
          <cell r="N74">
            <v>427</v>
          </cell>
          <cell r="O74">
            <v>13</v>
          </cell>
          <cell r="P74">
            <v>-0.96955503512880603</v>
          </cell>
          <cell r="Q74">
            <v>2633.1336299999898</v>
          </cell>
          <cell r="R74">
            <v>129.63505000000001</v>
          </cell>
          <cell r="S74">
            <v>-0.95076776638943294</v>
          </cell>
          <cell r="T74">
            <v>45</v>
          </cell>
          <cell r="U74">
            <v>27</v>
          </cell>
          <cell r="V74">
            <v>-0.4</v>
          </cell>
          <cell r="W74">
            <v>447.25259199999999</v>
          </cell>
        </row>
        <row r="75">
          <cell r="A75" t="str">
            <v>德国西班牙</v>
          </cell>
          <cell r="B75" t="str">
            <v>D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</row>
        <row r="76">
          <cell r="A76" t="str">
            <v>东欧</v>
          </cell>
          <cell r="B76" t="str">
            <v>D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A77" t="str">
            <v>英国意大利</v>
          </cell>
          <cell r="B77" t="str">
            <v>D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A78" t="str">
            <v>欧洲合计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A79" t="str">
            <v>商贸1</v>
          </cell>
          <cell r="C79">
            <v>0</v>
          </cell>
          <cell r="D79">
            <v>0</v>
          </cell>
          <cell r="E79">
            <v>0</v>
          </cell>
          <cell r="F79">
            <v>311.58418128</v>
          </cell>
          <cell r="G79">
            <v>402.9128586768</v>
          </cell>
          <cell r="H79">
            <v>0</v>
          </cell>
          <cell r="K79">
            <v>311.58418128</v>
          </cell>
          <cell r="L79">
            <v>402.9128586768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350.25346499070002</v>
          </cell>
          <cell r="R79">
            <v>95.229619510000006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350.25346499070002</v>
          </cell>
        </row>
        <row r="80">
          <cell r="A80" t="str">
            <v>商贸2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143.33000000000001</v>
          </cell>
          <cell r="H80">
            <v>0</v>
          </cell>
          <cell r="K80">
            <v>0</v>
          </cell>
          <cell r="L80">
            <v>143.33000000000001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A81" t="str">
            <v>商贸3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211.10104515</v>
          </cell>
          <cell r="H81">
            <v>0</v>
          </cell>
          <cell r="K81">
            <v>0</v>
          </cell>
          <cell r="L81">
            <v>211.10104515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6.9669599399999997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</row>
        <row r="82">
          <cell r="A82" t="str">
            <v>配件-1</v>
          </cell>
          <cell r="C82">
            <v>0</v>
          </cell>
          <cell r="D82">
            <v>0</v>
          </cell>
          <cell r="E82">
            <v>0</v>
          </cell>
          <cell r="F82">
            <v>565.06137414850002</v>
          </cell>
          <cell r="G82">
            <v>1305.51550411829</v>
          </cell>
          <cell r="H82">
            <v>0</v>
          </cell>
          <cell r="K82">
            <v>565.06137414850002</v>
          </cell>
          <cell r="L82">
            <v>1305.51550411829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346.07499213509999</v>
          </cell>
          <cell r="R82">
            <v>470.70975468975001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346.07499213509999</v>
          </cell>
        </row>
        <row r="83">
          <cell r="A83" t="str">
            <v>配件-2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623.077660798078</v>
          </cell>
          <cell r="H83">
            <v>0</v>
          </cell>
          <cell r="K83">
            <v>0</v>
          </cell>
          <cell r="L83">
            <v>623.077660798078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A84" t="str">
            <v>改造</v>
          </cell>
          <cell r="C84">
            <v>0</v>
          </cell>
          <cell r="D84">
            <v>132</v>
          </cell>
          <cell r="E84" t="e">
            <v>#DIV/0!</v>
          </cell>
          <cell r="F84">
            <v>0</v>
          </cell>
          <cell r="G84">
            <v>700.31841399999996</v>
          </cell>
          <cell r="H84" t="e">
            <v>#DIV/0!</v>
          </cell>
          <cell r="K84">
            <v>0</v>
          </cell>
          <cell r="L84">
            <v>700.31841399999996</v>
          </cell>
          <cell r="M84" t="e">
            <v>#DIV/0!</v>
          </cell>
          <cell r="N84">
            <v>0</v>
          </cell>
          <cell r="O84">
            <v>82</v>
          </cell>
          <cell r="P84" t="e">
            <v>#DIV/0!</v>
          </cell>
          <cell r="Q84">
            <v>0</v>
          </cell>
          <cell r="R84">
            <v>253.59090800000001</v>
          </cell>
          <cell r="S84" t="e">
            <v>#DIV/0!</v>
          </cell>
          <cell r="T84" t="str">
            <v>-</v>
          </cell>
          <cell r="U84">
            <v>0</v>
          </cell>
          <cell r="V84" t="str">
            <v>-</v>
          </cell>
          <cell r="W84">
            <v>82.46</v>
          </cell>
        </row>
        <row r="85">
          <cell r="A85" t="str">
            <v>备件商贸合计</v>
          </cell>
          <cell r="F85">
            <v>876.64555542849996</v>
          </cell>
          <cell r="G85">
            <v>3386.25548274317</v>
          </cell>
          <cell r="H85">
            <v>2.8627418593230498</v>
          </cell>
          <cell r="I85">
            <v>0</v>
          </cell>
          <cell r="J85">
            <v>0</v>
          </cell>
          <cell r="K85">
            <v>876.64555542849996</v>
          </cell>
          <cell r="L85">
            <v>3386.25548274317</v>
          </cell>
          <cell r="M85">
            <v>2.8627418593230498</v>
          </cell>
          <cell r="O85">
            <v>82</v>
          </cell>
          <cell r="P85" t="e">
            <v>#DIV/0!</v>
          </cell>
          <cell r="Q85">
            <v>696.32845712580001</v>
          </cell>
          <cell r="R85">
            <v>826.49724213975003</v>
          </cell>
          <cell r="S85" t="str">
            <v>-</v>
          </cell>
          <cell r="T85">
            <v>0</v>
          </cell>
          <cell r="U85">
            <v>0</v>
          </cell>
          <cell r="V85" t="str">
            <v>-</v>
          </cell>
          <cell r="W85">
            <v>778.78845712580005</v>
          </cell>
        </row>
        <row r="86">
          <cell r="A86" t="str">
            <v>国际总计</v>
          </cell>
          <cell r="C86">
            <v>7711</v>
          </cell>
          <cell r="D86">
            <v>3928</v>
          </cell>
          <cell r="E86">
            <v>-0.49059784723122801</v>
          </cell>
          <cell r="F86">
            <v>107999.785924428</v>
          </cell>
          <cell r="G86">
            <v>60844.397304743201</v>
          </cell>
          <cell r="H86">
            <v>-0.43662483417033499</v>
          </cell>
          <cell r="I86">
            <v>342.59078114760001</v>
          </cell>
          <cell r="J86">
            <v>59.989479539999998</v>
          </cell>
          <cell r="K86">
            <v>108342.376705576</v>
          </cell>
          <cell r="L86">
            <v>60904.386784283197</v>
          </cell>
          <cell r="M86">
            <v>-0.43785258699102703</v>
          </cell>
          <cell r="N86">
            <v>2387</v>
          </cell>
          <cell r="O86">
            <v>1457</v>
          </cell>
          <cell r="P86">
            <v>-0.38961038961039002</v>
          </cell>
          <cell r="Q86">
            <v>35632.850220125802</v>
          </cell>
          <cell r="R86">
            <v>23868.5497181397</v>
          </cell>
          <cell r="S86">
            <v>-0.33015322740984199</v>
          </cell>
          <cell r="T86">
            <v>1483</v>
          </cell>
          <cell r="U86">
            <v>1118</v>
          </cell>
          <cell r="V86">
            <v>-0.24612272420768699</v>
          </cell>
          <cell r="W86">
            <v>25724.196084125801</v>
          </cell>
        </row>
        <row r="88">
          <cell r="B88" t="str">
            <v>整梯</v>
          </cell>
          <cell r="C88">
            <v>7711</v>
          </cell>
          <cell r="D88">
            <v>3928</v>
          </cell>
          <cell r="I88">
            <v>60843.906706895898</v>
          </cell>
          <cell r="J88">
            <v>107122.70374416601</v>
          </cell>
        </row>
        <row r="89">
          <cell r="B89" t="str">
            <v>改造</v>
          </cell>
          <cell r="C89">
            <v>0</v>
          </cell>
          <cell r="D89">
            <v>132</v>
          </cell>
          <cell r="I89">
            <v>0</v>
          </cell>
          <cell r="J89">
            <v>0</v>
          </cell>
        </row>
        <row r="90">
          <cell r="B90" t="str">
            <v>商贸备件</v>
          </cell>
          <cell r="I90">
            <v>0</v>
          </cell>
          <cell r="J90">
            <v>311.58418128</v>
          </cell>
          <cell r="L90" t="str">
            <v>模块</v>
          </cell>
          <cell r="N90" t="str">
            <v>2026年签订合同额</v>
          </cell>
          <cell r="O90" t="str">
            <v>2026年回款(财务）</v>
          </cell>
          <cell r="P90" t="str">
            <v>2026年回款(经营）</v>
          </cell>
          <cell r="Q90" t="str">
            <v>排产合同额</v>
          </cell>
          <cell r="R90" t="str">
            <v>发货合同额</v>
          </cell>
          <cell r="S90" t="str">
            <v>新加坡回款</v>
          </cell>
          <cell r="U90" t="str">
            <v>2025年签订合同额</v>
          </cell>
          <cell r="V90" t="str">
            <v>2025年回款</v>
          </cell>
          <cell r="W90" t="str">
            <v>2025改造发货额</v>
          </cell>
        </row>
        <row r="91">
          <cell r="F91">
            <v>2026</v>
          </cell>
          <cell r="G91">
            <v>2026</v>
          </cell>
          <cell r="H91">
            <v>2025</v>
          </cell>
          <cell r="I91">
            <v>2025</v>
          </cell>
          <cell r="L91" t="str">
            <v>配件销售模块</v>
          </cell>
          <cell r="N91">
            <v>1928.5931649163699</v>
          </cell>
          <cell r="O91">
            <v>320.24122175000002</v>
          </cell>
          <cell r="P91">
            <v>424.79301633044798</v>
          </cell>
          <cell r="Q91">
            <v>470.70975468975001</v>
          </cell>
          <cell r="R91">
            <v>434.47</v>
          </cell>
          <cell r="U91">
            <v>565.06137414850002</v>
          </cell>
          <cell r="V91">
            <v>346.07499213509999</v>
          </cell>
          <cell r="W91">
            <v>82.46</v>
          </cell>
        </row>
        <row r="92">
          <cell r="F92" t="str">
            <v>新加坡</v>
          </cell>
          <cell r="G92" t="str">
            <v>印度</v>
          </cell>
          <cell r="H92" t="str">
            <v>新加坡</v>
          </cell>
          <cell r="I92" t="str">
            <v>印度</v>
          </cell>
          <cell r="L92" t="str">
            <v>商贸进出口模块</v>
          </cell>
          <cell r="N92">
            <v>756.8742711868</v>
          </cell>
          <cell r="O92">
            <v>98.251129101499998</v>
          </cell>
          <cell r="R92">
            <v>4.1040000000000001</v>
          </cell>
          <cell r="U92">
            <v>311.58418128</v>
          </cell>
          <cell r="V92">
            <v>350.25346499070002</v>
          </cell>
        </row>
        <row r="93">
          <cell r="E93" t="str">
            <v>配件</v>
          </cell>
          <cell r="F93">
            <v>105.71435497909999</v>
          </cell>
          <cell r="G93">
            <v>6.6764400000000002E-2</v>
          </cell>
          <cell r="L93" t="str">
            <v>配件-1</v>
          </cell>
          <cell r="N93">
            <v>1305.51550411829</v>
          </cell>
          <cell r="P93">
            <v>424.79301633044798</v>
          </cell>
          <cell r="Q93">
            <v>451.78</v>
          </cell>
          <cell r="R93">
            <v>434.47</v>
          </cell>
          <cell r="S93">
            <v>45.9</v>
          </cell>
        </row>
        <row r="94">
          <cell r="E94" t="str">
            <v>整梯、安装、维保回款</v>
          </cell>
          <cell r="F94">
            <v>4324.4607383433004</v>
          </cell>
          <cell r="G94">
            <v>64.849626200000003</v>
          </cell>
          <cell r="H94">
            <v>1158.9069405165999</v>
          </cell>
          <cell r="I94">
            <v>238.55695288000001</v>
          </cell>
          <cell r="L94" t="str">
            <v>配件-2</v>
          </cell>
          <cell r="N94">
            <v>623.077660798078</v>
          </cell>
          <cell r="P94">
            <v>0</v>
          </cell>
          <cell r="Q94">
            <v>18.93</v>
          </cell>
        </row>
        <row r="95">
          <cell r="E95" t="str">
            <v>合计</v>
          </cell>
          <cell r="F95">
            <v>4430.1750933224002</v>
          </cell>
          <cell r="G95">
            <v>64.9163906</v>
          </cell>
          <cell r="H95">
            <v>0</v>
          </cell>
          <cell r="I95">
            <v>0</v>
          </cell>
          <cell r="L95" t="str">
            <v>合计</v>
          </cell>
          <cell r="N95">
            <v>2685.4674361031698</v>
          </cell>
          <cell r="O95">
            <v>418.49235085150002</v>
          </cell>
        </row>
        <row r="96">
          <cell r="L96" t="str">
            <v>2025年</v>
          </cell>
          <cell r="O96">
            <v>2026</v>
          </cell>
        </row>
        <row r="97">
          <cell r="L97" t="str">
            <v>模块</v>
          </cell>
          <cell r="M97" t="str">
            <v>签订额</v>
          </cell>
          <cell r="N97" t="str">
            <v>回款额</v>
          </cell>
          <cell r="O97" t="str">
            <v>模块</v>
          </cell>
          <cell r="P97" t="str">
            <v>签订额</v>
          </cell>
          <cell r="Q97" t="str">
            <v>回款额</v>
          </cell>
          <cell r="R97" t="str">
            <v>已排产</v>
          </cell>
        </row>
        <row r="98">
          <cell r="L98" t="str">
            <v>商贸</v>
          </cell>
          <cell r="M98">
            <v>2063.0011528447999</v>
          </cell>
          <cell r="N98">
            <v>693.28745862649998</v>
          </cell>
          <cell r="O98" t="str">
            <v>商贸1</v>
          </cell>
          <cell r="P98">
            <v>402.9128586768</v>
          </cell>
          <cell r="Q98">
            <v>95.229619510000006</v>
          </cell>
          <cell r="R98">
            <v>0</v>
          </cell>
        </row>
        <row r="99">
          <cell r="O99" t="str">
            <v>商贸2</v>
          </cell>
          <cell r="P99">
            <v>143.33000000000001</v>
          </cell>
          <cell r="Q99">
            <v>0</v>
          </cell>
          <cell r="R99">
            <v>0</v>
          </cell>
        </row>
        <row r="100">
          <cell r="O100" t="str">
            <v>商贸3</v>
          </cell>
          <cell r="P100">
            <v>211.10104515</v>
          </cell>
          <cell r="Q100">
            <v>3.0215095915000001</v>
          </cell>
          <cell r="R100">
            <v>6.9669599399999997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计划签订"/>
      <sheetName val="排产发货计划"/>
      <sheetName val="5月汇总"/>
      <sheetName val="6月汇总"/>
      <sheetName val="排产计划明细"/>
      <sheetName val="发货计划明细"/>
      <sheetName val="新增计划"/>
      <sheetName val="Sheet1"/>
    </sheetNames>
    <sheetDataSet>
      <sheetData sheetId="0" refreshError="1"/>
      <sheetData sheetId="1" refreshError="1"/>
      <sheetData sheetId="2" refreshError="1">
        <row r="1">
          <cell r="C1" t="str">
            <v>模块</v>
          </cell>
          <cell r="D1" t="str">
            <v>5月签订台数</v>
          </cell>
          <cell r="E1" t="str">
            <v>5月签订额</v>
          </cell>
          <cell r="F1" t="str">
            <v>5月排产台数</v>
          </cell>
          <cell r="G1" t="str">
            <v>5月排产额</v>
          </cell>
          <cell r="H1" t="str">
            <v>5月发货台数</v>
          </cell>
          <cell r="I1" t="str">
            <v>5月发货额</v>
          </cell>
          <cell r="J1" t="str">
            <v>5月回款额</v>
          </cell>
          <cell r="K1" t="str">
            <v>支付佣金</v>
          </cell>
          <cell r="L1" t="str">
            <v>支付安装费</v>
          </cell>
          <cell r="M1" t="str">
            <v>差旅、招待</v>
          </cell>
          <cell r="N1" t="str">
            <v>其他费用支出计划</v>
          </cell>
          <cell r="O1" t="str">
            <v>6月签订台数</v>
          </cell>
          <cell r="P1" t="str">
            <v>6月签订额</v>
          </cell>
          <cell r="Q1" t="str">
            <v>6月排产台数</v>
          </cell>
          <cell r="R1" t="str">
            <v>6月排产额</v>
          </cell>
          <cell r="S1" t="str">
            <v>6月发货台数</v>
          </cell>
          <cell r="T1" t="str">
            <v>6月发货额</v>
          </cell>
          <cell r="U1" t="str">
            <v>6月回款额</v>
          </cell>
          <cell r="V1" t="str">
            <v>支付佣金</v>
          </cell>
          <cell r="W1" t="str">
            <v>支付安装费</v>
          </cell>
          <cell r="X1" t="str">
            <v>差旅、招待</v>
          </cell>
          <cell r="Y1" t="str">
            <v>其他费用支出计划</v>
          </cell>
          <cell r="Z1" t="str">
            <v>5-6月签订台数</v>
          </cell>
          <cell r="AA1" t="str">
            <v>5-6月签订额</v>
          </cell>
          <cell r="AB1" t="str">
            <v>5-6月排产台数</v>
          </cell>
          <cell r="AC1" t="str">
            <v>5-6月排产额</v>
          </cell>
          <cell r="AD1" t="str">
            <v>5-6月发货台数</v>
          </cell>
          <cell r="AE1" t="str">
            <v>5-6月发货额</v>
          </cell>
        </row>
        <row r="2">
          <cell r="C2" t="str">
            <v>俄罗斯（中部）</v>
          </cell>
          <cell r="D2">
            <v>290</v>
          </cell>
          <cell r="E2">
            <v>5230</v>
          </cell>
          <cell r="F2">
            <v>58</v>
          </cell>
          <cell r="G2">
            <v>1140</v>
          </cell>
          <cell r="H2">
            <v>114</v>
          </cell>
          <cell r="I2">
            <v>2627</v>
          </cell>
          <cell r="J2">
            <v>1160</v>
          </cell>
          <cell r="K2">
            <v>92</v>
          </cell>
          <cell r="L2">
            <v>0</v>
          </cell>
          <cell r="M2">
            <v>0</v>
          </cell>
          <cell r="N2">
            <v>0</v>
          </cell>
          <cell r="O2">
            <v>290</v>
          </cell>
          <cell r="P2">
            <v>5230</v>
          </cell>
          <cell r="Q2">
            <v>71</v>
          </cell>
          <cell r="R2">
            <v>351</v>
          </cell>
          <cell r="S2">
            <v>68</v>
          </cell>
          <cell r="T2">
            <v>1403</v>
          </cell>
          <cell r="U2">
            <v>1580</v>
          </cell>
          <cell r="V2">
            <v>0</v>
          </cell>
          <cell r="W2">
            <v>0</v>
          </cell>
          <cell r="X2">
            <v>5</v>
          </cell>
          <cell r="Y2">
            <v>0</v>
          </cell>
          <cell r="Z2">
            <v>580</v>
          </cell>
          <cell r="AA2">
            <v>10460</v>
          </cell>
          <cell r="AB2">
            <v>129</v>
          </cell>
          <cell r="AC2">
            <v>1491</v>
          </cell>
          <cell r="AD2">
            <v>182</v>
          </cell>
          <cell r="AE2">
            <v>4030</v>
          </cell>
        </row>
        <row r="3">
          <cell r="C3" t="str">
            <v>俄罗斯（西部）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4">
          <cell r="C4" t="str">
            <v>俄罗斯（东部）</v>
          </cell>
          <cell r="D4">
            <v>14</v>
          </cell>
          <cell r="E4">
            <v>198.92</v>
          </cell>
          <cell r="F4">
            <v>14</v>
          </cell>
          <cell r="G4">
            <v>198.92</v>
          </cell>
          <cell r="H4">
            <v>27</v>
          </cell>
          <cell r="I4">
            <v>365.32</v>
          </cell>
          <cell r="J4">
            <v>212.11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20</v>
          </cell>
          <cell r="P4">
            <v>210</v>
          </cell>
          <cell r="Q4">
            <v>16</v>
          </cell>
          <cell r="R4">
            <v>169.1</v>
          </cell>
          <cell r="S4">
            <v>12</v>
          </cell>
          <cell r="T4">
            <v>212.86</v>
          </cell>
          <cell r="U4">
            <v>82.3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34</v>
          </cell>
          <cell r="AA4">
            <v>408.92</v>
          </cell>
          <cell r="AB4">
            <v>30</v>
          </cell>
          <cell r="AC4">
            <v>368.02</v>
          </cell>
          <cell r="AD4">
            <v>39</v>
          </cell>
          <cell r="AE4">
            <v>578.17999999999995</v>
          </cell>
        </row>
        <row r="5">
          <cell r="C5" t="str">
            <v>罗斯托夫</v>
          </cell>
          <cell r="D5">
            <v>15</v>
          </cell>
          <cell r="E5">
            <v>160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21</v>
          </cell>
          <cell r="P5">
            <v>199.67</v>
          </cell>
          <cell r="Q5">
            <v>21</v>
          </cell>
          <cell r="R5">
            <v>199.67</v>
          </cell>
          <cell r="S5">
            <v>0</v>
          </cell>
          <cell r="T5">
            <v>0</v>
          </cell>
          <cell r="U5">
            <v>49.9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36</v>
          </cell>
          <cell r="AA5">
            <v>359.67</v>
          </cell>
          <cell r="AB5">
            <v>21</v>
          </cell>
          <cell r="AC5">
            <v>199.67</v>
          </cell>
          <cell r="AD5">
            <v>0</v>
          </cell>
          <cell r="AE5">
            <v>0</v>
          </cell>
        </row>
        <row r="6">
          <cell r="C6" t="str">
            <v>哈巴</v>
          </cell>
          <cell r="D6">
            <v>50</v>
          </cell>
          <cell r="E6">
            <v>660</v>
          </cell>
          <cell r="F6">
            <v>17</v>
          </cell>
          <cell r="G6">
            <v>150</v>
          </cell>
          <cell r="H6">
            <v>25</v>
          </cell>
          <cell r="I6">
            <v>291.86</v>
          </cell>
          <cell r="J6">
            <v>45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30</v>
          </cell>
          <cell r="P6">
            <v>300</v>
          </cell>
          <cell r="Q6">
            <v>18</v>
          </cell>
          <cell r="R6">
            <v>167</v>
          </cell>
          <cell r="S6">
            <v>17</v>
          </cell>
          <cell r="T6">
            <v>150</v>
          </cell>
          <cell r="U6">
            <v>155</v>
          </cell>
          <cell r="V6">
            <v>0</v>
          </cell>
          <cell r="W6">
            <v>0</v>
          </cell>
          <cell r="X6">
            <v>1</v>
          </cell>
          <cell r="Y6">
            <v>0</v>
          </cell>
          <cell r="Z6">
            <v>80</v>
          </cell>
          <cell r="AA6">
            <v>960</v>
          </cell>
          <cell r="AB6">
            <v>35</v>
          </cell>
          <cell r="AC6">
            <v>317</v>
          </cell>
          <cell r="AD6">
            <v>42</v>
          </cell>
          <cell r="AE6">
            <v>441.86</v>
          </cell>
        </row>
        <row r="7">
          <cell r="C7" t="str">
            <v>俄罗斯（中南）</v>
          </cell>
          <cell r="D7">
            <v>27</v>
          </cell>
          <cell r="E7">
            <v>323</v>
          </cell>
          <cell r="F7">
            <v>19</v>
          </cell>
          <cell r="G7">
            <v>249.16</v>
          </cell>
          <cell r="H7">
            <v>3</v>
          </cell>
          <cell r="I7">
            <v>31.17</v>
          </cell>
          <cell r="J7">
            <v>0</v>
          </cell>
          <cell r="K7">
            <v>0</v>
          </cell>
          <cell r="L7">
            <v>0</v>
          </cell>
          <cell r="M7">
            <v>1.5</v>
          </cell>
          <cell r="N7">
            <v>0</v>
          </cell>
          <cell r="O7">
            <v>20</v>
          </cell>
          <cell r="P7">
            <v>189</v>
          </cell>
          <cell r="Q7">
            <v>10</v>
          </cell>
          <cell r="R7">
            <v>88</v>
          </cell>
          <cell r="S7">
            <v>43</v>
          </cell>
          <cell r="T7">
            <v>440.19659999999999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47</v>
          </cell>
          <cell r="AA7">
            <v>512</v>
          </cell>
          <cell r="AB7">
            <v>29</v>
          </cell>
          <cell r="AC7">
            <v>337.16</v>
          </cell>
          <cell r="AD7">
            <v>46</v>
          </cell>
          <cell r="AE7">
            <v>471.36660000000001</v>
          </cell>
        </row>
        <row r="8">
          <cell r="C8" t="str">
            <v>俄罗斯（西南）</v>
          </cell>
          <cell r="D8">
            <v>30</v>
          </cell>
          <cell r="E8">
            <v>450</v>
          </cell>
          <cell r="F8">
            <v>7</v>
          </cell>
          <cell r="G8">
            <v>150</v>
          </cell>
          <cell r="H8">
            <v>2</v>
          </cell>
          <cell r="I8">
            <v>30</v>
          </cell>
          <cell r="J8">
            <v>100</v>
          </cell>
          <cell r="K8">
            <v>3</v>
          </cell>
          <cell r="L8">
            <v>10</v>
          </cell>
          <cell r="M8">
            <v>2</v>
          </cell>
          <cell r="N8">
            <v>0</v>
          </cell>
          <cell r="O8">
            <v>50</v>
          </cell>
          <cell r="P8">
            <v>500</v>
          </cell>
          <cell r="Q8">
            <v>20</v>
          </cell>
          <cell r="R8">
            <v>300</v>
          </cell>
          <cell r="S8">
            <v>7</v>
          </cell>
          <cell r="T8">
            <v>150</v>
          </cell>
          <cell r="U8">
            <v>300</v>
          </cell>
          <cell r="V8">
            <v>5</v>
          </cell>
          <cell r="W8">
            <v>3</v>
          </cell>
          <cell r="X8">
            <v>1</v>
          </cell>
          <cell r="Y8">
            <v>0</v>
          </cell>
          <cell r="Z8">
            <v>80</v>
          </cell>
          <cell r="AA8">
            <v>950</v>
          </cell>
          <cell r="AB8">
            <v>27</v>
          </cell>
          <cell r="AC8">
            <v>450</v>
          </cell>
          <cell r="AD8">
            <v>9</v>
          </cell>
          <cell r="AE8">
            <v>180</v>
          </cell>
        </row>
        <row r="9">
          <cell r="C9" t="str">
            <v>莫斯科</v>
          </cell>
          <cell r="D9">
            <v>10</v>
          </cell>
          <cell r="E9">
            <v>80</v>
          </cell>
          <cell r="F9">
            <v>10</v>
          </cell>
          <cell r="G9">
            <v>80</v>
          </cell>
          <cell r="H9">
            <v>0</v>
          </cell>
          <cell r="I9">
            <v>0</v>
          </cell>
          <cell r="J9">
            <v>80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6</v>
          </cell>
          <cell r="P9">
            <v>50</v>
          </cell>
          <cell r="Q9">
            <v>6</v>
          </cell>
          <cell r="R9">
            <v>6</v>
          </cell>
          <cell r="S9">
            <v>6</v>
          </cell>
          <cell r="T9">
            <v>50</v>
          </cell>
          <cell r="U9">
            <v>50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16</v>
          </cell>
          <cell r="AA9">
            <v>130</v>
          </cell>
          <cell r="AB9">
            <v>16</v>
          </cell>
          <cell r="AC9">
            <v>86</v>
          </cell>
          <cell r="AD9">
            <v>6</v>
          </cell>
          <cell r="AE9">
            <v>50</v>
          </cell>
        </row>
        <row r="10">
          <cell r="C10" t="str">
            <v>叶卡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</row>
        <row r="11">
          <cell r="C11" t="str">
            <v>新西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</row>
        <row r="12">
          <cell r="C12" t="str">
            <v/>
          </cell>
          <cell r="D12">
            <v>436</v>
          </cell>
          <cell r="E12">
            <v>7101.92</v>
          </cell>
          <cell r="F12">
            <v>125</v>
          </cell>
          <cell r="G12">
            <v>1968.08</v>
          </cell>
          <cell r="H12">
            <v>171</v>
          </cell>
          <cell r="I12">
            <v>3345.35</v>
          </cell>
          <cell r="J12">
            <v>1597.11</v>
          </cell>
          <cell r="K12">
            <v>95</v>
          </cell>
          <cell r="L12">
            <v>10</v>
          </cell>
          <cell r="M12">
            <v>3.5</v>
          </cell>
          <cell r="N12">
            <v>0</v>
          </cell>
          <cell r="O12">
            <v>437</v>
          </cell>
          <cell r="P12">
            <v>6678.67</v>
          </cell>
          <cell r="Q12">
            <v>162</v>
          </cell>
          <cell r="R12">
            <v>1280.77</v>
          </cell>
          <cell r="S12">
            <v>153</v>
          </cell>
          <cell r="T12">
            <v>2406.0565999999999</v>
          </cell>
          <cell r="U12">
            <v>2217.1999999999998</v>
          </cell>
          <cell r="V12">
            <v>5</v>
          </cell>
          <cell r="W12">
            <v>3</v>
          </cell>
          <cell r="X12">
            <v>7</v>
          </cell>
          <cell r="Y12">
            <v>0</v>
          </cell>
          <cell r="Z12">
            <v>873</v>
          </cell>
          <cell r="AA12">
            <v>13780.59</v>
          </cell>
          <cell r="AB12">
            <v>287</v>
          </cell>
          <cell r="AC12">
            <v>3248.85</v>
          </cell>
          <cell r="AD12">
            <v>324</v>
          </cell>
          <cell r="AE12">
            <v>5751.4066000000003</v>
          </cell>
        </row>
        <row r="13">
          <cell r="C13" t="str">
            <v>朝鲜-韩国</v>
          </cell>
          <cell r="D13">
            <v>8</v>
          </cell>
          <cell r="E13">
            <v>80</v>
          </cell>
          <cell r="F13">
            <v>4</v>
          </cell>
          <cell r="G13">
            <v>40</v>
          </cell>
          <cell r="H13">
            <v>5</v>
          </cell>
          <cell r="I13">
            <v>38.42</v>
          </cell>
          <cell r="J13">
            <v>30</v>
          </cell>
          <cell r="K13">
            <v>0</v>
          </cell>
          <cell r="L13">
            <v>0</v>
          </cell>
          <cell r="M13">
            <v>0.3</v>
          </cell>
          <cell r="N13">
            <v>0</v>
          </cell>
          <cell r="O13">
            <v>5</v>
          </cell>
          <cell r="P13">
            <v>50</v>
          </cell>
          <cell r="Q13">
            <v>6</v>
          </cell>
          <cell r="R13">
            <v>60</v>
          </cell>
          <cell r="S13">
            <v>5</v>
          </cell>
          <cell r="T13">
            <v>39.4</v>
          </cell>
          <cell r="U13">
            <v>40</v>
          </cell>
          <cell r="V13">
            <v>0</v>
          </cell>
          <cell r="W13">
            <v>0</v>
          </cell>
          <cell r="X13">
            <v>0.3</v>
          </cell>
          <cell r="Y13">
            <v>0</v>
          </cell>
          <cell r="Z13">
            <v>13</v>
          </cell>
          <cell r="AA13">
            <v>130</v>
          </cell>
          <cell r="AB13">
            <v>10</v>
          </cell>
          <cell r="AC13">
            <v>100</v>
          </cell>
          <cell r="AD13">
            <v>10</v>
          </cell>
          <cell r="AE13">
            <v>77.819999999999993</v>
          </cell>
        </row>
        <row r="14">
          <cell r="C14" t="str">
            <v>新加坡市政会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7</v>
          </cell>
          <cell r="I14">
            <v>140</v>
          </cell>
          <cell r="J14">
            <v>0</v>
          </cell>
          <cell r="K14">
            <v>0</v>
          </cell>
          <cell r="L14">
            <v>0</v>
          </cell>
          <cell r="M14">
            <v>2</v>
          </cell>
          <cell r="N14">
            <v>0</v>
          </cell>
          <cell r="O14">
            <v>50</v>
          </cell>
          <cell r="P14">
            <v>1000</v>
          </cell>
          <cell r="Q14">
            <v>0</v>
          </cell>
          <cell r="R14">
            <v>0</v>
          </cell>
          <cell r="S14">
            <v>4</v>
          </cell>
          <cell r="T14">
            <v>80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50</v>
          </cell>
          <cell r="AA14">
            <v>1000</v>
          </cell>
          <cell r="AB14">
            <v>0</v>
          </cell>
          <cell r="AC14">
            <v>0</v>
          </cell>
          <cell r="AD14">
            <v>11</v>
          </cell>
          <cell r="AE14">
            <v>220</v>
          </cell>
        </row>
        <row r="15">
          <cell r="C15" t="str">
            <v>新加坡HDB</v>
          </cell>
          <cell r="D15">
            <v>75</v>
          </cell>
          <cell r="E15">
            <v>2500</v>
          </cell>
          <cell r="F15">
            <v>15</v>
          </cell>
          <cell r="G15">
            <v>540</v>
          </cell>
          <cell r="H15">
            <v>18</v>
          </cell>
          <cell r="I15">
            <v>650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20</v>
          </cell>
          <cell r="R15">
            <v>720</v>
          </cell>
          <cell r="S15">
            <v>18</v>
          </cell>
          <cell r="T15">
            <v>648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75</v>
          </cell>
          <cell r="AA15">
            <v>2500</v>
          </cell>
          <cell r="AB15">
            <v>35</v>
          </cell>
          <cell r="AC15">
            <v>1260</v>
          </cell>
          <cell r="AD15">
            <v>36</v>
          </cell>
          <cell r="AE15">
            <v>1298</v>
          </cell>
        </row>
        <row r="16">
          <cell r="C16" t="str">
            <v>泰国</v>
          </cell>
          <cell r="D16">
            <v>10</v>
          </cell>
          <cell r="E16">
            <v>82.8</v>
          </cell>
          <cell r="F16">
            <v>2</v>
          </cell>
          <cell r="G16">
            <v>20.079999999999998</v>
          </cell>
          <cell r="H16">
            <v>2</v>
          </cell>
          <cell r="I16">
            <v>20</v>
          </cell>
          <cell r="J16">
            <v>16.5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10</v>
          </cell>
          <cell r="P16">
            <v>70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20</v>
          </cell>
          <cell r="AA16">
            <v>152.80000000000001</v>
          </cell>
          <cell r="AB16">
            <v>2</v>
          </cell>
          <cell r="AC16">
            <v>20.079999999999998</v>
          </cell>
          <cell r="AD16">
            <v>2</v>
          </cell>
          <cell r="AE16">
            <v>20</v>
          </cell>
        </row>
        <row r="17">
          <cell r="C17" t="str">
            <v>泰国2</v>
          </cell>
          <cell r="D17">
            <v>20</v>
          </cell>
          <cell r="E17">
            <v>160</v>
          </cell>
          <cell r="F17">
            <v>20</v>
          </cell>
          <cell r="G17">
            <v>160</v>
          </cell>
          <cell r="H17">
            <v>0</v>
          </cell>
          <cell r="I17">
            <v>0</v>
          </cell>
          <cell r="J17">
            <v>50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10</v>
          </cell>
          <cell r="P17">
            <v>80</v>
          </cell>
          <cell r="Q17">
            <v>10</v>
          </cell>
          <cell r="R17">
            <v>80</v>
          </cell>
          <cell r="S17">
            <v>20</v>
          </cell>
          <cell r="T17">
            <v>160</v>
          </cell>
          <cell r="U17">
            <v>140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30</v>
          </cell>
          <cell r="AA17">
            <v>240</v>
          </cell>
          <cell r="AB17">
            <v>30</v>
          </cell>
          <cell r="AC17">
            <v>240</v>
          </cell>
          <cell r="AD17">
            <v>20</v>
          </cell>
          <cell r="AE17">
            <v>160</v>
          </cell>
        </row>
        <row r="18">
          <cell r="C18" t="str">
            <v>金三角</v>
          </cell>
          <cell r="D18">
            <v>10</v>
          </cell>
          <cell r="E18">
            <v>70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10</v>
          </cell>
          <cell r="P18">
            <v>70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20</v>
          </cell>
          <cell r="AA18">
            <v>140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C19" t="str">
            <v>马来西亚</v>
          </cell>
          <cell r="D19">
            <v>105</v>
          </cell>
          <cell r="E19">
            <v>944.58</v>
          </cell>
          <cell r="F19">
            <v>14</v>
          </cell>
          <cell r="G19">
            <v>365.46</v>
          </cell>
          <cell r="H19">
            <v>7</v>
          </cell>
          <cell r="I19">
            <v>225.51</v>
          </cell>
          <cell r="J19">
            <v>0</v>
          </cell>
          <cell r="K19">
            <v>21.9</v>
          </cell>
          <cell r="L19">
            <v>0</v>
          </cell>
          <cell r="M19">
            <v>5</v>
          </cell>
          <cell r="N19">
            <v>0</v>
          </cell>
          <cell r="O19">
            <v>7</v>
          </cell>
          <cell r="P19">
            <v>164.54</v>
          </cell>
          <cell r="Q19">
            <v>12</v>
          </cell>
          <cell r="R19">
            <v>357.27</v>
          </cell>
          <cell r="S19">
            <v>7</v>
          </cell>
          <cell r="T19">
            <v>237.73</v>
          </cell>
          <cell r="U19">
            <v>0</v>
          </cell>
          <cell r="V19">
            <v>27.74</v>
          </cell>
          <cell r="W19">
            <v>0</v>
          </cell>
          <cell r="X19">
            <v>3</v>
          </cell>
          <cell r="Y19">
            <v>0</v>
          </cell>
          <cell r="Z19">
            <v>112</v>
          </cell>
          <cell r="AA19">
            <v>1109.1199999999999</v>
          </cell>
          <cell r="AB19">
            <v>26</v>
          </cell>
          <cell r="AC19">
            <v>722.73</v>
          </cell>
          <cell r="AD19">
            <v>14</v>
          </cell>
          <cell r="AE19">
            <v>463.24</v>
          </cell>
        </row>
        <row r="20">
          <cell r="C20" t="str">
            <v>马尔代夫</v>
          </cell>
          <cell r="D20">
            <v>6</v>
          </cell>
          <cell r="E20">
            <v>100</v>
          </cell>
          <cell r="F20">
            <v>5</v>
          </cell>
          <cell r="G20">
            <v>50.5</v>
          </cell>
          <cell r="H20">
            <v>2</v>
          </cell>
          <cell r="I20">
            <v>21</v>
          </cell>
          <cell r="J20">
            <v>46</v>
          </cell>
          <cell r="K20">
            <v>0</v>
          </cell>
          <cell r="L20">
            <v>350</v>
          </cell>
          <cell r="M20">
            <v>0</v>
          </cell>
          <cell r="N20">
            <v>0</v>
          </cell>
          <cell r="O20">
            <v>2</v>
          </cell>
          <cell r="P20">
            <v>30</v>
          </cell>
          <cell r="Q20">
            <v>2</v>
          </cell>
          <cell r="R20">
            <v>30</v>
          </cell>
          <cell r="S20">
            <v>5</v>
          </cell>
          <cell r="T20">
            <v>50.5</v>
          </cell>
          <cell r="U20">
            <v>0</v>
          </cell>
          <cell r="V20">
            <v>0</v>
          </cell>
          <cell r="W20">
            <v>350</v>
          </cell>
          <cell r="X20">
            <v>0</v>
          </cell>
          <cell r="Y20">
            <v>0</v>
          </cell>
          <cell r="Z20">
            <v>8</v>
          </cell>
          <cell r="AA20">
            <v>130</v>
          </cell>
          <cell r="AB20">
            <v>7</v>
          </cell>
          <cell r="AC20">
            <v>80.5</v>
          </cell>
          <cell r="AD20">
            <v>7</v>
          </cell>
          <cell r="AE20">
            <v>71.5</v>
          </cell>
        </row>
        <row r="21">
          <cell r="C21" t="str">
            <v>香港-台湾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C22" t="str">
            <v/>
          </cell>
          <cell r="D22">
            <v>234</v>
          </cell>
          <cell r="E22">
            <v>3937.38</v>
          </cell>
          <cell r="F22">
            <v>60</v>
          </cell>
          <cell r="G22">
            <v>1176.04</v>
          </cell>
          <cell r="H22">
            <v>41</v>
          </cell>
          <cell r="I22">
            <v>1094.93</v>
          </cell>
          <cell r="J22">
            <v>142.5</v>
          </cell>
          <cell r="K22">
            <v>21.9</v>
          </cell>
          <cell r="L22">
            <v>350</v>
          </cell>
          <cell r="M22">
            <v>7.3</v>
          </cell>
          <cell r="N22">
            <v>0</v>
          </cell>
          <cell r="O22">
            <v>94</v>
          </cell>
          <cell r="P22">
            <v>1464.54</v>
          </cell>
          <cell r="Q22">
            <v>50</v>
          </cell>
          <cell r="R22">
            <v>1247.27</v>
          </cell>
          <cell r="S22">
            <v>59</v>
          </cell>
          <cell r="T22">
            <v>1215.6300000000001</v>
          </cell>
          <cell r="U22">
            <v>180</v>
          </cell>
          <cell r="V22">
            <v>27.74</v>
          </cell>
          <cell r="W22">
            <v>350</v>
          </cell>
          <cell r="X22">
            <v>3.3</v>
          </cell>
          <cell r="Y22">
            <v>0</v>
          </cell>
          <cell r="Z22">
            <v>328</v>
          </cell>
          <cell r="AA22">
            <v>5401.92</v>
          </cell>
          <cell r="AB22">
            <v>110</v>
          </cell>
          <cell r="AC22">
            <v>2423.31</v>
          </cell>
          <cell r="AD22">
            <v>100</v>
          </cell>
          <cell r="AE22">
            <v>2310.56</v>
          </cell>
        </row>
        <row r="23">
          <cell r="C23" t="str">
            <v>越南-2</v>
          </cell>
          <cell r="D23">
            <v>15</v>
          </cell>
          <cell r="E23">
            <v>75</v>
          </cell>
          <cell r="F23">
            <v>8</v>
          </cell>
          <cell r="G23">
            <v>40</v>
          </cell>
          <cell r="H23">
            <v>4</v>
          </cell>
          <cell r="I23">
            <v>33.116999999999997</v>
          </cell>
          <cell r="J23">
            <v>9.5408000000000008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15</v>
          </cell>
          <cell r="P23">
            <v>75</v>
          </cell>
          <cell r="Q23">
            <v>8</v>
          </cell>
          <cell r="R23">
            <v>40</v>
          </cell>
          <cell r="S23">
            <v>4</v>
          </cell>
          <cell r="T23">
            <v>24.12</v>
          </cell>
          <cell r="U23">
            <v>12.06</v>
          </cell>
          <cell r="V23">
            <v>0</v>
          </cell>
          <cell r="W23">
            <v>0</v>
          </cell>
          <cell r="X23">
            <v>1.5</v>
          </cell>
          <cell r="Y23">
            <v>0</v>
          </cell>
          <cell r="Z23">
            <v>30</v>
          </cell>
          <cell r="AA23">
            <v>150</v>
          </cell>
          <cell r="AB23">
            <v>16</v>
          </cell>
          <cell r="AC23">
            <v>80</v>
          </cell>
          <cell r="AD23">
            <v>8</v>
          </cell>
          <cell r="AE23">
            <v>57.237000000000002</v>
          </cell>
        </row>
        <row r="24">
          <cell r="C24" t="str">
            <v>印度公建</v>
          </cell>
          <cell r="D24">
            <v>12</v>
          </cell>
          <cell r="E24">
            <v>95.35</v>
          </cell>
          <cell r="F24">
            <v>4</v>
          </cell>
          <cell r="G24">
            <v>23.936</v>
          </cell>
          <cell r="H24">
            <v>6</v>
          </cell>
          <cell r="I24">
            <v>253.51148000000001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5</v>
          </cell>
          <cell r="P24">
            <v>71.25</v>
          </cell>
          <cell r="Q24">
            <v>3</v>
          </cell>
          <cell r="R24">
            <v>94.5</v>
          </cell>
          <cell r="S24">
            <v>5</v>
          </cell>
          <cell r="T24">
            <v>90.1707064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17</v>
          </cell>
          <cell r="AA24">
            <v>166.6</v>
          </cell>
          <cell r="AB24">
            <v>7</v>
          </cell>
          <cell r="AC24">
            <v>118.43600000000001</v>
          </cell>
          <cell r="AD24">
            <v>11</v>
          </cell>
          <cell r="AE24">
            <v>343.68218639999998</v>
          </cell>
        </row>
        <row r="25">
          <cell r="C25" t="str">
            <v>巴基斯坦</v>
          </cell>
          <cell r="D25">
            <v>7</v>
          </cell>
          <cell r="E25">
            <v>36</v>
          </cell>
          <cell r="F25">
            <v>2</v>
          </cell>
          <cell r="G25">
            <v>22</v>
          </cell>
          <cell r="H25">
            <v>1</v>
          </cell>
          <cell r="I25">
            <v>7.98</v>
          </cell>
          <cell r="J25">
            <v>70.77</v>
          </cell>
          <cell r="K25">
            <v>0</v>
          </cell>
          <cell r="L25">
            <v>0</v>
          </cell>
          <cell r="M25">
            <v>3</v>
          </cell>
          <cell r="N25">
            <v>0</v>
          </cell>
          <cell r="O25">
            <v>6</v>
          </cell>
          <cell r="P25">
            <v>42.42</v>
          </cell>
          <cell r="Q25">
            <v>2</v>
          </cell>
          <cell r="R25">
            <v>22</v>
          </cell>
          <cell r="S25">
            <v>4</v>
          </cell>
          <cell r="T25">
            <v>44</v>
          </cell>
          <cell r="U25">
            <v>22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13</v>
          </cell>
          <cell r="AA25">
            <v>78.42</v>
          </cell>
          <cell r="AB25">
            <v>4</v>
          </cell>
          <cell r="AC25">
            <v>44</v>
          </cell>
          <cell r="AD25">
            <v>5</v>
          </cell>
          <cell r="AE25">
            <v>51.98</v>
          </cell>
        </row>
        <row r="26">
          <cell r="C26" t="str">
            <v>孟加拉-1</v>
          </cell>
          <cell r="D26">
            <v>35</v>
          </cell>
          <cell r="E26">
            <v>257.89999999999998</v>
          </cell>
          <cell r="F26">
            <v>10</v>
          </cell>
          <cell r="G26">
            <v>85.85</v>
          </cell>
          <cell r="H26">
            <v>1</v>
          </cell>
          <cell r="I26">
            <v>8.02</v>
          </cell>
          <cell r="J26">
            <v>25.2</v>
          </cell>
          <cell r="K26">
            <v>2.5</v>
          </cell>
          <cell r="L26">
            <v>0</v>
          </cell>
          <cell r="M26">
            <v>2</v>
          </cell>
          <cell r="N26">
            <v>0.5</v>
          </cell>
          <cell r="O26">
            <v>30</v>
          </cell>
          <cell r="P26">
            <v>21.1</v>
          </cell>
          <cell r="Q26">
            <v>5</v>
          </cell>
          <cell r="R26">
            <v>41.47</v>
          </cell>
          <cell r="S26">
            <v>10</v>
          </cell>
          <cell r="T26">
            <v>85.85</v>
          </cell>
          <cell r="U26">
            <v>58.8</v>
          </cell>
          <cell r="V26">
            <v>0</v>
          </cell>
          <cell r="W26">
            <v>0</v>
          </cell>
          <cell r="X26">
            <v>0</v>
          </cell>
          <cell r="Y26">
            <v>0.5</v>
          </cell>
          <cell r="Z26">
            <v>65</v>
          </cell>
          <cell r="AA26">
            <v>279</v>
          </cell>
          <cell r="AB26">
            <v>15</v>
          </cell>
          <cell r="AC26">
            <v>127.32</v>
          </cell>
          <cell r="AD26">
            <v>11</v>
          </cell>
          <cell r="AE26">
            <v>93.87</v>
          </cell>
        </row>
        <row r="27">
          <cell r="C27" t="str">
            <v>澳大利亚</v>
          </cell>
          <cell r="D27">
            <v>8</v>
          </cell>
          <cell r="E27">
            <v>100</v>
          </cell>
          <cell r="F27">
            <v>4</v>
          </cell>
          <cell r="G27">
            <v>40</v>
          </cell>
          <cell r="H27">
            <v>4</v>
          </cell>
          <cell r="I27">
            <v>24.4</v>
          </cell>
          <cell r="J27">
            <v>52</v>
          </cell>
          <cell r="K27">
            <v>0</v>
          </cell>
          <cell r="L27">
            <v>0</v>
          </cell>
          <cell r="M27">
            <v>3</v>
          </cell>
          <cell r="N27">
            <v>0</v>
          </cell>
          <cell r="O27">
            <v>5</v>
          </cell>
          <cell r="P27">
            <v>80</v>
          </cell>
          <cell r="Q27">
            <v>3</v>
          </cell>
          <cell r="R27">
            <v>30</v>
          </cell>
          <cell r="S27">
            <v>4</v>
          </cell>
          <cell r="T27">
            <v>40</v>
          </cell>
          <cell r="U27">
            <v>20</v>
          </cell>
          <cell r="V27">
            <v>0</v>
          </cell>
          <cell r="W27">
            <v>0</v>
          </cell>
          <cell r="X27">
            <v>5</v>
          </cell>
          <cell r="Y27">
            <v>0</v>
          </cell>
          <cell r="Z27">
            <v>13</v>
          </cell>
          <cell r="AA27">
            <v>180</v>
          </cell>
          <cell r="AB27">
            <v>7</v>
          </cell>
          <cell r="AC27">
            <v>70</v>
          </cell>
          <cell r="AD27">
            <v>8</v>
          </cell>
          <cell r="AE27">
            <v>64.400000000000006</v>
          </cell>
        </row>
        <row r="28">
          <cell r="C28" t="str">
            <v>菲律宾</v>
          </cell>
          <cell r="D28">
            <v>0</v>
          </cell>
          <cell r="E28">
            <v>0</v>
          </cell>
          <cell r="F28">
            <v>0</v>
          </cell>
          <cell r="G28">
            <v>15</v>
          </cell>
          <cell r="H28">
            <v>0</v>
          </cell>
          <cell r="I28">
            <v>7.5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15</v>
          </cell>
          <cell r="S28">
            <v>0</v>
          </cell>
          <cell r="T28">
            <v>7.5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30</v>
          </cell>
          <cell r="AD28">
            <v>0</v>
          </cell>
          <cell r="AE28">
            <v>15</v>
          </cell>
        </row>
        <row r="29">
          <cell r="C29" t="str">
            <v>印尼-1</v>
          </cell>
          <cell r="D29">
            <v>0</v>
          </cell>
          <cell r="E29">
            <v>0</v>
          </cell>
          <cell r="F29">
            <v>0</v>
          </cell>
          <cell r="G29">
            <v>50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50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100</v>
          </cell>
          <cell r="AD29">
            <v>0</v>
          </cell>
          <cell r="AE29">
            <v>0</v>
          </cell>
        </row>
        <row r="30">
          <cell r="C30" t="str">
            <v>越南-1（工厂）</v>
          </cell>
          <cell r="D30">
            <v>10</v>
          </cell>
          <cell r="E30">
            <v>120</v>
          </cell>
          <cell r="F30">
            <v>1</v>
          </cell>
          <cell r="G30">
            <v>6.8</v>
          </cell>
          <cell r="H30">
            <v>6</v>
          </cell>
          <cell r="I30">
            <v>42.7</v>
          </cell>
          <cell r="J30">
            <v>8.8000000000000007</v>
          </cell>
          <cell r="K30">
            <v>1.05</v>
          </cell>
          <cell r="L30">
            <v>0</v>
          </cell>
          <cell r="M30">
            <v>1.5</v>
          </cell>
          <cell r="N30">
            <v>0</v>
          </cell>
          <cell r="O30">
            <v>12</v>
          </cell>
          <cell r="P30">
            <v>130</v>
          </cell>
          <cell r="Q30">
            <v>1</v>
          </cell>
          <cell r="R30">
            <v>7</v>
          </cell>
          <cell r="S30">
            <v>1</v>
          </cell>
          <cell r="T30">
            <v>6.8</v>
          </cell>
          <cell r="U30">
            <v>0</v>
          </cell>
          <cell r="V30">
            <v>1.05</v>
          </cell>
          <cell r="W30">
            <v>0</v>
          </cell>
          <cell r="X30">
            <v>0</v>
          </cell>
          <cell r="Y30">
            <v>0</v>
          </cell>
          <cell r="Z30">
            <v>22</v>
          </cell>
          <cell r="AA30">
            <v>250</v>
          </cell>
          <cell r="AB30">
            <v>2</v>
          </cell>
          <cell r="AC30">
            <v>13.8</v>
          </cell>
          <cell r="AD30">
            <v>7</v>
          </cell>
          <cell r="AE30">
            <v>49.5</v>
          </cell>
        </row>
        <row r="31">
          <cell r="C31" t="str">
            <v>印度私营</v>
          </cell>
          <cell r="D31">
            <v>18</v>
          </cell>
          <cell r="E31">
            <v>200</v>
          </cell>
          <cell r="F31">
            <v>13</v>
          </cell>
          <cell r="G31">
            <v>126</v>
          </cell>
          <cell r="H31">
            <v>4</v>
          </cell>
          <cell r="I31">
            <v>47</v>
          </cell>
          <cell r="J31">
            <v>140</v>
          </cell>
          <cell r="K31">
            <v>0</v>
          </cell>
          <cell r="L31">
            <v>0</v>
          </cell>
          <cell r="M31">
            <v>3</v>
          </cell>
          <cell r="N31">
            <v>1</v>
          </cell>
          <cell r="O31">
            <v>20</v>
          </cell>
          <cell r="P31">
            <v>230</v>
          </cell>
          <cell r="Q31">
            <v>13</v>
          </cell>
          <cell r="R31">
            <v>150</v>
          </cell>
          <cell r="S31">
            <v>17</v>
          </cell>
          <cell r="T31">
            <v>158</v>
          </cell>
          <cell r="U31">
            <v>140</v>
          </cell>
          <cell r="V31">
            <v>0</v>
          </cell>
          <cell r="W31">
            <v>0</v>
          </cell>
          <cell r="X31">
            <v>2</v>
          </cell>
          <cell r="Y31">
            <v>1</v>
          </cell>
          <cell r="Z31">
            <v>38</v>
          </cell>
          <cell r="AA31">
            <v>430</v>
          </cell>
          <cell r="AB31">
            <v>26</v>
          </cell>
          <cell r="AC31">
            <v>276</v>
          </cell>
          <cell r="AD31">
            <v>21</v>
          </cell>
          <cell r="AE31">
            <v>205</v>
          </cell>
        </row>
        <row r="32">
          <cell r="C32" t="str">
            <v>菲律宾-2</v>
          </cell>
          <cell r="D32">
            <v>3</v>
          </cell>
          <cell r="E32">
            <v>35</v>
          </cell>
          <cell r="F32">
            <v>3</v>
          </cell>
          <cell r="G32">
            <v>35</v>
          </cell>
          <cell r="H32">
            <v>1</v>
          </cell>
          <cell r="I32">
            <v>10</v>
          </cell>
          <cell r="J32">
            <v>0</v>
          </cell>
          <cell r="K32">
            <v>0</v>
          </cell>
          <cell r="L32">
            <v>20</v>
          </cell>
          <cell r="M32">
            <v>0</v>
          </cell>
          <cell r="N32">
            <v>0</v>
          </cell>
          <cell r="O32">
            <v>38</v>
          </cell>
          <cell r="P32">
            <v>200</v>
          </cell>
          <cell r="Q32">
            <v>2</v>
          </cell>
          <cell r="R32">
            <v>15</v>
          </cell>
          <cell r="S32">
            <v>10</v>
          </cell>
          <cell r="T32">
            <v>50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41</v>
          </cell>
          <cell r="AA32">
            <v>235</v>
          </cell>
          <cell r="AB32">
            <v>5</v>
          </cell>
          <cell r="AC32">
            <v>50</v>
          </cell>
          <cell r="AD32">
            <v>11</v>
          </cell>
          <cell r="AE32">
            <v>60</v>
          </cell>
        </row>
        <row r="33">
          <cell r="C33" t="str">
            <v>印尼-2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85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85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170</v>
          </cell>
        </row>
        <row r="34">
          <cell r="C34" t="str">
            <v/>
          </cell>
          <cell r="D34">
            <v>108</v>
          </cell>
          <cell r="E34">
            <v>919.25</v>
          </cell>
          <cell r="F34">
            <v>45</v>
          </cell>
          <cell r="G34">
            <v>444.58600000000001</v>
          </cell>
          <cell r="H34">
            <v>27</v>
          </cell>
          <cell r="I34">
            <v>519.22847999999999</v>
          </cell>
          <cell r="J34">
            <v>306.31079999999997</v>
          </cell>
          <cell r="K34">
            <v>3.55</v>
          </cell>
          <cell r="L34">
            <v>20</v>
          </cell>
          <cell r="M34">
            <v>12.5</v>
          </cell>
          <cell r="N34">
            <v>1.5</v>
          </cell>
          <cell r="O34">
            <v>131</v>
          </cell>
          <cell r="P34">
            <v>849.77</v>
          </cell>
          <cell r="Q34">
            <v>37</v>
          </cell>
          <cell r="R34">
            <v>464.97</v>
          </cell>
          <cell r="S34">
            <v>55</v>
          </cell>
          <cell r="T34">
            <v>591.44070639999995</v>
          </cell>
          <cell r="U34">
            <v>252.86</v>
          </cell>
          <cell r="V34">
            <v>1.05</v>
          </cell>
          <cell r="W34">
            <v>0</v>
          </cell>
          <cell r="X34">
            <v>8.5</v>
          </cell>
          <cell r="Y34">
            <v>1.5</v>
          </cell>
          <cell r="Z34">
            <v>239</v>
          </cell>
          <cell r="AA34">
            <v>1769.02</v>
          </cell>
          <cell r="AB34">
            <v>82</v>
          </cell>
          <cell r="AC34">
            <v>909.55600000000004</v>
          </cell>
          <cell r="AD34">
            <v>82</v>
          </cell>
          <cell r="AE34">
            <v>1110.6691863999999</v>
          </cell>
        </row>
        <row r="35">
          <cell r="C35" t="str">
            <v>阿联酋-2</v>
          </cell>
          <cell r="D35">
            <v>50</v>
          </cell>
          <cell r="E35">
            <v>267.5</v>
          </cell>
          <cell r="F35">
            <v>15</v>
          </cell>
          <cell r="G35">
            <v>157.5</v>
          </cell>
          <cell r="H35">
            <v>15</v>
          </cell>
          <cell r="I35">
            <v>157.5</v>
          </cell>
          <cell r="J35">
            <v>150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50</v>
          </cell>
          <cell r="P35">
            <v>267.5</v>
          </cell>
          <cell r="Q35">
            <v>15</v>
          </cell>
          <cell r="R35">
            <v>157.5</v>
          </cell>
          <cell r="S35">
            <v>15</v>
          </cell>
          <cell r="T35">
            <v>157.5</v>
          </cell>
          <cell r="U35">
            <v>150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100</v>
          </cell>
          <cell r="AA35">
            <v>535</v>
          </cell>
          <cell r="AB35">
            <v>30</v>
          </cell>
          <cell r="AC35">
            <v>315</v>
          </cell>
          <cell r="AD35">
            <v>30</v>
          </cell>
          <cell r="AE35">
            <v>315</v>
          </cell>
        </row>
        <row r="36">
          <cell r="C36" t="str">
            <v>沙特工厂</v>
          </cell>
          <cell r="D36">
            <v>60</v>
          </cell>
          <cell r="E36">
            <v>480</v>
          </cell>
          <cell r="F36">
            <v>40</v>
          </cell>
          <cell r="G36">
            <v>320</v>
          </cell>
          <cell r="H36">
            <v>30</v>
          </cell>
          <cell r="I36">
            <v>240</v>
          </cell>
          <cell r="J36">
            <v>100</v>
          </cell>
          <cell r="K36">
            <v>0</v>
          </cell>
          <cell r="L36">
            <v>0</v>
          </cell>
          <cell r="M36">
            <v>3</v>
          </cell>
          <cell r="N36">
            <v>0</v>
          </cell>
          <cell r="O36">
            <v>69</v>
          </cell>
          <cell r="P36">
            <v>550</v>
          </cell>
          <cell r="Q36">
            <v>50</v>
          </cell>
          <cell r="R36">
            <v>400</v>
          </cell>
          <cell r="S36">
            <v>40</v>
          </cell>
          <cell r="T36">
            <v>240</v>
          </cell>
          <cell r="U36">
            <v>150</v>
          </cell>
          <cell r="V36">
            <v>0</v>
          </cell>
          <cell r="W36">
            <v>0</v>
          </cell>
          <cell r="X36">
            <v>4</v>
          </cell>
          <cell r="Y36">
            <v>0</v>
          </cell>
          <cell r="Z36">
            <v>129</v>
          </cell>
          <cell r="AA36">
            <v>1030</v>
          </cell>
          <cell r="AB36">
            <v>90</v>
          </cell>
          <cell r="AC36">
            <v>720</v>
          </cell>
          <cell r="AD36">
            <v>70</v>
          </cell>
          <cell r="AE36">
            <v>480</v>
          </cell>
        </row>
        <row r="37">
          <cell r="C37" t="str">
            <v>沙特-1</v>
          </cell>
          <cell r="D37">
            <v>24</v>
          </cell>
          <cell r="E37">
            <v>190</v>
          </cell>
          <cell r="F37">
            <v>2</v>
          </cell>
          <cell r="G37">
            <v>21</v>
          </cell>
          <cell r="H37">
            <v>15</v>
          </cell>
          <cell r="I37">
            <v>160</v>
          </cell>
          <cell r="J37">
            <v>0</v>
          </cell>
          <cell r="K37">
            <v>0</v>
          </cell>
          <cell r="L37">
            <v>0</v>
          </cell>
          <cell r="M37">
            <v>3</v>
          </cell>
          <cell r="N37">
            <v>0</v>
          </cell>
          <cell r="O37">
            <v>70</v>
          </cell>
          <cell r="P37">
            <v>420</v>
          </cell>
          <cell r="Q37">
            <v>65</v>
          </cell>
          <cell r="R37">
            <v>380</v>
          </cell>
          <cell r="S37">
            <v>25</v>
          </cell>
          <cell r="T37">
            <v>230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94</v>
          </cell>
          <cell r="AA37">
            <v>610</v>
          </cell>
          <cell r="AB37">
            <v>67</v>
          </cell>
          <cell r="AC37">
            <v>401</v>
          </cell>
          <cell r="AD37">
            <v>40</v>
          </cell>
          <cell r="AE37">
            <v>390</v>
          </cell>
        </row>
        <row r="38">
          <cell r="C38" t="str">
            <v>科威特</v>
          </cell>
          <cell r="D38">
            <v>20</v>
          </cell>
          <cell r="E38">
            <v>200</v>
          </cell>
          <cell r="F38">
            <v>4</v>
          </cell>
          <cell r="G38">
            <v>45</v>
          </cell>
          <cell r="H38">
            <v>1</v>
          </cell>
          <cell r="I38">
            <v>4</v>
          </cell>
          <cell r="J38">
            <v>13</v>
          </cell>
          <cell r="K38">
            <v>0</v>
          </cell>
          <cell r="L38">
            <v>0</v>
          </cell>
          <cell r="M38">
            <v>3</v>
          </cell>
          <cell r="N38">
            <v>0</v>
          </cell>
          <cell r="O38">
            <v>20</v>
          </cell>
          <cell r="P38">
            <v>200</v>
          </cell>
          <cell r="Q38">
            <v>3</v>
          </cell>
          <cell r="R38">
            <v>115</v>
          </cell>
          <cell r="S38">
            <v>1</v>
          </cell>
          <cell r="T38">
            <v>16</v>
          </cell>
          <cell r="U38">
            <v>11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40</v>
          </cell>
          <cell r="AA38">
            <v>400</v>
          </cell>
          <cell r="AB38">
            <v>7</v>
          </cell>
          <cell r="AC38">
            <v>160</v>
          </cell>
          <cell r="AD38">
            <v>2</v>
          </cell>
          <cell r="AE38">
            <v>20</v>
          </cell>
        </row>
        <row r="39">
          <cell r="C39" t="str">
            <v>阿联酋-1</v>
          </cell>
          <cell r="D39">
            <v>9</v>
          </cell>
          <cell r="E39">
            <v>110</v>
          </cell>
          <cell r="F39">
            <v>34</v>
          </cell>
          <cell r="G39">
            <v>300</v>
          </cell>
          <cell r="H39">
            <v>6</v>
          </cell>
          <cell r="I39">
            <v>80</v>
          </cell>
          <cell r="J39">
            <v>0</v>
          </cell>
          <cell r="K39">
            <v>5</v>
          </cell>
          <cell r="L39">
            <v>0</v>
          </cell>
          <cell r="M39">
            <v>0</v>
          </cell>
          <cell r="N39">
            <v>0</v>
          </cell>
          <cell r="O39">
            <v>50</v>
          </cell>
          <cell r="P39">
            <v>500</v>
          </cell>
          <cell r="Q39">
            <v>33</v>
          </cell>
          <cell r="R39">
            <v>300</v>
          </cell>
          <cell r="S39">
            <v>40</v>
          </cell>
          <cell r="T39">
            <v>380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59</v>
          </cell>
          <cell r="AA39">
            <v>610</v>
          </cell>
          <cell r="AB39">
            <v>67</v>
          </cell>
          <cell r="AC39">
            <v>600</v>
          </cell>
          <cell r="AD39">
            <v>46</v>
          </cell>
          <cell r="AE39">
            <v>460</v>
          </cell>
        </row>
        <row r="40">
          <cell r="C40" t="str">
            <v>卡塔尔</v>
          </cell>
          <cell r="D40">
            <v>6</v>
          </cell>
          <cell r="E40">
            <v>36.72</v>
          </cell>
          <cell r="F40">
            <v>2</v>
          </cell>
          <cell r="G40">
            <v>12.24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10</v>
          </cell>
          <cell r="P40">
            <v>61.2</v>
          </cell>
          <cell r="Q40">
            <v>4</v>
          </cell>
          <cell r="R40">
            <v>24.48</v>
          </cell>
          <cell r="S40">
            <v>2</v>
          </cell>
          <cell r="T40">
            <v>12.24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16</v>
          </cell>
          <cell r="AA40">
            <v>97.92</v>
          </cell>
          <cell r="AB40">
            <v>6</v>
          </cell>
          <cell r="AC40">
            <v>36.72</v>
          </cell>
          <cell r="AD40">
            <v>2</v>
          </cell>
          <cell r="AE40">
            <v>12.24</v>
          </cell>
        </row>
        <row r="41">
          <cell r="C41" t="str">
            <v>伊拉克</v>
          </cell>
          <cell r="D41">
            <v>4</v>
          </cell>
          <cell r="E41">
            <v>30</v>
          </cell>
          <cell r="F41">
            <v>4</v>
          </cell>
          <cell r="G41">
            <v>30</v>
          </cell>
          <cell r="H41">
            <v>7</v>
          </cell>
          <cell r="I41">
            <v>51.3</v>
          </cell>
          <cell r="J41">
            <v>52.5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2</v>
          </cell>
          <cell r="P41">
            <v>15</v>
          </cell>
          <cell r="Q41">
            <v>2</v>
          </cell>
          <cell r="R41">
            <v>15</v>
          </cell>
          <cell r="S41">
            <v>4</v>
          </cell>
          <cell r="T41">
            <v>30</v>
          </cell>
          <cell r="U41">
            <v>30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6</v>
          </cell>
          <cell r="AA41">
            <v>45</v>
          </cell>
          <cell r="AB41">
            <v>6</v>
          </cell>
          <cell r="AC41">
            <v>45</v>
          </cell>
          <cell r="AD41">
            <v>11</v>
          </cell>
          <cell r="AE41">
            <v>81.3</v>
          </cell>
        </row>
        <row r="42">
          <cell r="C42" t="str">
            <v>巴勒斯坦</v>
          </cell>
          <cell r="D42">
            <v>2</v>
          </cell>
          <cell r="E42">
            <v>15</v>
          </cell>
          <cell r="F42">
            <v>2</v>
          </cell>
          <cell r="G42">
            <v>15</v>
          </cell>
          <cell r="H42">
            <v>3</v>
          </cell>
          <cell r="I42">
            <v>25</v>
          </cell>
          <cell r="J42">
            <v>25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</v>
          </cell>
          <cell r="P42">
            <v>15</v>
          </cell>
          <cell r="Q42">
            <v>2</v>
          </cell>
          <cell r="R42">
            <v>15</v>
          </cell>
          <cell r="S42">
            <v>4</v>
          </cell>
          <cell r="T42">
            <v>30</v>
          </cell>
          <cell r="U42">
            <v>30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4</v>
          </cell>
          <cell r="AA42">
            <v>30</v>
          </cell>
          <cell r="AB42">
            <v>4</v>
          </cell>
          <cell r="AC42">
            <v>30</v>
          </cell>
          <cell r="AD42">
            <v>7</v>
          </cell>
          <cell r="AE42">
            <v>55</v>
          </cell>
        </row>
        <row r="43">
          <cell r="C43" t="str">
            <v>阿联酋3</v>
          </cell>
          <cell r="D43">
            <v>30</v>
          </cell>
          <cell r="E43">
            <v>205</v>
          </cell>
          <cell r="F43">
            <v>9</v>
          </cell>
          <cell r="G43">
            <v>135</v>
          </cell>
          <cell r="H43">
            <v>9</v>
          </cell>
          <cell r="I43">
            <v>135</v>
          </cell>
          <cell r="J43">
            <v>128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30</v>
          </cell>
          <cell r="P43">
            <v>205</v>
          </cell>
          <cell r="Q43">
            <v>9</v>
          </cell>
          <cell r="R43">
            <v>135</v>
          </cell>
          <cell r="S43">
            <v>9</v>
          </cell>
          <cell r="T43">
            <v>135</v>
          </cell>
          <cell r="U43">
            <v>128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60</v>
          </cell>
          <cell r="AA43">
            <v>410</v>
          </cell>
          <cell r="AB43">
            <v>18</v>
          </cell>
          <cell r="AC43">
            <v>270</v>
          </cell>
          <cell r="AD43">
            <v>18</v>
          </cell>
          <cell r="AE43">
            <v>270</v>
          </cell>
        </row>
        <row r="44">
          <cell r="C44" t="str">
            <v>伊朗+阿曼</v>
          </cell>
          <cell r="D44">
            <v>16</v>
          </cell>
          <cell r="E44">
            <v>85</v>
          </cell>
          <cell r="F44">
            <v>7</v>
          </cell>
          <cell r="G44">
            <v>37.4</v>
          </cell>
          <cell r="H44">
            <v>15</v>
          </cell>
          <cell r="I44">
            <v>92.683999999999997</v>
          </cell>
          <cell r="J44">
            <v>69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13</v>
          </cell>
          <cell r="P44">
            <v>72</v>
          </cell>
          <cell r="Q44">
            <v>4</v>
          </cell>
          <cell r="R44">
            <v>20.9</v>
          </cell>
          <cell r="S44">
            <v>7</v>
          </cell>
          <cell r="T44">
            <v>37.4</v>
          </cell>
          <cell r="U44">
            <v>42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29</v>
          </cell>
          <cell r="AA44">
            <v>157</v>
          </cell>
          <cell r="AB44">
            <v>11</v>
          </cell>
          <cell r="AC44">
            <v>58.3</v>
          </cell>
          <cell r="AD44">
            <v>22</v>
          </cell>
          <cell r="AE44">
            <v>130.084</v>
          </cell>
        </row>
        <row r="45">
          <cell r="C45" t="str">
            <v/>
          </cell>
          <cell r="D45">
            <v>221</v>
          </cell>
          <cell r="E45">
            <v>1619.22</v>
          </cell>
          <cell r="F45">
            <v>119</v>
          </cell>
          <cell r="G45">
            <v>1073.1400000000001</v>
          </cell>
          <cell r="H45">
            <v>101</v>
          </cell>
          <cell r="I45">
            <v>945.48400000000004</v>
          </cell>
          <cell r="J45">
            <v>537.5</v>
          </cell>
          <cell r="K45">
            <v>5</v>
          </cell>
          <cell r="L45">
            <v>0</v>
          </cell>
          <cell r="M45">
            <v>9</v>
          </cell>
          <cell r="N45">
            <v>0</v>
          </cell>
          <cell r="O45">
            <v>316</v>
          </cell>
          <cell r="P45">
            <v>2305.6999999999998</v>
          </cell>
          <cell r="Q45">
            <v>187</v>
          </cell>
          <cell r="R45">
            <v>1562.88</v>
          </cell>
          <cell r="S45">
            <v>147</v>
          </cell>
          <cell r="T45">
            <v>1268.1400000000001</v>
          </cell>
          <cell r="U45">
            <v>541</v>
          </cell>
          <cell r="V45">
            <v>0</v>
          </cell>
          <cell r="W45">
            <v>0</v>
          </cell>
          <cell r="X45">
            <v>4</v>
          </cell>
          <cell r="Y45">
            <v>0</v>
          </cell>
          <cell r="Z45">
            <v>537</v>
          </cell>
          <cell r="AA45">
            <v>3924.92</v>
          </cell>
          <cell r="AB45">
            <v>306</v>
          </cell>
          <cell r="AC45">
            <v>2636.02</v>
          </cell>
          <cell r="AD45">
            <v>248</v>
          </cell>
          <cell r="AE45">
            <v>2213.6239999999998</v>
          </cell>
        </row>
        <row r="46">
          <cell r="C46" t="str">
            <v>蒙古</v>
          </cell>
          <cell r="D46">
            <v>10</v>
          </cell>
          <cell r="E46">
            <v>110</v>
          </cell>
          <cell r="F46">
            <v>3</v>
          </cell>
          <cell r="G46">
            <v>35</v>
          </cell>
          <cell r="H46">
            <v>0</v>
          </cell>
          <cell r="I46">
            <v>0</v>
          </cell>
          <cell r="J46">
            <v>35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15</v>
          </cell>
          <cell r="P46">
            <v>165</v>
          </cell>
          <cell r="Q46">
            <v>5</v>
          </cell>
          <cell r="R46">
            <v>56</v>
          </cell>
          <cell r="S46">
            <v>3</v>
          </cell>
          <cell r="T46">
            <v>35</v>
          </cell>
          <cell r="U46">
            <v>56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25</v>
          </cell>
          <cell r="AA46">
            <v>275</v>
          </cell>
          <cell r="AB46">
            <v>8</v>
          </cell>
          <cell r="AC46">
            <v>91</v>
          </cell>
          <cell r="AD46">
            <v>3</v>
          </cell>
          <cell r="AE46">
            <v>35</v>
          </cell>
        </row>
        <row r="47">
          <cell r="C47" t="str">
            <v>哈萨克斯坦-1</v>
          </cell>
          <cell r="D47">
            <v>52</v>
          </cell>
          <cell r="E47">
            <v>500</v>
          </cell>
          <cell r="F47">
            <v>20</v>
          </cell>
          <cell r="G47">
            <v>200</v>
          </cell>
          <cell r="H47">
            <v>35</v>
          </cell>
          <cell r="I47">
            <v>350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45</v>
          </cell>
          <cell r="P47">
            <v>400</v>
          </cell>
          <cell r="Q47">
            <v>25</v>
          </cell>
          <cell r="R47">
            <v>250</v>
          </cell>
          <cell r="S47">
            <v>28</v>
          </cell>
          <cell r="T47">
            <v>250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97</v>
          </cell>
          <cell r="AA47">
            <v>900</v>
          </cell>
          <cell r="AB47">
            <v>45</v>
          </cell>
          <cell r="AC47">
            <v>450</v>
          </cell>
          <cell r="AD47">
            <v>63</v>
          </cell>
          <cell r="AE47">
            <v>600</v>
          </cell>
        </row>
        <row r="48">
          <cell r="C48" t="str">
            <v>塔吉克/哈萨克斯坦-2</v>
          </cell>
          <cell r="D48">
            <v>30</v>
          </cell>
          <cell r="E48">
            <v>183</v>
          </cell>
          <cell r="F48">
            <v>20</v>
          </cell>
          <cell r="G48">
            <v>120</v>
          </cell>
          <cell r="H48">
            <v>16</v>
          </cell>
          <cell r="I48">
            <v>95</v>
          </cell>
          <cell r="J48">
            <v>96</v>
          </cell>
          <cell r="K48">
            <v>6</v>
          </cell>
          <cell r="L48">
            <v>0</v>
          </cell>
          <cell r="M48">
            <v>3</v>
          </cell>
          <cell r="N48">
            <v>0.5</v>
          </cell>
          <cell r="O48">
            <v>30</v>
          </cell>
          <cell r="P48">
            <v>180</v>
          </cell>
          <cell r="Q48">
            <v>15</v>
          </cell>
          <cell r="R48">
            <v>90</v>
          </cell>
          <cell r="S48">
            <v>20</v>
          </cell>
          <cell r="T48">
            <v>120</v>
          </cell>
          <cell r="U48">
            <v>80</v>
          </cell>
          <cell r="V48">
            <v>3.5</v>
          </cell>
          <cell r="W48">
            <v>0</v>
          </cell>
          <cell r="X48">
            <v>20000</v>
          </cell>
          <cell r="Y48">
            <v>0.5</v>
          </cell>
          <cell r="Z48">
            <v>60</v>
          </cell>
          <cell r="AA48">
            <v>363</v>
          </cell>
          <cell r="AB48">
            <v>35</v>
          </cell>
          <cell r="AC48">
            <v>210</v>
          </cell>
          <cell r="AD48">
            <v>36</v>
          </cell>
          <cell r="AE48">
            <v>215</v>
          </cell>
        </row>
        <row r="49">
          <cell r="C49" t="str">
            <v>哈萨克斯坦-3</v>
          </cell>
          <cell r="D49">
            <v>8</v>
          </cell>
          <cell r="E49">
            <v>48</v>
          </cell>
          <cell r="F49">
            <v>21</v>
          </cell>
          <cell r="G49">
            <v>154</v>
          </cell>
          <cell r="H49">
            <v>21</v>
          </cell>
          <cell r="I49">
            <v>154</v>
          </cell>
          <cell r="J49">
            <v>108</v>
          </cell>
          <cell r="K49">
            <v>12</v>
          </cell>
          <cell r="L49">
            <v>0</v>
          </cell>
          <cell r="M49">
            <v>0</v>
          </cell>
          <cell r="N49">
            <v>0</v>
          </cell>
          <cell r="O49">
            <v>8</v>
          </cell>
          <cell r="P49">
            <v>48</v>
          </cell>
          <cell r="Q49">
            <v>8</v>
          </cell>
          <cell r="R49">
            <v>48</v>
          </cell>
          <cell r="S49">
            <v>8</v>
          </cell>
          <cell r="T49">
            <v>48</v>
          </cell>
          <cell r="U49">
            <v>48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16</v>
          </cell>
          <cell r="AA49">
            <v>96</v>
          </cell>
          <cell r="AB49">
            <v>29</v>
          </cell>
          <cell r="AC49">
            <v>202</v>
          </cell>
          <cell r="AD49">
            <v>29</v>
          </cell>
          <cell r="AE49">
            <v>202</v>
          </cell>
        </row>
        <row r="50">
          <cell r="C50" t="str">
            <v>乌兹别克斯坦</v>
          </cell>
          <cell r="D50">
            <v>8</v>
          </cell>
          <cell r="E50">
            <v>97.799800000000005</v>
          </cell>
          <cell r="F50">
            <v>6</v>
          </cell>
          <cell r="G50">
            <v>43.5045</v>
          </cell>
          <cell r="H50">
            <v>6</v>
          </cell>
          <cell r="I50">
            <v>43.5045</v>
          </cell>
          <cell r="J50">
            <v>2.5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6</v>
          </cell>
          <cell r="P50">
            <v>45.7</v>
          </cell>
          <cell r="Q50">
            <v>6</v>
          </cell>
          <cell r="R50">
            <v>45.7</v>
          </cell>
          <cell r="S50">
            <v>6</v>
          </cell>
          <cell r="T50">
            <v>45.7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14</v>
          </cell>
          <cell r="AA50">
            <v>143.49979999999999</v>
          </cell>
          <cell r="AB50">
            <v>12</v>
          </cell>
          <cell r="AC50">
            <v>89.204499999999996</v>
          </cell>
          <cell r="AD50">
            <v>12</v>
          </cell>
          <cell r="AE50">
            <v>89.204499999999996</v>
          </cell>
        </row>
        <row r="51">
          <cell r="C51" t="str">
            <v>吉尔吉斯斯坦</v>
          </cell>
          <cell r="D51">
            <v>31</v>
          </cell>
          <cell r="E51">
            <v>187.7</v>
          </cell>
          <cell r="F51">
            <v>31</v>
          </cell>
          <cell r="G51">
            <v>187.7</v>
          </cell>
          <cell r="H51">
            <v>20</v>
          </cell>
          <cell r="I51">
            <v>102.23</v>
          </cell>
          <cell r="J51">
            <v>84.8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10</v>
          </cell>
          <cell r="P51">
            <v>81.3</v>
          </cell>
          <cell r="Q51">
            <v>10</v>
          </cell>
          <cell r="R51">
            <v>81.3</v>
          </cell>
          <cell r="S51">
            <v>21</v>
          </cell>
          <cell r="T51">
            <v>166.77</v>
          </cell>
          <cell r="U51">
            <v>166.77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41</v>
          </cell>
          <cell r="AA51">
            <v>269</v>
          </cell>
          <cell r="AB51">
            <v>41</v>
          </cell>
          <cell r="AC51">
            <v>269</v>
          </cell>
          <cell r="AD51">
            <v>41</v>
          </cell>
          <cell r="AE51">
            <v>269</v>
          </cell>
        </row>
        <row r="52">
          <cell r="C52" t="str">
            <v>阿塞拜疆</v>
          </cell>
          <cell r="D52">
            <v>5</v>
          </cell>
          <cell r="E52">
            <v>35</v>
          </cell>
          <cell r="F52">
            <v>7</v>
          </cell>
          <cell r="G52">
            <v>48</v>
          </cell>
          <cell r="H52">
            <v>4</v>
          </cell>
          <cell r="I52">
            <v>24</v>
          </cell>
          <cell r="J52">
            <v>98</v>
          </cell>
          <cell r="K52">
            <v>0</v>
          </cell>
          <cell r="L52">
            <v>0</v>
          </cell>
          <cell r="M52">
            <v>4</v>
          </cell>
          <cell r="N52">
            <v>0</v>
          </cell>
          <cell r="O52">
            <v>20</v>
          </cell>
          <cell r="P52">
            <v>93</v>
          </cell>
          <cell r="Q52">
            <v>20</v>
          </cell>
          <cell r="R52">
            <v>93</v>
          </cell>
          <cell r="S52">
            <v>7</v>
          </cell>
          <cell r="T52">
            <v>48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25</v>
          </cell>
          <cell r="AA52">
            <v>128</v>
          </cell>
          <cell r="AB52">
            <v>27</v>
          </cell>
          <cell r="AC52">
            <v>141</v>
          </cell>
          <cell r="AD52">
            <v>11</v>
          </cell>
          <cell r="AE52">
            <v>72</v>
          </cell>
        </row>
        <row r="53">
          <cell r="C53" t="str">
            <v>格鲁吉亚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C54" t="str">
            <v/>
          </cell>
          <cell r="D54">
            <v>144</v>
          </cell>
          <cell r="E54">
            <v>1161.4998000000001</v>
          </cell>
          <cell r="F54">
            <v>108</v>
          </cell>
          <cell r="G54">
            <v>788.20450000000005</v>
          </cell>
          <cell r="H54">
            <v>102</v>
          </cell>
          <cell r="I54">
            <v>768.73450000000003</v>
          </cell>
          <cell r="J54">
            <v>424.3</v>
          </cell>
          <cell r="K54">
            <v>18</v>
          </cell>
          <cell r="L54">
            <v>0</v>
          </cell>
          <cell r="M54">
            <v>7</v>
          </cell>
          <cell r="N54">
            <v>0.5</v>
          </cell>
          <cell r="O54">
            <v>134</v>
          </cell>
          <cell r="P54">
            <v>1013</v>
          </cell>
          <cell r="Q54">
            <v>89</v>
          </cell>
          <cell r="R54">
            <v>664</v>
          </cell>
          <cell r="S54">
            <v>93</v>
          </cell>
          <cell r="T54">
            <v>713.47</v>
          </cell>
          <cell r="U54">
            <v>350.77</v>
          </cell>
          <cell r="V54">
            <v>3.5</v>
          </cell>
          <cell r="W54">
            <v>0</v>
          </cell>
          <cell r="X54">
            <v>20000</v>
          </cell>
          <cell r="Y54">
            <v>0.5</v>
          </cell>
          <cell r="Z54">
            <v>278</v>
          </cell>
          <cell r="AA54">
            <v>2174.4998000000001</v>
          </cell>
          <cell r="AB54">
            <v>197</v>
          </cell>
          <cell r="AC54">
            <v>1452.2045000000001</v>
          </cell>
          <cell r="AD54">
            <v>195</v>
          </cell>
          <cell r="AE54">
            <v>1482.2045000000001</v>
          </cell>
        </row>
        <row r="55">
          <cell r="C55" t="str">
            <v>墨西哥-1</v>
          </cell>
          <cell r="D55">
            <v>18</v>
          </cell>
          <cell r="E55">
            <v>394</v>
          </cell>
          <cell r="F55">
            <v>17</v>
          </cell>
          <cell r="G55">
            <v>239.64500000000001</v>
          </cell>
          <cell r="H55">
            <v>12</v>
          </cell>
          <cell r="I55">
            <v>124</v>
          </cell>
          <cell r="J55">
            <v>125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18</v>
          </cell>
          <cell r="P55">
            <v>328</v>
          </cell>
          <cell r="Q55">
            <v>11</v>
          </cell>
          <cell r="R55">
            <v>149.51499999999999</v>
          </cell>
          <cell r="S55">
            <v>15</v>
          </cell>
          <cell r="T55">
            <v>211.29499999999999</v>
          </cell>
          <cell r="U55">
            <v>125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36</v>
          </cell>
          <cell r="AA55">
            <v>722</v>
          </cell>
          <cell r="AB55">
            <v>27</v>
          </cell>
          <cell r="AC55">
            <v>389.16</v>
          </cell>
          <cell r="AD55">
            <v>26.5</v>
          </cell>
          <cell r="AE55">
            <v>335.29500000000002</v>
          </cell>
        </row>
        <row r="56">
          <cell r="C56" t="str">
            <v>墨西哥-2</v>
          </cell>
          <cell r="D56">
            <v>18</v>
          </cell>
          <cell r="E56">
            <v>394</v>
          </cell>
          <cell r="F56">
            <v>16</v>
          </cell>
          <cell r="G56">
            <v>239.64500000000001</v>
          </cell>
          <cell r="H56">
            <v>11</v>
          </cell>
          <cell r="I56">
            <v>124</v>
          </cell>
          <cell r="J56">
            <v>125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18</v>
          </cell>
          <cell r="P56">
            <v>328</v>
          </cell>
          <cell r="Q56">
            <v>10</v>
          </cell>
          <cell r="R56">
            <v>149.51499999999999</v>
          </cell>
          <cell r="S56">
            <v>15</v>
          </cell>
          <cell r="T56">
            <v>211.29499999999999</v>
          </cell>
          <cell r="U56">
            <v>125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36</v>
          </cell>
          <cell r="AA56">
            <v>722</v>
          </cell>
          <cell r="AB56">
            <v>27</v>
          </cell>
          <cell r="AC56">
            <v>389.16</v>
          </cell>
          <cell r="AD56">
            <v>26.5</v>
          </cell>
          <cell r="AE56">
            <v>335.29500000000002</v>
          </cell>
        </row>
        <row r="57">
          <cell r="C57" t="str">
            <v>秘鲁</v>
          </cell>
          <cell r="D57">
            <v>12</v>
          </cell>
          <cell r="E57">
            <v>156</v>
          </cell>
          <cell r="F57">
            <v>4</v>
          </cell>
          <cell r="G57">
            <v>48</v>
          </cell>
          <cell r="H57">
            <v>5</v>
          </cell>
          <cell r="I57">
            <v>65</v>
          </cell>
          <cell r="J57">
            <v>80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13</v>
          </cell>
          <cell r="P57">
            <v>169</v>
          </cell>
          <cell r="Q57">
            <v>4</v>
          </cell>
          <cell r="R57">
            <v>48</v>
          </cell>
          <cell r="S57">
            <v>5</v>
          </cell>
          <cell r="T57">
            <v>65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25</v>
          </cell>
          <cell r="AA57">
            <v>325</v>
          </cell>
          <cell r="AB57">
            <v>8</v>
          </cell>
          <cell r="AC57">
            <v>96</v>
          </cell>
          <cell r="AD57">
            <v>10</v>
          </cell>
          <cell r="AE57">
            <v>130</v>
          </cell>
        </row>
        <row r="58">
          <cell r="C58" t="str">
            <v>智利</v>
          </cell>
          <cell r="D58">
            <v>10</v>
          </cell>
          <cell r="E58">
            <v>140</v>
          </cell>
          <cell r="F58">
            <v>4</v>
          </cell>
          <cell r="G58">
            <v>54.3</v>
          </cell>
          <cell r="H58">
            <v>4</v>
          </cell>
          <cell r="I58">
            <v>50.2</v>
          </cell>
          <cell r="J58">
            <v>22.2</v>
          </cell>
          <cell r="K58">
            <v>0</v>
          </cell>
          <cell r="L58">
            <v>0</v>
          </cell>
          <cell r="M58">
            <v>2</v>
          </cell>
          <cell r="N58">
            <v>0</v>
          </cell>
          <cell r="O58">
            <v>8</v>
          </cell>
          <cell r="P58">
            <v>112</v>
          </cell>
          <cell r="Q58">
            <v>3</v>
          </cell>
          <cell r="R58">
            <v>34.799999999999997</v>
          </cell>
          <cell r="S58">
            <v>4</v>
          </cell>
          <cell r="T58">
            <v>61.6</v>
          </cell>
          <cell r="U58">
            <v>61.6</v>
          </cell>
          <cell r="V58">
            <v>0</v>
          </cell>
          <cell r="W58">
            <v>0</v>
          </cell>
          <cell r="X58">
            <v>4</v>
          </cell>
          <cell r="Y58">
            <v>0</v>
          </cell>
          <cell r="Z58">
            <v>18</v>
          </cell>
          <cell r="AA58">
            <v>252</v>
          </cell>
          <cell r="AB58">
            <v>7</v>
          </cell>
          <cell r="AC58">
            <v>89.1</v>
          </cell>
          <cell r="AD58">
            <v>8</v>
          </cell>
          <cell r="AE58">
            <v>111.8</v>
          </cell>
        </row>
        <row r="59">
          <cell r="C59" t="str">
            <v>加勒比海</v>
          </cell>
          <cell r="D59">
            <v>50</v>
          </cell>
          <cell r="E59">
            <v>385</v>
          </cell>
          <cell r="F59">
            <v>50</v>
          </cell>
          <cell r="G59">
            <v>385</v>
          </cell>
          <cell r="H59">
            <v>39</v>
          </cell>
          <cell r="I59">
            <v>365.68</v>
          </cell>
          <cell r="J59">
            <v>115.5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50</v>
          </cell>
          <cell r="P59">
            <v>385</v>
          </cell>
          <cell r="Q59">
            <v>50</v>
          </cell>
          <cell r="R59">
            <v>385</v>
          </cell>
          <cell r="S59">
            <v>8</v>
          </cell>
          <cell r="T59">
            <v>124.88</v>
          </cell>
          <cell r="U59">
            <v>115.5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100</v>
          </cell>
          <cell r="AA59">
            <v>770</v>
          </cell>
          <cell r="AB59">
            <v>100</v>
          </cell>
          <cell r="AC59">
            <v>770</v>
          </cell>
          <cell r="AD59">
            <v>47</v>
          </cell>
          <cell r="AE59">
            <v>490.56</v>
          </cell>
        </row>
        <row r="60">
          <cell r="C60" t="str">
            <v>多米尼加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C61" t="str">
            <v>哥伦比亚</v>
          </cell>
          <cell r="D61">
            <v>100</v>
          </cell>
          <cell r="E61">
            <v>1500</v>
          </cell>
          <cell r="F61">
            <v>45</v>
          </cell>
          <cell r="G61">
            <v>500</v>
          </cell>
          <cell r="H61">
            <v>25</v>
          </cell>
          <cell r="I61">
            <v>266</v>
          </cell>
          <cell r="J61">
            <v>200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110</v>
          </cell>
          <cell r="P61">
            <v>1700</v>
          </cell>
          <cell r="Q61">
            <v>40</v>
          </cell>
          <cell r="R61">
            <v>450</v>
          </cell>
          <cell r="S61">
            <v>35</v>
          </cell>
          <cell r="T61">
            <v>400</v>
          </cell>
          <cell r="U61">
            <v>350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210</v>
          </cell>
          <cell r="AA61">
            <v>3200</v>
          </cell>
          <cell r="AB61">
            <v>85</v>
          </cell>
          <cell r="AC61">
            <v>950</v>
          </cell>
          <cell r="AD61">
            <v>60</v>
          </cell>
          <cell r="AE61">
            <v>666</v>
          </cell>
        </row>
        <row r="62">
          <cell r="C62" t="str">
            <v>秘鲁2</v>
          </cell>
          <cell r="D62">
            <v>2</v>
          </cell>
          <cell r="E62">
            <v>17</v>
          </cell>
          <cell r="F62">
            <v>2</v>
          </cell>
          <cell r="G62">
            <v>17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5</v>
          </cell>
          <cell r="P62">
            <v>50</v>
          </cell>
          <cell r="Q62">
            <v>2</v>
          </cell>
          <cell r="R62">
            <v>12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7</v>
          </cell>
          <cell r="AA62">
            <v>67</v>
          </cell>
          <cell r="AB62">
            <v>4</v>
          </cell>
          <cell r="AC62">
            <v>29</v>
          </cell>
          <cell r="AD62">
            <v>0</v>
          </cell>
          <cell r="AE62">
            <v>0</v>
          </cell>
        </row>
        <row r="63">
          <cell r="C63" t="str">
            <v>巴西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C64" t="str">
            <v/>
          </cell>
          <cell r="D64">
            <v>210</v>
          </cell>
          <cell r="E64">
            <v>2986</v>
          </cell>
          <cell r="F64">
            <v>138</v>
          </cell>
          <cell r="G64">
            <v>1483.59</v>
          </cell>
          <cell r="H64">
            <v>96</v>
          </cell>
          <cell r="I64">
            <v>994.88</v>
          </cell>
          <cell r="J64">
            <v>667.7</v>
          </cell>
          <cell r="K64">
            <v>0</v>
          </cell>
          <cell r="L64">
            <v>0</v>
          </cell>
          <cell r="M64">
            <v>2</v>
          </cell>
          <cell r="N64">
            <v>0</v>
          </cell>
          <cell r="O64">
            <v>222</v>
          </cell>
          <cell r="P64">
            <v>3072</v>
          </cell>
          <cell r="Q64">
            <v>120</v>
          </cell>
          <cell r="R64">
            <v>1228.83</v>
          </cell>
          <cell r="S64">
            <v>82</v>
          </cell>
          <cell r="T64">
            <v>1074.07</v>
          </cell>
          <cell r="U64">
            <v>777.1</v>
          </cell>
          <cell r="V64">
            <v>0</v>
          </cell>
          <cell r="W64">
            <v>0</v>
          </cell>
          <cell r="X64">
            <v>4</v>
          </cell>
          <cell r="Y64">
            <v>0</v>
          </cell>
          <cell r="Z64">
            <v>432</v>
          </cell>
          <cell r="AA64">
            <v>6058</v>
          </cell>
          <cell r="AB64">
            <v>258</v>
          </cell>
          <cell r="AC64">
            <v>2712.42</v>
          </cell>
          <cell r="AD64">
            <v>178</v>
          </cell>
          <cell r="AE64">
            <v>2068.9499999999998</v>
          </cell>
        </row>
        <row r="65">
          <cell r="C65" t="str">
            <v>肯尼亚/坦桑尼亚</v>
          </cell>
          <cell r="D65">
            <v>3</v>
          </cell>
          <cell r="E65">
            <v>30</v>
          </cell>
          <cell r="F65">
            <v>3</v>
          </cell>
          <cell r="G65">
            <v>30</v>
          </cell>
          <cell r="H65">
            <v>3</v>
          </cell>
          <cell r="I65">
            <v>30</v>
          </cell>
          <cell r="J65" t="str">
            <v/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12</v>
          </cell>
          <cell r="P65">
            <v>100</v>
          </cell>
          <cell r="Q65">
            <v>12</v>
          </cell>
          <cell r="R65">
            <v>100</v>
          </cell>
          <cell r="S65">
            <v>12</v>
          </cell>
          <cell r="T65">
            <v>100</v>
          </cell>
          <cell r="U65" t="str">
            <v/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130</v>
          </cell>
          <cell r="AB65">
            <v>15</v>
          </cell>
          <cell r="AC65">
            <v>130</v>
          </cell>
          <cell r="AD65">
            <v>15</v>
          </cell>
          <cell r="AE65">
            <v>130</v>
          </cell>
        </row>
        <row r="66">
          <cell r="C66" t="str">
            <v>埃及-1</v>
          </cell>
          <cell r="D66">
            <v>211</v>
          </cell>
          <cell r="E66">
            <v>1477</v>
          </cell>
          <cell r="F66">
            <v>2</v>
          </cell>
          <cell r="G66">
            <v>16.8</v>
          </cell>
          <cell r="H66">
            <v>2</v>
          </cell>
          <cell r="I66">
            <v>16.8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100</v>
          </cell>
          <cell r="R66">
            <v>500</v>
          </cell>
          <cell r="S66">
            <v>1</v>
          </cell>
          <cell r="T66">
            <v>8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211</v>
          </cell>
          <cell r="AA66">
            <v>1477</v>
          </cell>
          <cell r="AB66">
            <v>102</v>
          </cell>
          <cell r="AC66">
            <v>516.79999999999995</v>
          </cell>
          <cell r="AD66">
            <v>3</v>
          </cell>
          <cell r="AE66">
            <v>24.8</v>
          </cell>
        </row>
        <row r="67">
          <cell r="C67" t="str">
            <v>尼日利亚/埃塞俄比亚</v>
          </cell>
          <cell r="D67">
            <v>14</v>
          </cell>
          <cell r="E67">
            <v>143</v>
          </cell>
          <cell r="F67">
            <v>14</v>
          </cell>
          <cell r="G67">
            <v>143</v>
          </cell>
          <cell r="H67">
            <v>1</v>
          </cell>
          <cell r="I67">
            <v>10.6</v>
          </cell>
          <cell r="J67">
            <v>26.9</v>
          </cell>
          <cell r="K67">
            <v>0</v>
          </cell>
          <cell r="L67">
            <v>0</v>
          </cell>
          <cell r="M67">
            <v>3</v>
          </cell>
          <cell r="N67">
            <v>0</v>
          </cell>
          <cell r="O67">
            <v>8</v>
          </cell>
          <cell r="P67">
            <v>84.5</v>
          </cell>
          <cell r="Q67">
            <v>8</v>
          </cell>
          <cell r="R67">
            <v>84.5</v>
          </cell>
          <cell r="S67">
            <v>14</v>
          </cell>
          <cell r="T67">
            <v>143</v>
          </cell>
          <cell r="U67">
            <v>143</v>
          </cell>
          <cell r="V67">
            <v>0</v>
          </cell>
          <cell r="W67">
            <v>0</v>
          </cell>
          <cell r="X67">
            <v>3</v>
          </cell>
          <cell r="Y67">
            <v>0</v>
          </cell>
          <cell r="Z67">
            <v>22</v>
          </cell>
          <cell r="AA67">
            <v>227.5</v>
          </cell>
          <cell r="AB67">
            <v>22</v>
          </cell>
          <cell r="AC67">
            <v>227.5</v>
          </cell>
          <cell r="AD67">
            <v>15</v>
          </cell>
          <cell r="AE67">
            <v>153.6</v>
          </cell>
        </row>
        <row r="68">
          <cell r="C68" t="str">
            <v>非洲法语区</v>
          </cell>
          <cell r="D68">
            <v>8</v>
          </cell>
          <cell r="E68">
            <v>45</v>
          </cell>
          <cell r="F68">
            <v>5</v>
          </cell>
          <cell r="G68">
            <v>26.9</v>
          </cell>
          <cell r="H68">
            <v>0</v>
          </cell>
          <cell r="I68">
            <v>0</v>
          </cell>
          <cell r="J68">
            <v>8</v>
          </cell>
          <cell r="K68">
            <v>0</v>
          </cell>
          <cell r="L68">
            <v>0</v>
          </cell>
          <cell r="M68">
            <v>3</v>
          </cell>
          <cell r="N68">
            <v>0</v>
          </cell>
          <cell r="O68">
            <v>15</v>
          </cell>
          <cell r="P68">
            <v>87</v>
          </cell>
          <cell r="Q68">
            <v>6</v>
          </cell>
          <cell r="R68">
            <v>34</v>
          </cell>
          <cell r="S68">
            <v>0</v>
          </cell>
          <cell r="T68">
            <v>0</v>
          </cell>
          <cell r="U68">
            <v>10</v>
          </cell>
          <cell r="V68">
            <v>0</v>
          </cell>
          <cell r="W68">
            <v>0</v>
          </cell>
          <cell r="X68">
            <v>2.5</v>
          </cell>
          <cell r="Y68">
            <v>0</v>
          </cell>
          <cell r="Z68">
            <v>23</v>
          </cell>
          <cell r="AA68">
            <v>132</v>
          </cell>
          <cell r="AB68">
            <v>11</v>
          </cell>
          <cell r="AC68">
            <v>60.9</v>
          </cell>
          <cell r="AD68">
            <v>0</v>
          </cell>
          <cell r="AE68">
            <v>0</v>
          </cell>
        </row>
        <row r="69">
          <cell r="C69" t="str">
            <v>南非/安格拉</v>
          </cell>
          <cell r="D69">
            <v>9</v>
          </cell>
          <cell r="E69">
            <v>147</v>
          </cell>
          <cell r="F69">
            <v>1</v>
          </cell>
          <cell r="G69">
            <v>12</v>
          </cell>
          <cell r="H69">
            <v>1</v>
          </cell>
          <cell r="I69">
            <v>11.5</v>
          </cell>
          <cell r="J69">
            <v>3.6</v>
          </cell>
          <cell r="K69">
            <v>0</v>
          </cell>
          <cell r="L69">
            <v>0</v>
          </cell>
          <cell r="M69">
            <v>3</v>
          </cell>
          <cell r="N69">
            <v>0</v>
          </cell>
          <cell r="O69">
            <v>10</v>
          </cell>
          <cell r="P69">
            <v>100</v>
          </cell>
          <cell r="Q69">
            <v>4</v>
          </cell>
          <cell r="R69">
            <v>35</v>
          </cell>
          <cell r="S69">
            <v>1</v>
          </cell>
          <cell r="T69">
            <v>12</v>
          </cell>
          <cell r="U69">
            <v>8.4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19</v>
          </cell>
          <cell r="AA69">
            <v>247</v>
          </cell>
          <cell r="AB69">
            <v>5</v>
          </cell>
          <cell r="AC69">
            <v>47</v>
          </cell>
          <cell r="AD69">
            <v>2</v>
          </cell>
          <cell r="AE69">
            <v>23.5</v>
          </cell>
        </row>
        <row r="70">
          <cell r="C70" t="str">
            <v>埃及-2</v>
          </cell>
          <cell r="D70">
            <v>16</v>
          </cell>
          <cell r="E70">
            <v>175</v>
          </cell>
          <cell r="F70">
            <v>14</v>
          </cell>
          <cell r="G70">
            <v>95</v>
          </cell>
          <cell r="H70">
            <v>0</v>
          </cell>
          <cell r="I70">
            <v>0</v>
          </cell>
          <cell r="J70">
            <v>580</v>
          </cell>
          <cell r="K70">
            <v>60</v>
          </cell>
          <cell r="L70">
            <v>60</v>
          </cell>
          <cell r="M70">
            <v>5</v>
          </cell>
          <cell r="N70">
            <v>0</v>
          </cell>
          <cell r="O70">
            <v>14</v>
          </cell>
          <cell r="P70">
            <v>78</v>
          </cell>
          <cell r="Q70">
            <v>10</v>
          </cell>
          <cell r="R70">
            <v>65</v>
          </cell>
          <cell r="S70">
            <v>14</v>
          </cell>
          <cell r="T70">
            <v>95</v>
          </cell>
          <cell r="U70">
            <v>60</v>
          </cell>
          <cell r="V70">
            <v>60</v>
          </cell>
          <cell r="W70">
            <v>0</v>
          </cell>
          <cell r="X70">
            <v>0</v>
          </cell>
          <cell r="Y70">
            <v>0</v>
          </cell>
          <cell r="Z70">
            <v>30</v>
          </cell>
          <cell r="AA70">
            <v>253</v>
          </cell>
          <cell r="AB70">
            <v>24</v>
          </cell>
          <cell r="AC70">
            <v>160</v>
          </cell>
          <cell r="AD70">
            <v>14</v>
          </cell>
          <cell r="AE70">
            <v>95</v>
          </cell>
        </row>
        <row r="71">
          <cell r="C71" t="str">
            <v/>
          </cell>
          <cell r="D71">
            <v>261</v>
          </cell>
          <cell r="E71">
            <v>2017</v>
          </cell>
          <cell r="F71">
            <v>39</v>
          </cell>
          <cell r="G71">
            <v>323.7</v>
          </cell>
          <cell r="H71">
            <v>7</v>
          </cell>
          <cell r="I71">
            <v>68.900000000000006</v>
          </cell>
          <cell r="J71">
            <v>618.5</v>
          </cell>
          <cell r="K71">
            <v>60</v>
          </cell>
          <cell r="L71">
            <v>60</v>
          </cell>
          <cell r="M71">
            <v>14</v>
          </cell>
          <cell r="N71">
            <v>0</v>
          </cell>
          <cell r="O71">
            <v>59</v>
          </cell>
          <cell r="P71">
            <v>449.5</v>
          </cell>
          <cell r="Q71">
            <v>140</v>
          </cell>
          <cell r="R71">
            <v>818.5</v>
          </cell>
          <cell r="S71">
            <v>42</v>
          </cell>
          <cell r="T71">
            <v>358</v>
          </cell>
          <cell r="U71">
            <v>221.4</v>
          </cell>
          <cell r="V71">
            <v>60</v>
          </cell>
          <cell r="W71">
            <v>0</v>
          </cell>
          <cell r="X71">
            <v>5.5</v>
          </cell>
          <cell r="Y71">
            <v>0</v>
          </cell>
          <cell r="Z71">
            <v>320</v>
          </cell>
          <cell r="AA71">
            <v>2466.5</v>
          </cell>
          <cell r="AB71">
            <v>179</v>
          </cell>
          <cell r="AC71">
            <v>1142.2</v>
          </cell>
          <cell r="AD71">
            <v>49</v>
          </cell>
          <cell r="AE71">
            <v>426.9</v>
          </cell>
        </row>
        <row r="72">
          <cell r="C72" t="str">
            <v>德国西班牙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3">
          <cell r="C73" t="str">
            <v>东欧</v>
          </cell>
          <cell r="D73">
            <v>6</v>
          </cell>
          <cell r="E73">
            <v>33.6</v>
          </cell>
          <cell r="F73">
            <v>6</v>
          </cell>
          <cell r="G73">
            <v>16.8</v>
          </cell>
          <cell r="H73">
            <v>1</v>
          </cell>
          <cell r="I73">
            <v>2.1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25</v>
          </cell>
          <cell r="P73">
            <v>290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 t="str">
            <v/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31</v>
          </cell>
          <cell r="AA73">
            <v>323.60000000000002</v>
          </cell>
          <cell r="AB73">
            <v>6</v>
          </cell>
          <cell r="AC73">
            <v>16.8</v>
          </cell>
          <cell r="AD73">
            <v>1</v>
          </cell>
          <cell r="AE73">
            <v>2.1</v>
          </cell>
        </row>
        <row r="74">
          <cell r="C74" t="str">
            <v>英国意大利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3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6</v>
          </cell>
          <cell r="Q74">
            <v>0</v>
          </cell>
          <cell r="R74">
            <v>0</v>
          </cell>
          <cell r="S74">
            <v>0</v>
          </cell>
          <cell r="T74">
            <v>6</v>
          </cell>
          <cell r="U74" t="str">
            <v/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6</v>
          </cell>
          <cell r="AB74">
            <v>0</v>
          </cell>
          <cell r="AC74">
            <v>0</v>
          </cell>
          <cell r="AD74">
            <v>0</v>
          </cell>
          <cell r="AE74">
            <v>9</v>
          </cell>
        </row>
        <row r="75">
          <cell r="C75" t="str">
            <v/>
          </cell>
          <cell r="D75">
            <v>6</v>
          </cell>
          <cell r="E75">
            <v>33.6</v>
          </cell>
          <cell r="F75">
            <v>6</v>
          </cell>
          <cell r="G75">
            <v>16.8</v>
          </cell>
          <cell r="H75">
            <v>1</v>
          </cell>
          <cell r="I75">
            <v>5.0999999999999996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25</v>
          </cell>
          <cell r="P75">
            <v>296</v>
          </cell>
          <cell r="Q75">
            <v>0</v>
          </cell>
          <cell r="R75">
            <v>0</v>
          </cell>
          <cell r="S75">
            <v>0</v>
          </cell>
          <cell r="T75">
            <v>6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31</v>
          </cell>
          <cell r="AA75">
            <v>329.6</v>
          </cell>
          <cell r="AB75">
            <v>6</v>
          </cell>
          <cell r="AC75">
            <v>16.8</v>
          </cell>
          <cell r="AD75">
            <v>1</v>
          </cell>
          <cell r="AE75">
            <v>11.1</v>
          </cell>
        </row>
        <row r="76">
          <cell r="C76" t="str">
            <v>商贸1</v>
          </cell>
          <cell r="D76">
            <v>0</v>
          </cell>
          <cell r="E76">
            <v>22</v>
          </cell>
          <cell r="F76">
            <v>0</v>
          </cell>
          <cell r="G76">
            <v>22</v>
          </cell>
          <cell r="H76">
            <v>0</v>
          </cell>
          <cell r="I76">
            <v>13</v>
          </cell>
          <cell r="J76">
            <v>16</v>
          </cell>
          <cell r="K76">
            <v>9</v>
          </cell>
          <cell r="L76">
            <v>0</v>
          </cell>
          <cell r="M76">
            <v>1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 t="str">
            <v/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22</v>
          </cell>
          <cell r="AB76">
            <v>0</v>
          </cell>
          <cell r="AC76">
            <v>22</v>
          </cell>
          <cell r="AD76">
            <v>0</v>
          </cell>
          <cell r="AE76">
            <v>13</v>
          </cell>
        </row>
        <row r="77">
          <cell r="C77" t="str">
            <v>商贸2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 t="str">
            <v/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8">
          <cell r="C78" t="str">
            <v>商贸3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6.8459199999999996</v>
          </cell>
          <cell r="J78" t="str">
            <v/>
          </cell>
          <cell r="K78">
            <v>0.20319999999999999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 t="str">
            <v/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6.8459199999999996</v>
          </cell>
        </row>
        <row r="79">
          <cell r="C79" t="str">
            <v>配件-1</v>
          </cell>
          <cell r="D79">
            <v>0</v>
          </cell>
          <cell r="E79">
            <v>400</v>
          </cell>
          <cell r="F79">
            <v>0</v>
          </cell>
          <cell r="G79">
            <v>143</v>
          </cell>
          <cell r="H79">
            <v>0</v>
          </cell>
          <cell r="I79">
            <v>68.95</v>
          </cell>
          <cell r="J79">
            <v>70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415</v>
          </cell>
          <cell r="Q79">
            <v>0</v>
          </cell>
          <cell r="R79">
            <v>200</v>
          </cell>
          <cell r="S79">
            <v>0</v>
          </cell>
          <cell r="T79">
            <v>106.39</v>
          </cell>
          <cell r="U79">
            <v>110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815</v>
          </cell>
          <cell r="AB79">
            <v>0</v>
          </cell>
          <cell r="AC79">
            <v>343</v>
          </cell>
          <cell r="AD79">
            <v>0</v>
          </cell>
          <cell r="AE79">
            <v>175.34</v>
          </cell>
        </row>
        <row r="80">
          <cell r="C80" t="str">
            <v>配件-2</v>
          </cell>
          <cell r="D80">
            <v>0</v>
          </cell>
          <cell r="E80">
            <v>200</v>
          </cell>
          <cell r="F80">
            <v>0</v>
          </cell>
          <cell r="G80">
            <v>150</v>
          </cell>
          <cell r="H80">
            <v>0</v>
          </cell>
          <cell r="I80">
            <v>150</v>
          </cell>
          <cell r="J80">
            <v>150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200</v>
          </cell>
          <cell r="Q80">
            <v>0</v>
          </cell>
          <cell r="R80">
            <v>200</v>
          </cell>
          <cell r="S80">
            <v>0</v>
          </cell>
          <cell r="T80">
            <v>200</v>
          </cell>
          <cell r="U80">
            <v>200</v>
          </cell>
          <cell r="V80">
            <v>200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400</v>
          </cell>
          <cell r="AB80">
            <v>0</v>
          </cell>
          <cell r="AC80">
            <v>350</v>
          </cell>
          <cell r="AD80">
            <v>0</v>
          </cell>
          <cell r="AE80">
            <v>350</v>
          </cell>
        </row>
        <row r="81">
          <cell r="C81" t="str">
            <v>改造</v>
          </cell>
          <cell r="D81">
            <v>0</v>
          </cell>
          <cell r="E81">
            <v>400</v>
          </cell>
          <cell r="F81">
            <v>0</v>
          </cell>
          <cell r="G81">
            <v>143</v>
          </cell>
          <cell r="H81">
            <v>0</v>
          </cell>
          <cell r="I81">
            <v>68.95</v>
          </cell>
          <cell r="J81">
            <v>70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200</v>
          </cell>
          <cell r="Q81">
            <v>0</v>
          </cell>
          <cell r="R81">
            <v>100</v>
          </cell>
          <cell r="S81">
            <v>0</v>
          </cell>
          <cell r="T81">
            <v>100</v>
          </cell>
          <cell r="U81">
            <v>100</v>
          </cell>
          <cell r="V81">
            <v>0</v>
          </cell>
          <cell r="W81">
            <v>0</v>
          </cell>
          <cell r="X81">
            <v>6000</v>
          </cell>
          <cell r="Y81">
            <v>0</v>
          </cell>
          <cell r="Z81">
            <v>0</v>
          </cell>
          <cell r="AA81">
            <v>600</v>
          </cell>
          <cell r="AB81">
            <v>0</v>
          </cell>
          <cell r="AC81">
            <v>243</v>
          </cell>
          <cell r="AD81">
            <v>0</v>
          </cell>
          <cell r="AE81">
            <v>168.95</v>
          </cell>
        </row>
        <row r="82">
          <cell r="C82">
            <v>0</v>
          </cell>
          <cell r="D82">
            <v>0</v>
          </cell>
          <cell r="E82">
            <v>1022</v>
          </cell>
          <cell r="F82">
            <v>0</v>
          </cell>
          <cell r="G82">
            <v>458</v>
          </cell>
          <cell r="H82">
            <v>0</v>
          </cell>
          <cell r="I82">
            <v>307.74592000000001</v>
          </cell>
          <cell r="J82">
            <v>306</v>
          </cell>
          <cell r="K82">
            <v>9.2032000000000007</v>
          </cell>
          <cell r="L82">
            <v>0</v>
          </cell>
          <cell r="M82">
            <v>1</v>
          </cell>
          <cell r="N82">
            <v>0</v>
          </cell>
          <cell r="O82">
            <v>0</v>
          </cell>
          <cell r="P82">
            <v>815</v>
          </cell>
          <cell r="Q82">
            <v>0</v>
          </cell>
          <cell r="R82">
            <v>500</v>
          </cell>
          <cell r="S82">
            <v>0</v>
          </cell>
          <cell r="T82">
            <v>406.39</v>
          </cell>
          <cell r="U82">
            <v>410</v>
          </cell>
          <cell r="V82">
            <v>200</v>
          </cell>
          <cell r="W82">
            <v>0</v>
          </cell>
          <cell r="X82">
            <v>6000</v>
          </cell>
          <cell r="Y82">
            <v>0</v>
          </cell>
          <cell r="Z82">
            <v>0</v>
          </cell>
          <cell r="AA82">
            <v>1837</v>
          </cell>
          <cell r="AB82">
            <v>0</v>
          </cell>
          <cell r="AC82">
            <v>958</v>
          </cell>
          <cell r="AD82">
            <v>0</v>
          </cell>
          <cell r="AE82">
            <v>714.13592000000006</v>
          </cell>
        </row>
        <row r="83">
          <cell r="C83">
            <v>0</v>
          </cell>
          <cell r="D83">
            <v>1620</v>
          </cell>
          <cell r="E83">
            <v>19775.8698</v>
          </cell>
          <cell r="F83">
            <v>640</v>
          </cell>
          <cell r="G83">
            <v>7274.1405000000004</v>
          </cell>
          <cell r="H83">
            <v>546</v>
          </cell>
          <cell r="I83">
            <v>7742.6069799999996</v>
          </cell>
          <cell r="J83">
            <v>4293.9207999999999</v>
          </cell>
          <cell r="K83">
            <v>203.45</v>
          </cell>
          <cell r="L83">
            <v>440</v>
          </cell>
          <cell r="M83">
            <v>55.3</v>
          </cell>
          <cell r="N83">
            <v>2</v>
          </cell>
          <cell r="O83">
            <v>1418</v>
          </cell>
          <cell r="P83">
            <v>16944.18</v>
          </cell>
          <cell r="Q83">
            <v>785</v>
          </cell>
          <cell r="R83">
            <v>7767.22</v>
          </cell>
          <cell r="S83">
            <v>631</v>
          </cell>
          <cell r="T83">
            <v>8039.1973064000003</v>
          </cell>
          <cell r="U83">
            <v>4950.33</v>
          </cell>
          <cell r="V83">
            <v>297.29000000000002</v>
          </cell>
          <cell r="W83">
            <v>353</v>
          </cell>
          <cell r="X83">
            <v>26032.3</v>
          </cell>
          <cell r="Y83">
            <v>2</v>
          </cell>
          <cell r="Z83">
            <v>3038</v>
          </cell>
          <cell r="AA83">
            <v>36720.049800000001</v>
          </cell>
          <cell r="AB83">
            <v>1425</v>
          </cell>
          <cell r="AC83">
            <v>15041.360500000001</v>
          </cell>
          <cell r="AD83">
            <v>1177</v>
          </cell>
          <cell r="AE83">
            <v>15781.8042864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1"/>
  <sheetViews>
    <sheetView workbookViewId="0">
      <pane xSplit="3" ySplit="4" topLeftCell="AE5" activePane="bottomRight" state="frozen"/>
      <selection pane="topRight"/>
      <selection pane="bottomLeft"/>
      <selection pane="bottomRight" activeCell="AZ85" sqref="AZ85"/>
    </sheetView>
  </sheetViews>
  <sheetFormatPr defaultColWidth="9" defaultRowHeight="13.5"/>
  <cols>
    <col min="1" max="1" width="6" customWidth="1"/>
    <col min="2" max="2" width="7.875" customWidth="1"/>
    <col min="3" max="3" width="14.75" customWidth="1"/>
    <col min="4" max="33" width="10" customWidth="1"/>
    <col min="34" max="34" width="9" customWidth="1"/>
    <col min="35" max="36" width="11" customWidth="1"/>
    <col min="37" max="39" width="11" style="26" customWidth="1"/>
    <col min="40" max="40" width="9" customWidth="1"/>
    <col min="41" max="41" width="11" customWidth="1"/>
    <col min="42" max="42" width="10.75" customWidth="1"/>
    <col min="43" max="43" width="9" style="26" customWidth="1"/>
    <col min="44" max="44" width="10.375" style="26" customWidth="1"/>
    <col min="45" max="47" width="9" customWidth="1"/>
    <col min="48" max="49" width="9" style="26" customWidth="1"/>
    <col min="50" max="50" width="9.125" style="26" customWidth="1"/>
    <col min="51" max="51" width="10.375" customWidth="1"/>
    <col min="52" max="53" width="9" customWidth="1"/>
    <col min="54" max="54" width="9" style="26" customWidth="1"/>
    <col min="55" max="55" width="11.5" style="26" customWidth="1"/>
    <col min="56" max="56" width="8.25" style="26" customWidth="1"/>
    <col min="57" max="59" width="9" customWidth="1"/>
    <col min="60" max="60" width="7.75" customWidth="1"/>
    <col min="61" max="61" width="9.25" customWidth="1"/>
    <col min="62" max="63" width="9" customWidth="1"/>
    <col min="64" max="64" width="9" hidden="1" customWidth="1"/>
    <col min="65" max="66" width="10.375" style="26" customWidth="1"/>
  </cols>
  <sheetData>
    <row r="1" spans="1:66" ht="18.75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1"/>
      <c r="AL1" s="81"/>
      <c r="AM1" s="81"/>
      <c r="AN1" s="80"/>
      <c r="AO1" s="80"/>
      <c r="AP1" s="80"/>
      <c r="AQ1" s="81"/>
      <c r="AR1" s="81"/>
      <c r="AS1" s="80"/>
      <c r="AT1" s="80"/>
      <c r="AU1" s="80"/>
      <c r="AV1" s="81"/>
      <c r="AW1" s="81"/>
      <c r="AX1" s="81"/>
      <c r="AY1" s="80"/>
      <c r="AZ1" s="80"/>
      <c r="BA1" s="80"/>
      <c r="BB1" s="81"/>
      <c r="BC1" s="81"/>
      <c r="BD1" s="81"/>
      <c r="BE1" s="80"/>
      <c r="BF1" s="80"/>
      <c r="BG1" s="80"/>
      <c r="BH1" s="80"/>
      <c r="BI1" s="80"/>
      <c r="BJ1" s="80"/>
      <c r="BK1" s="80"/>
      <c r="BL1" s="80"/>
      <c r="BM1" s="27"/>
      <c r="BN1" s="27"/>
    </row>
    <row r="2" spans="1:66">
      <c r="A2" t="s">
        <v>1</v>
      </c>
      <c r="C2" t="s">
        <v>2</v>
      </c>
    </row>
    <row r="3" spans="1:66" ht="25.5" customHeight="1">
      <c r="A3" s="88" t="s">
        <v>3</v>
      </c>
      <c r="B3" s="88" t="s">
        <v>4</v>
      </c>
      <c r="C3" s="88" t="s">
        <v>5</v>
      </c>
      <c r="D3" s="82" t="s">
        <v>6</v>
      </c>
      <c r="E3" s="83"/>
      <c r="F3" s="83"/>
      <c r="G3" s="83"/>
      <c r="H3" s="84"/>
      <c r="I3" s="82" t="s">
        <v>7</v>
      </c>
      <c r="J3" s="83"/>
      <c r="K3" s="83"/>
      <c r="L3" s="83"/>
      <c r="M3" s="84"/>
      <c r="N3" s="82" t="s">
        <v>8</v>
      </c>
      <c r="O3" s="83"/>
      <c r="P3" s="83"/>
      <c r="Q3" s="83"/>
      <c r="R3" s="84"/>
      <c r="S3" s="82" t="s">
        <v>9</v>
      </c>
      <c r="T3" s="83"/>
      <c r="U3" s="83"/>
      <c r="V3" s="83"/>
      <c r="W3" s="84"/>
      <c r="X3" s="82" t="s">
        <v>10</v>
      </c>
      <c r="Y3" s="83"/>
      <c r="Z3" s="83"/>
      <c r="AA3" s="83"/>
      <c r="AB3" s="84"/>
      <c r="AC3" s="82" t="s">
        <v>11</v>
      </c>
      <c r="AD3" s="83"/>
      <c r="AE3" s="83"/>
      <c r="AF3" s="83"/>
      <c r="AG3" s="83"/>
      <c r="AH3" s="90" t="s">
        <v>12</v>
      </c>
      <c r="AI3" s="91"/>
      <c r="AJ3" s="91"/>
      <c r="AK3" s="91"/>
      <c r="AL3" s="91"/>
      <c r="AM3" s="91"/>
      <c r="AN3" s="91"/>
      <c r="AO3" s="91"/>
      <c r="AP3" s="91"/>
      <c r="AQ3" s="91"/>
      <c r="AR3" s="92"/>
      <c r="AS3" s="85" t="s">
        <v>13</v>
      </c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5" t="s">
        <v>14</v>
      </c>
      <c r="BF3" s="86"/>
      <c r="BG3" s="86"/>
      <c r="BH3" s="86"/>
      <c r="BI3" s="86"/>
      <c r="BJ3" s="86"/>
      <c r="BK3" s="86"/>
      <c r="BL3" s="86"/>
      <c r="BM3" s="86"/>
      <c r="BN3" s="87"/>
    </row>
    <row r="4" spans="1:66" ht="29.25" customHeight="1">
      <c r="A4" s="89"/>
      <c r="B4" s="89"/>
      <c r="C4" s="89"/>
      <c r="D4" s="8" t="s">
        <v>15</v>
      </c>
      <c r="E4" s="8" t="s">
        <v>16</v>
      </c>
      <c r="F4" s="8" t="s">
        <v>17</v>
      </c>
      <c r="G4" s="9" t="s">
        <v>18</v>
      </c>
      <c r="H4" s="9" t="s">
        <v>19</v>
      </c>
      <c r="I4" s="8" t="s">
        <v>15</v>
      </c>
      <c r="J4" s="8" t="s">
        <v>16</v>
      </c>
      <c r="K4" s="8" t="s">
        <v>17</v>
      </c>
      <c r="L4" s="9" t="s">
        <v>18</v>
      </c>
      <c r="M4" s="9" t="s">
        <v>19</v>
      </c>
      <c r="N4" s="8" t="s">
        <v>15</v>
      </c>
      <c r="O4" s="8" t="s">
        <v>16</v>
      </c>
      <c r="P4" s="8" t="s">
        <v>17</v>
      </c>
      <c r="Q4" s="9" t="s">
        <v>18</v>
      </c>
      <c r="R4" s="9" t="s">
        <v>19</v>
      </c>
      <c r="S4" s="8" t="s">
        <v>15</v>
      </c>
      <c r="T4" s="8" t="s">
        <v>16</v>
      </c>
      <c r="U4" s="8" t="s">
        <v>17</v>
      </c>
      <c r="V4" s="9" t="s">
        <v>18</v>
      </c>
      <c r="W4" s="9" t="s">
        <v>19</v>
      </c>
      <c r="X4" s="8" t="s">
        <v>15</v>
      </c>
      <c r="Y4" s="8" t="s">
        <v>16</v>
      </c>
      <c r="Z4" s="8" t="s">
        <v>17</v>
      </c>
      <c r="AA4" s="9" t="s">
        <v>18</v>
      </c>
      <c r="AB4" s="9" t="s">
        <v>19</v>
      </c>
      <c r="AC4" s="8" t="s">
        <v>15</v>
      </c>
      <c r="AD4" s="8" t="s">
        <v>16</v>
      </c>
      <c r="AE4" s="8" t="s">
        <v>17</v>
      </c>
      <c r="AF4" s="9" t="s">
        <v>18</v>
      </c>
      <c r="AG4" s="9" t="s">
        <v>19</v>
      </c>
      <c r="AH4" s="10" t="s">
        <v>20</v>
      </c>
      <c r="AI4" s="10" t="s">
        <v>121</v>
      </c>
      <c r="AJ4" s="10" t="s">
        <v>17</v>
      </c>
      <c r="AK4" s="28" t="s">
        <v>18</v>
      </c>
      <c r="AL4" s="28" t="s">
        <v>122</v>
      </c>
      <c r="AM4" s="9" t="s">
        <v>19</v>
      </c>
      <c r="AN4" s="10" t="s">
        <v>22</v>
      </c>
      <c r="AO4" s="10" t="s">
        <v>23</v>
      </c>
      <c r="AP4" s="10" t="s">
        <v>17</v>
      </c>
      <c r="AQ4" s="28" t="s">
        <v>18</v>
      </c>
      <c r="AR4" s="9" t="s">
        <v>19</v>
      </c>
      <c r="AS4" s="10" t="s">
        <v>20</v>
      </c>
      <c r="AT4" s="10" t="s">
        <v>21</v>
      </c>
      <c r="AU4" s="10" t="s">
        <v>17</v>
      </c>
      <c r="AV4" s="28" t="s">
        <v>18</v>
      </c>
      <c r="AW4" s="28" t="s">
        <v>123</v>
      </c>
      <c r="AX4" s="9" t="s">
        <v>19</v>
      </c>
      <c r="AY4" s="10" t="s">
        <v>22</v>
      </c>
      <c r="AZ4" s="10" t="s">
        <v>24</v>
      </c>
      <c r="BA4" s="10" t="s">
        <v>17</v>
      </c>
      <c r="BB4" s="28" t="s">
        <v>18</v>
      </c>
      <c r="BC4" s="28" t="s">
        <v>123</v>
      </c>
      <c r="BD4" s="9" t="s">
        <v>19</v>
      </c>
      <c r="BE4" s="10" t="s">
        <v>20</v>
      </c>
      <c r="BF4" s="10" t="s">
        <v>21</v>
      </c>
      <c r="BG4" s="10" t="s">
        <v>17</v>
      </c>
      <c r="BH4" s="11" t="s">
        <v>18</v>
      </c>
      <c r="BI4" s="9" t="s">
        <v>19</v>
      </c>
      <c r="BJ4" s="10" t="s">
        <v>22</v>
      </c>
      <c r="BK4" s="10" t="s">
        <v>23</v>
      </c>
      <c r="BL4" s="10" t="s">
        <v>17</v>
      </c>
      <c r="BM4" s="28" t="s">
        <v>18</v>
      </c>
      <c r="BN4" s="9" t="s">
        <v>19</v>
      </c>
    </row>
    <row r="5" spans="1:66">
      <c r="A5" s="52">
        <v>1</v>
      </c>
      <c r="B5" s="52" t="s">
        <v>25</v>
      </c>
      <c r="C5" s="52" t="s">
        <v>26</v>
      </c>
      <c r="D5" s="53">
        <v>1683</v>
      </c>
      <c r="E5" s="53">
        <v>429</v>
      </c>
      <c r="F5" s="44">
        <v>0.25490196078431399</v>
      </c>
      <c r="G5" s="53">
        <v>448</v>
      </c>
      <c r="H5" s="29">
        <v>-4.4289044289044302E-2</v>
      </c>
      <c r="I5" s="53">
        <v>35680</v>
      </c>
      <c r="J5" s="53">
        <v>8320.51</v>
      </c>
      <c r="K5" s="44">
        <v>0.233198150224215</v>
      </c>
      <c r="L5" s="53">
        <v>8425.6545999999998</v>
      </c>
      <c r="M5" s="29">
        <v>-1.2636797503999099E-2</v>
      </c>
      <c r="N5" s="53">
        <v>750</v>
      </c>
      <c r="O5" s="53">
        <v>291</v>
      </c>
      <c r="P5" s="44">
        <v>0.38800000000000001</v>
      </c>
      <c r="Q5" s="53">
        <v>189</v>
      </c>
      <c r="R5" s="29">
        <v>0.35051546391752603</v>
      </c>
      <c r="S5" s="53">
        <v>14500</v>
      </c>
      <c r="T5" s="53">
        <v>5446.15</v>
      </c>
      <c r="U5" s="44">
        <v>0.37559655172413797</v>
      </c>
      <c r="V5" s="53">
        <v>3547.1565999999998</v>
      </c>
      <c r="W5" s="29">
        <v>0.34868547506036401</v>
      </c>
      <c r="X5" s="53">
        <v>750</v>
      </c>
      <c r="Y5" s="53">
        <v>166</v>
      </c>
      <c r="Z5" s="44">
        <v>0.22133333333333299</v>
      </c>
      <c r="AA5" s="53">
        <v>134</v>
      </c>
      <c r="AB5" s="29">
        <v>0.19277108433734899</v>
      </c>
      <c r="AC5" s="53">
        <v>14500</v>
      </c>
      <c r="AD5" s="53">
        <v>3443.34</v>
      </c>
      <c r="AE5" s="44">
        <v>0.237471724137931</v>
      </c>
      <c r="AF5" s="53">
        <v>2418.3665999999998</v>
      </c>
      <c r="AG5" s="29">
        <f>(AD5-AF5)/AF5</f>
        <v>0.42382879419522268</v>
      </c>
      <c r="AH5" s="54">
        <v>580</v>
      </c>
      <c r="AI5" s="55">
        <f>AH5+E5</f>
        <v>1009</v>
      </c>
      <c r="AJ5" s="56">
        <f>AI5/D5</f>
        <v>0.5995246583481878</v>
      </c>
      <c r="AK5" s="57">
        <f>VLOOKUP(C5,[1]两年对比终版!$A:$C,3,0)</f>
        <v>714</v>
      </c>
      <c r="AL5" s="57">
        <f t="shared" ref="AL5:AL69" si="0">AI5-AK5</f>
        <v>295</v>
      </c>
      <c r="AM5" s="29">
        <f>(AI5-AK5)/AK5</f>
        <v>0.41316526610644255</v>
      </c>
      <c r="AN5" s="58">
        <v>10460</v>
      </c>
      <c r="AO5" s="55">
        <f>AN5+J5</f>
        <v>18780.510000000002</v>
      </c>
      <c r="AP5" s="56">
        <f>AO5/I5</f>
        <v>0.52635958520179382</v>
      </c>
      <c r="AQ5" s="59">
        <f>VLOOKUP(C5,[1]两年对比终版!$A:$W,6,0)</f>
        <v>12648.62736</v>
      </c>
      <c r="AR5" s="29">
        <f>(AO5-AQ5)/AQ5</f>
        <v>0.48478640926615152</v>
      </c>
      <c r="AS5" s="54">
        <v>129</v>
      </c>
      <c r="AT5" s="55">
        <f>AS5+O5</f>
        <v>420</v>
      </c>
      <c r="AU5" s="56">
        <f>AT5/N5</f>
        <v>0.56000000000000005</v>
      </c>
      <c r="AV5" s="60">
        <f>VLOOKUP(C5,[1]两年对比终版!$A:$N,14,0)</f>
        <v>371</v>
      </c>
      <c r="AW5" s="55">
        <f>AT5-AV5</f>
        <v>49</v>
      </c>
      <c r="AX5" s="45">
        <f>(AT5-AV5)/AV5</f>
        <v>0.13207547169811321</v>
      </c>
      <c r="AY5" s="55">
        <v>1491</v>
      </c>
      <c r="AZ5" s="55">
        <f>AY5+T5</f>
        <v>6937.15</v>
      </c>
      <c r="BA5" s="62">
        <f>AZ5/S5</f>
        <v>0.47842413793103444</v>
      </c>
      <c r="BB5" s="53">
        <f>VLOOKUP(C5,[1]两年对比终版!$A:$W,17,0)</f>
        <v>6707.2803599999997</v>
      </c>
      <c r="BC5" s="61">
        <f>AZ5-BB5</f>
        <v>229.86963999999989</v>
      </c>
      <c r="BD5" s="45">
        <f>(AZ5-BB5)/BB5</f>
        <v>3.4271661189364672E-2</v>
      </c>
      <c r="BE5" s="55">
        <v>182</v>
      </c>
      <c r="BF5" s="55">
        <f>BE5+Y5</f>
        <v>348</v>
      </c>
      <c r="BG5" s="62">
        <f>BF5/X5</f>
        <v>0.46400000000000002</v>
      </c>
      <c r="BH5" s="53">
        <f>VLOOKUP(C5,[1]两年对比终版!$A:$T,20,0)</f>
        <v>223</v>
      </c>
      <c r="BI5" s="45">
        <f>(BF5-BH5)/BH5</f>
        <v>0.5605381165919282</v>
      </c>
      <c r="BJ5" s="55">
        <v>4030</v>
      </c>
      <c r="BK5" s="55">
        <f>BJ5+AD5</f>
        <v>7473.34</v>
      </c>
      <c r="BL5" s="62">
        <f>BK5/AC5</f>
        <v>0.51540275862068963</v>
      </c>
      <c r="BM5" s="53">
        <f>VLOOKUP(C5,[1]两年对比终版!$A:$W,23,0)</f>
        <v>4120.0565999999999</v>
      </c>
      <c r="BN5" s="45">
        <f t="shared" ref="BN5:BN30" si="1">(BK5-BM5)/BM5</f>
        <v>0.81389255671875971</v>
      </c>
    </row>
    <row r="6" spans="1:66">
      <c r="A6" s="52">
        <v>2</v>
      </c>
      <c r="B6" s="52" t="s">
        <v>25</v>
      </c>
      <c r="C6" s="52" t="s">
        <v>27</v>
      </c>
      <c r="D6" s="53">
        <v>1683</v>
      </c>
      <c r="E6" s="53">
        <v>289</v>
      </c>
      <c r="F6" s="44">
        <v>0.17171717171717199</v>
      </c>
      <c r="G6" s="53">
        <v>280</v>
      </c>
      <c r="H6" s="29">
        <v>3.1141868512110701E-2</v>
      </c>
      <c r="I6" s="53">
        <v>35680</v>
      </c>
      <c r="J6" s="53">
        <v>7186.16</v>
      </c>
      <c r="K6" s="44">
        <v>0.20140582959641301</v>
      </c>
      <c r="L6" s="53">
        <v>5541.0212000000001</v>
      </c>
      <c r="M6" s="29">
        <v>0.22893155732686199</v>
      </c>
      <c r="N6" s="53">
        <v>750</v>
      </c>
      <c r="O6" s="53">
        <v>179</v>
      </c>
      <c r="P6" s="44">
        <v>0.238666666666667</v>
      </c>
      <c r="Q6" s="53">
        <v>117</v>
      </c>
      <c r="R6" s="29">
        <v>0.34636871508379902</v>
      </c>
      <c r="S6" s="53">
        <v>14500</v>
      </c>
      <c r="T6" s="53">
        <v>2931.35</v>
      </c>
      <c r="U6" s="44">
        <v>0.202162068965517</v>
      </c>
      <c r="V6" s="53">
        <v>2772.4712</v>
      </c>
      <c r="W6" s="29">
        <v>5.41998737782933E-2</v>
      </c>
      <c r="X6" s="53">
        <v>750</v>
      </c>
      <c r="Y6" s="53">
        <v>175</v>
      </c>
      <c r="Z6" s="44">
        <v>0.233333333333333</v>
      </c>
      <c r="AA6" s="53">
        <v>32</v>
      </c>
      <c r="AB6" s="29">
        <v>0.81714285714285695</v>
      </c>
      <c r="AC6" s="53">
        <v>14500</v>
      </c>
      <c r="AD6" s="53">
        <v>3358.53</v>
      </c>
      <c r="AE6" s="44">
        <v>0.23162275862069001</v>
      </c>
      <c r="AF6" s="53">
        <v>871.6712</v>
      </c>
      <c r="AG6" s="29">
        <f t="shared" ref="AG6:AG37" si="2">(AD6-AF6)/AF6</f>
        <v>2.852978049521425</v>
      </c>
      <c r="AH6" s="54">
        <v>0</v>
      </c>
      <c r="AI6" s="55">
        <f t="shared" ref="AI6:AI16" si="3">AH6+E6</f>
        <v>289</v>
      </c>
      <c r="AJ6" s="56">
        <f t="shared" ref="AJ6:AJ16" si="4">AI6/D6</f>
        <v>0.17171717171717171</v>
      </c>
      <c r="AK6" s="57">
        <f>VLOOKUP(C6,[1]两年对比终版!$A:$C,3,0)</f>
        <v>500</v>
      </c>
      <c r="AL6" s="57">
        <f t="shared" si="0"/>
        <v>-211</v>
      </c>
      <c r="AM6" s="29">
        <f t="shared" ref="AM6:AM37" si="5">(AI6-AK6)/AK6</f>
        <v>-0.42199999999999999</v>
      </c>
      <c r="AN6" s="58">
        <v>0</v>
      </c>
      <c r="AO6" s="55">
        <f t="shared" ref="AO6:AO16" si="6">AN6+J6</f>
        <v>7186.16</v>
      </c>
      <c r="AP6" s="56">
        <f t="shared" ref="AP6:AP16" si="7">AO6/I6</f>
        <v>0.20140582959641254</v>
      </c>
      <c r="AQ6" s="59">
        <f>VLOOKUP(C6,[1]两年对比终版!$A:$W,6,0)</f>
        <v>9367.9865399999999</v>
      </c>
      <c r="AR6" s="29">
        <f t="shared" ref="AR6:AR37" si="8">(AO6-AQ6)/AQ6</f>
        <v>-0.23290239911040692</v>
      </c>
      <c r="AS6" s="54">
        <v>0</v>
      </c>
      <c r="AT6" s="55">
        <f t="shared" ref="AT6:AT16" si="9">AS6+O6</f>
        <v>179</v>
      </c>
      <c r="AU6" s="56">
        <f t="shared" ref="AU6:AU16" si="10">AT6/N6</f>
        <v>0.23866666666666667</v>
      </c>
      <c r="AV6" s="60">
        <f>VLOOKUP(C6,[1]两年对比终版!$A:$N,14,0)</f>
        <v>207</v>
      </c>
      <c r="AW6" s="55">
        <f t="shared" ref="AW6:AW70" si="11">AT6-AV6</f>
        <v>-28</v>
      </c>
      <c r="AX6" s="45">
        <f t="shared" ref="AX6:AX37" si="12">(AT6-AV6)/AV6</f>
        <v>-0.13526570048309178</v>
      </c>
      <c r="AY6" s="55">
        <v>0</v>
      </c>
      <c r="AZ6" s="55">
        <f t="shared" ref="AZ6:AZ16" si="13">AY6+T6</f>
        <v>2931.35</v>
      </c>
      <c r="BA6" s="62">
        <f t="shared" ref="BA6:BA16" si="14">AZ6/S6</f>
        <v>0.20216206896551722</v>
      </c>
      <c r="BB6" s="55">
        <f>VLOOKUP(C6,[1]两年对比终版!$A:$W,17,0)</f>
        <v>4230.2511999999997</v>
      </c>
      <c r="BC6" s="61">
        <f t="shared" ref="BC6:BC70" si="15">AZ6-BB6</f>
        <v>-1298.9011999999998</v>
      </c>
      <c r="BD6" s="45">
        <f t="shared" ref="BD6:BD37" si="16">(AZ6-BB6)/BB6</f>
        <v>-0.30705060730199663</v>
      </c>
      <c r="BE6" s="55">
        <v>0</v>
      </c>
      <c r="BF6" s="55">
        <f t="shared" ref="BF6:BF16" si="17">BE6+Y6</f>
        <v>175</v>
      </c>
      <c r="BG6" s="62">
        <f t="shared" ref="BG6:BG16" si="18">BF6/X6</f>
        <v>0.23333333333333334</v>
      </c>
      <c r="BH6" s="55">
        <f>VLOOKUP(C6,[1]两年对比终版!$A:$T,20,0)</f>
        <v>121</v>
      </c>
      <c r="BI6" s="45">
        <f t="shared" ref="BI6:BI37" si="19">(BF6-BH6)/BH6</f>
        <v>0.4462809917355372</v>
      </c>
      <c r="BJ6" s="55">
        <v>0</v>
      </c>
      <c r="BK6" s="55">
        <f t="shared" ref="BK6:BK70" si="20">BJ6+AD6</f>
        <v>3358.53</v>
      </c>
      <c r="BL6" s="62">
        <f t="shared" ref="BL6:BL70" si="21">BK6/AC6</f>
        <v>0.23162275862068968</v>
      </c>
      <c r="BM6" s="55">
        <f>VLOOKUP(C6,[1]两年对比终版!$A:$W,23,0)</f>
        <v>2814.2512000000002</v>
      </c>
      <c r="BN6" s="45">
        <f t="shared" si="1"/>
        <v>0.19340093023678911</v>
      </c>
    </row>
    <row r="7" spans="1:66">
      <c r="A7" s="52">
        <v>3</v>
      </c>
      <c r="B7" s="52" t="s">
        <v>25</v>
      </c>
      <c r="C7" s="52" t="s">
        <v>28</v>
      </c>
      <c r="D7" s="53">
        <v>400</v>
      </c>
      <c r="E7" s="53">
        <v>193</v>
      </c>
      <c r="F7" s="44">
        <v>0.48249999999999998</v>
      </c>
      <c r="G7" s="53">
        <v>207</v>
      </c>
      <c r="H7" s="29">
        <v>-7.2538860103626895E-2</v>
      </c>
      <c r="I7" s="53">
        <v>6544</v>
      </c>
      <c r="J7" s="53">
        <v>3691.48</v>
      </c>
      <c r="K7" s="44">
        <v>0.56410146699266495</v>
      </c>
      <c r="L7" s="53">
        <v>3066.3678</v>
      </c>
      <c r="M7" s="29">
        <v>0.16933918103308199</v>
      </c>
      <c r="N7" s="53">
        <v>160</v>
      </c>
      <c r="O7" s="53">
        <v>75</v>
      </c>
      <c r="P7" s="44">
        <v>0.46875</v>
      </c>
      <c r="Q7" s="53">
        <v>92</v>
      </c>
      <c r="R7" s="29">
        <v>-0.22666666666666699</v>
      </c>
      <c r="S7" s="53">
        <v>2657</v>
      </c>
      <c r="T7" s="53">
        <v>978.14</v>
      </c>
      <c r="U7" s="44">
        <v>0.36813699661272098</v>
      </c>
      <c r="V7" s="53">
        <v>1337.86</v>
      </c>
      <c r="W7" s="29">
        <v>-0.36775921647207999</v>
      </c>
      <c r="X7" s="53">
        <v>160</v>
      </c>
      <c r="Y7" s="53">
        <v>49</v>
      </c>
      <c r="Z7" s="44">
        <v>0.30625000000000002</v>
      </c>
      <c r="AA7" s="53">
        <v>69</v>
      </c>
      <c r="AB7" s="29">
        <v>-0.40816326530612201</v>
      </c>
      <c r="AC7" s="53">
        <v>2657</v>
      </c>
      <c r="AD7" s="53">
        <v>637.85</v>
      </c>
      <c r="AE7" s="44">
        <v>0.240063981934513</v>
      </c>
      <c r="AF7" s="53">
        <v>997.73</v>
      </c>
      <c r="AG7" s="29">
        <f t="shared" si="2"/>
        <v>-0.36069878624477564</v>
      </c>
      <c r="AH7" s="54">
        <v>50</v>
      </c>
      <c r="AI7" s="55">
        <f t="shared" si="3"/>
        <v>243</v>
      </c>
      <c r="AJ7" s="56">
        <f t="shared" si="4"/>
        <v>0.60750000000000004</v>
      </c>
      <c r="AK7" s="57">
        <f>VLOOKUP(C7,[1]两年对比终版!$A:$C,3,0)</f>
        <v>446</v>
      </c>
      <c r="AL7" s="57">
        <f t="shared" si="0"/>
        <v>-203</v>
      </c>
      <c r="AM7" s="29">
        <f t="shared" si="5"/>
        <v>-0.45515695067264572</v>
      </c>
      <c r="AN7" s="58">
        <v>510.13</v>
      </c>
      <c r="AO7" s="55">
        <f t="shared" si="6"/>
        <v>4201.6099999999997</v>
      </c>
      <c r="AP7" s="56">
        <f t="shared" si="7"/>
        <v>0.64205531784841074</v>
      </c>
      <c r="AQ7" s="59">
        <f>VLOOKUP(C7,[1]两年对比终版!$A:$W,6,0)</f>
        <v>6485.9782999999998</v>
      </c>
      <c r="AR7" s="29">
        <f t="shared" si="8"/>
        <v>-0.3522010395871969</v>
      </c>
      <c r="AS7" s="54">
        <v>50</v>
      </c>
      <c r="AT7" s="55">
        <f t="shared" si="9"/>
        <v>125</v>
      </c>
      <c r="AU7" s="56">
        <f t="shared" si="10"/>
        <v>0.78125</v>
      </c>
      <c r="AV7" s="60">
        <f>VLOOKUP(C7,[1]两年对比终版!$A:$N,14,0)</f>
        <v>126</v>
      </c>
      <c r="AW7" s="55">
        <f t="shared" si="11"/>
        <v>-1</v>
      </c>
      <c r="AX7" s="45">
        <f t="shared" si="12"/>
        <v>-7.9365079365079361E-3</v>
      </c>
      <c r="AY7" s="55">
        <v>510.13</v>
      </c>
      <c r="AZ7" s="55">
        <f t="shared" si="13"/>
        <v>1488.27</v>
      </c>
      <c r="BA7" s="62">
        <f t="shared" si="14"/>
        <v>0.56013172751223184</v>
      </c>
      <c r="BB7" s="55">
        <f>VLOOKUP(C7,[1]两年对比终版!$A:$W,17,0)</f>
        <v>1887.3783000000001</v>
      </c>
      <c r="BC7" s="61">
        <f t="shared" si="15"/>
        <v>-399.1083000000001</v>
      </c>
      <c r="BD7" s="45">
        <f t="shared" si="16"/>
        <v>-0.21146174034108586</v>
      </c>
      <c r="BE7" s="55">
        <v>49</v>
      </c>
      <c r="BF7" s="55">
        <f t="shared" si="17"/>
        <v>98</v>
      </c>
      <c r="BG7" s="62">
        <f t="shared" si="18"/>
        <v>0.61250000000000004</v>
      </c>
      <c r="BH7" s="55">
        <f>VLOOKUP(C7,[1]两年对比终版!$A:$T,20,0)</f>
        <v>125</v>
      </c>
      <c r="BI7" s="45">
        <f t="shared" si="19"/>
        <v>-0.216</v>
      </c>
      <c r="BJ7" s="55">
        <v>755.56</v>
      </c>
      <c r="BK7" s="55">
        <f t="shared" si="20"/>
        <v>1393.4099999999999</v>
      </c>
      <c r="BL7" s="62">
        <f t="shared" si="21"/>
        <v>0.52442980805419637</v>
      </c>
      <c r="BM7" s="55">
        <f>VLOOKUP(C7,[1]两年对比终版!$A:$W,23,0)</f>
        <v>1964.9377999999999</v>
      </c>
      <c r="BN7" s="45">
        <f t="shared" si="1"/>
        <v>-0.29086304920186284</v>
      </c>
    </row>
    <row r="8" spans="1:66">
      <c r="A8" s="52">
        <v>4</v>
      </c>
      <c r="B8" s="52" t="s">
        <v>25</v>
      </c>
      <c r="C8" s="52" t="s">
        <v>29</v>
      </c>
      <c r="D8" s="53">
        <v>270</v>
      </c>
      <c r="E8" s="53">
        <v>39</v>
      </c>
      <c r="F8" s="44">
        <v>0.14444444444444399</v>
      </c>
      <c r="G8" s="53">
        <v>0</v>
      </c>
      <c r="H8" s="29">
        <v>1</v>
      </c>
      <c r="I8" s="53">
        <v>4428</v>
      </c>
      <c r="J8" s="53">
        <v>867.42</v>
      </c>
      <c r="K8" s="44">
        <v>0.19589430894308901</v>
      </c>
      <c r="L8" s="53">
        <v>0</v>
      </c>
      <c r="M8" s="29">
        <v>1</v>
      </c>
      <c r="N8" s="53">
        <v>120</v>
      </c>
      <c r="O8" s="53">
        <v>10</v>
      </c>
      <c r="P8" s="44">
        <v>8.3333333333333301E-2</v>
      </c>
      <c r="Q8" s="53">
        <v>0</v>
      </c>
      <c r="R8" s="29">
        <v>1</v>
      </c>
      <c r="S8" s="53">
        <v>1800</v>
      </c>
      <c r="T8" s="53">
        <v>102.4</v>
      </c>
      <c r="U8" s="44">
        <v>5.6888888888888899E-2</v>
      </c>
      <c r="V8" s="53">
        <v>0</v>
      </c>
      <c r="W8" s="29">
        <v>1</v>
      </c>
      <c r="X8" s="53">
        <v>120</v>
      </c>
      <c r="Y8" s="53">
        <v>10</v>
      </c>
      <c r="Z8" s="44">
        <v>8.3333333333333301E-2</v>
      </c>
      <c r="AA8" s="53">
        <v>0</v>
      </c>
      <c r="AB8" s="29">
        <v>1</v>
      </c>
      <c r="AC8" s="53">
        <v>1800</v>
      </c>
      <c r="AD8" s="53">
        <v>102.4</v>
      </c>
      <c r="AE8" s="44">
        <v>5.6888888888888899E-2</v>
      </c>
      <c r="AF8" s="53">
        <v>0</v>
      </c>
      <c r="AG8" s="29" t="e">
        <f t="shared" si="2"/>
        <v>#DIV/0!</v>
      </c>
      <c r="AH8" s="54">
        <v>31</v>
      </c>
      <c r="AI8" s="55">
        <f t="shared" si="3"/>
        <v>70</v>
      </c>
      <c r="AJ8" s="56">
        <f t="shared" si="4"/>
        <v>0.25925925925925924</v>
      </c>
      <c r="AK8" s="57">
        <f>VLOOKUP(C8,[1]两年对比终版!$A:$C,3,0)</f>
        <v>0</v>
      </c>
      <c r="AL8" s="57">
        <f t="shared" si="0"/>
        <v>70</v>
      </c>
      <c r="AM8" s="29" t="e">
        <f t="shared" si="5"/>
        <v>#DIV/0!</v>
      </c>
      <c r="AN8" s="58">
        <v>341.66999999999996</v>
      </c>
      <c r="AO8" s="55">
        <f t="shared" si="6"/>
        <v>1209.0899999999999</v>
      </c>
      <c r="AP8" s="56">
        <f t="shared" si="7"/>
        <v>0.27305555555555555</v>
      </c>
      <c r="AQ8" s="59">
        <f>VLOOKUP(C8,[1]两年对比终版!$A:$W,6,0)</f>
        <v>0</v>
      </c>
      <c r="AR8" s="29"/>
      <c r="AS8" s="54">
        <v>31</v>
      </c>
      <c r="AT8" s="55">
        <f t="shared" si="9"/>
        <v>41</v>
      </c>
      <c r="AU8" s="56">
        <f t="shared" si="10"/>
        <v>0.34166666666666667</v>
      </c>
      <c r="AV8" s="60">
        <f>VLOOKUP(C8,[1]两年对比终版!$A:$N,14,0)</f>
        <v>0</v>
      </c>
      <c r="AW8" s="55">
        <f t="shared" si="11"/>
        <v>41</v>
      </c>
      <c r="AX8" s="45" t="e">
        <f t="shared" si="12"/>
        <v>#DIV/0!</v>
      </c>
      <c r="AY8" s="55">
        <v>341.66999999999996</v>
      </c>
      <c r="AZ8" s="55">
        <f t="shared" si="13"/>
        <v>444.06999999999994</v>
      </c>
      <c r="BA8" s="62">
        <f t="shared" si="14"/>
        <v>0.24670555555555551</v>
      </c>
      <c r="BB8" s="55">
        <f>VLOOKUP(C8,[1]两年对比终版!$A:$W,17,0)</f>
        <v>0</v>
      </c>
      <c r="BC8" s="61">
        <f t="shared" si="15"/>
        <v>444.06999999999994</v>
      </c>
      <c r="BD8" s="45" t="e">
        <f t="shared" si="16"/>
        <v>#DIV/0!</v>
      </c>
      <c r="BE8" s="55">
        <v>10</v>
      </c>
      <c r="BF8" s="55">
        <f t="shared" si="17"/>
        <v>20</v>
      </c>
      <c r="BG8" s="62">
        <f t="shared" si="18"/>
        <v>0.16666666666666666</v>
      </c>
      <c r="BH8" s="55">
        <f>VLOOKUP(C8,[1]两年对比终版!$A:$T,20,0)</f>
        <v>0</v>
      </c>
      <c r="BI8" s="45" t="e">
        <f t="shared" si="19"/>
        <v>#DIV/0!</v>
      </c>
      <c r="BJ8" s="55">
        <v>142</v>
      </c>
      <c r="BK8" s="55">
        <f t="shared" si="20"/>
        <v>244.4</v>
      </c>
      <c r="BL8" s="62">
        <f t="shared" si="21"/>
        <v>0.13577777777777778</v>
      </c>
      <c r="BM8" s="55">
        <f>VLOOKUP(C8,[1]两年对比终版!$A:$W,23,0)</f>
        <v>0</v>
      </c>
      <c r="BN8" s="45" t="e">
        <f t="shared" si="1"/>
        <v>#DIV/0!</v>
      </c>
    </row>
    <row r="9" spans="1:66">
      <c r="A9" s="52">
        <v>5</v>
      </c>
      <c r="B9" s="52" t="s">
        <v>25</v>
      </c>
      <c r="C9" s="52" t="s">
        <v>30</v>
      </c>
      <c r="D9" s="53">
        <v>270</v>
      </c>
      <c r="E9" s="53">
        <v>89</v>
      </c>
      <c r="F9" s="44">
        <v>0.32962962962962999</v>
      </c>
      <c r="G9" s="53">
        <v>0</v>
      </c>
      <c r="H9" s="29">
        <v>1</v>
      </c>
      <c r="I9" s="53">
        <v>4428</v>
      </c>
      <c r="J9" s="53">
        <v>946.58600000000001</v>
      </c>
      <c r="K9" s="44">
        <v>0.21377280939476101</v>
      </c>
      <c r="L9" s="53">
        <v>0</v>
      </c>
      <c r="M9" s="29">
        <v>1</v>
      </c>
      <c r="N9" s="53">
        <v>120</v>
      </c>
      <c r="O9" s="53">
        <v>43</v>
      </c>
      <c r="P9" s="44">
        <v>0.358333333333333</v>
      </c>
      <c r="Q9" s="53">
        <v>0</v>
      </c>
      <c r="R9" s="29">
        <v>1</v>
      </c>
      <c r="S9" s="53">
        <v>1800</v>
      </c>
      <c r="T9" s="53">
        <v>456.92599999999999</v>
      </c>
      <c r="U9" s="44">
        <v>0.25384777777777801</v>
      </c>
      <c r="V9" s="53">
        <v>0</v>
      </c>
      <c r="W9" s="29">
        <v>1</v>
      </c>
      <c r="X9" s="53">
        <v>120</v>
      </c>
      <c r="Y9" s="53">
        <v>18</v>
      </c>
      <c r="Z9" s="44">
        <v>0.15</v>
      </c>
      <c r="AA9" s="53">
        <v>0</v>
      </c>
      <c r="AB9" s="29">
        <v>1</v>
      </c>
      <c r="AC9" s="53">
        <v>1800</v>
      </c>
      <c r="AD9" s="53">
        <v>183.536</v>
      </c>
      <c r="AE9" s="44">
        <v>0.101964444444444</v>
      </c>
      <c r="AF9" s="53">
        <v>0</v>
      </c>
      <c r="AG9" s="29" t="e">
        <f t="shared" si="2"/>
        <v>#DIV/0!</v>
      </c>
      <c r="AH9" s="54">
        <v>80</v>
      </c>
      <c r="AI9" s="55">
        <f t="shared" si="3"/>
        <v>169</v>
      </c>
      <c r="AJ9" s="56">
        <f t="shared" si="4"/>
        <v>0.62592592592592589</v>
      </c>
      <c r="AK9" s="57">
        <f>VLOOKUP(C9,[1]两年对比终版!$A:$C,3,0)</f>
        <v>0</v>
      </c>
      <c r="AL9" s="57">
        <f t="shared" si="0"/>
        <v>169</v>
      </c>
      <c r="AM9" s="29" t="e">
        <f t="shared" si="5"/>
        <v>#DIV/0!</v>
      </c>
      <c r="AN9" s="58">
        <v>960</v>
      </c>
      <c r="AO9" s="55">
        <f t="shared" si="6"/>
        <v>1906.586</v>
      </c>
      <c r="AP9" s="56">
        <f t="shared" si="7"/>
        <v>0.43057497741644085</v>
      </c>
      <c r="AQ9" s="59">
        <f>VLOOKUP(C9,[1]两年对比终版!$A:$W,6,0)</f>
        <v>0</v>
      </c>
      <c r="AR9" s="29"/>
      <c r="AS9" s="54">
        <v>50</v>
      </c>
      <c r="AT9" s="55">
        <f t="shared" si="9"/>
        <v>93</v>
      </c>
      <c r="AU9" s="56">
        <f t="shared" si="10"/>
        <v>0.77500000000000002</v>
      </c>
      <c r="AV9" s="60">
        <f>VLOOKUP(C9,[1]两年对比终版!$A:$N,14,0)</f>
        <v>0</v>
      </c>
      <c r="AW9" s="55">
        <f t="shared" si="11"/>
        <v>93</v>
      </c>
      <c r="AX9" s="45" t="e">
        <f t="shared" si="12"/>
        <v>#DIV/0!</v>
      </c>
      <c r="AY9" s="55">
        <v>474</v>
      </c>
      <c r="AZ9" s="55">
        <f t="shared" si="13"/>
        <v>930.92599999999993</v>
      </c>
      <c r="BA9" s="62">
        <f t="shared" si="14"/>
        <v>0.51718111111111109</v>
      </c>
      <c r="BB9" s="55">
        <f>VLOOKUP(C9,[1]两年对比终版!$A:$W,17,0)</f>
        <v>0</v>
      </c>
      <c r="BC9" s="61">
        <f t="shared" si="15"/>
        <v>930.92599999999993</v>
      </c>
      <c r="BD9" s="45" t="e">
        <f t="shared" si="16"/>
        <v>#DIV/0!</v>
      </c>
      <c r="BE9" s="55">
        <v>42</v>
      </c>
      <c r="BF9" s="55">
        <f t="shared" si="17"/>
        <v>60</v>
      </c>
      <c r="BG9" s="62">
        <f t="shared" si="18"/>
        <v>0.5</v>
      </c>
      <c r="BH9" s="55">
        <f>VLOOKUP(C9,[1]两年对比终版!$A:$T,20,0)</f>
        <v>0</v>
      </c>
      <c r="BI9" s="45" t="e">
        <f t="shared" si="19"/>
        <v>#DIV/0!</v>
      </c>
      <c r="BJ9" s="55">
        <v>420</v>
      </c>
      <c r="BK9" s="55">
        <f t="shared" si="20"/>
        <v>603.53600000000006</v>
      </c>
      <c r="BL9" s="62">
        <f t="shared" si="21"/>
        <v>0.33529777777777781</v>
      </c>
      <c r="BM9" s="55">
        <f>VLOOKUP(C9,[1]两年对比终版!$A:$W,23,0)</f>
        <v>0</v>
      </c>
      <c r="BN9" s="45" t="e">
        <f t="shared" si="1"/>
        <v>#DIV/0!</v>
      </c>
    </row>
    <row r="10" spans="1:66">
      <c r="A10" s="52">
        <v>6</v>
      </c>
      <c r="B10" s="52" t="s">
        <v>31</v>
      </c>
      <c r="C10" s="52" t="s">
        <v>32</v>
      </c>
      <c r="D10" s="53">
        <v>245</v>
      </c>
      <c r="E10" s="53">
        <v>15</v>
      </c>
      <c r="F10" s="44">
        <v>6.1224489795918401E-2</v>
      </c>
      <c r="G10" s="53">
        <v>69</v>
      </c>
      <c r="H10" s="29">
        <v>-3.6</v>
      </c>
      <c r="I10" s="53">
        <v>4200</v>
      </c>
      <c r="J10" s="53">
        <v>145.87</v>
      </c>
      <c r="K10" s="44">
        <v>3.4730952380952397E-2</v>
      </c>
      <c r="L10" s="53">
        <v>885.39599999999996</v>
      </c>
      <c r="M10" s="29">
        <v>-5.0697607458696101</v>
      </c>
      <c r="N10" s="53">
        <v>100</v>
      </c>
      <c r="O10" s="53">
        <v>8</v>
      </c>
      <c r="P10" s="44">
        <v>0.08</v>
      </c>
      <c r="Q10" s="53">
        <v>28</v>
      </c>
      <c r="R10" s="29">
        <v>-2.5</v>
      </c>
      <c r="S10" s="53">
        <v>1778</v>
      </c>
      <c r="T10" s="53">
        <v>78.11</v>
      </c>
      <c r="U10" s="44">
        <v>4.3931383577052903E-2</v>
      </c>
      <c r="V10" s="53">
        <v>469.93200000000002</v>
      </c>
      <c r="W10" s="29">
        <v>-5.0162847266675197</v>
      </c>
      <c r="X10" s="53">
        <v>100</v>
      </c>
      <c r="Y10" s="53">
        <v>9</v>
      </c>
      <c r="Z10" s="44">
        <v>0.09</v>
      </c>
      <c r="AA10" s="53">
        <v>28</v>
      </c>
      <c r="AB10" s="29">
        <v>-2.1111111111111098</v>
      </c>
      <c r="AC10" s="53">
        <v>1778</v>
      </c>
      <c r="AD10" s="53">
        <v>117.69</v>
      </c>
      <c r="AE10" s="44">
        <v>6.6192350956130505E-2</v>
      </c>
      <c r="AF10" s="53">
        <v>370.26600000000002</v>
      </c>
      <c r="AG10" s="29">
        <f t="shared" si="2"/>
        <v>-0.68214742914553328</v>
      </c>
      <c r="AH10" s="54">
        <v>71</v>
      </c>
      <c r="AI10" s="55">
        <f t="shared" si="3"/>
        <v>86</v>
      </c>
      <c r="AJ10" s="56">
        <f t="shared" si="4"/>
        <v>0.3510204081632653</v>
      </c>
      <c r="AK10" s="57">
        <f>VLOOKUP(C10,[1]两年对比终版!$A:$C,3,0)</f>
        <v>79</v>
      </c>
      <c r="AL10" s="57">
        <f t="shared" si="0"/>
        <v>7</v>
      </c>
      <c r="AM10" s="29">
        <f t="shared" si="5"/>
        <v>8.8607594936708861E-2</v>
      </c>
      <c r="AN10" s="58">
        <v>875</v>
      </c>
      <c r="AO10" s="55">
        <f t="shared" si="6"/>
        <v>1020.87</v>
      </c>
      <c r="AP10" s="56">
        <f t="shared" si="7"/>
        <v>0.2430642857142857</v>
      </c>
      <c r="AQ10" s="59">
        <f>VLOOKUP(C10,[1]两年对比终版!$A:$W,6,0)</f>
        <v>1044.9259999999999</v>
      </c>
      <c r="AR10" s="29">
        <f t="shared" si="8"/>
        <v>-2.3021725940401451E-2</v>
      </c>
      <c r="AS10" s="54">
        <v>45</v>
      </c>
      <c r="AT10" s="55">
        <f t="shared" si="9"/>
        <v>53</v>
      </c>
      <c r="AU10" s="56">
        <f t="shared" si="10"/>
        <v>0.53</v>
      </c>
      <c r="AV10" s="60">
        <f>VLOOKUP(C10,[1]两年对比终版!$A:$N,14,0)</f>
        <v>30</v>
      </c>
      <c r="AW10" s="55">
        <f t="shared" si="11"/>
        <v>23</v>
      </c>
      <c r="AX10" s="45">
        <f t="shared" si="12"/>
        <v>0.76666666666666672</v>
      </c>
      <c r="AY10" s="55">
        <v>478</v>
      </c>
      <c r="AZ10" s="55">
        <f t="shared" si="13"/>
        <v>556.11</v>
      </c>
      <c r="BA10" s="62">
        <f t="shared" si="14"/>
        <v>0.31277277840269968</v>
      </c>
      <c r="BB10" s="55">
        <f>VLOOKUP(C10,[1]两年对比终版!$A:$W,17,0)</f>
        <v>487.23200000000003</v>
      </c>
      <c r="BC10" s="61">
        <f t="shared" si="15"/>
        <v>68.877999999999986</v>
      </c>
      <c r="BD10" s="45">
        <f t="shared" si="16"/>
        <v>0.1413659201366084</v>
      </c>
      <c r="BE10" s="55">
        <v>46</v>
      </c>
      <c r="BF10" s="55">
        <f t="shared" si="17"/>
        <v>55</v>
      </c>
      <c r="BG10" s="62">
        <f t="shared" si="18"/>
        <v>0.55000000000000004</v>
      </c>
      <c r="BH10" s="55">
        <f>VLOOKUP(C10,[1]两年对比终版!$A:$T,20,0)</f>
        <v>36</v>
      </c>
      <c r="BI10" s="45">
        <f t="shared" si="19"/>
        <v>0.52777777777777779</v>
      </c>
      <c r="BJ10" s="55">
        <v>471.36660000000001</v>
      </c>
      <c r="BK10" s="55">
        <f t="shared" si="20"/>
        <v>589.0566</v>
      </c>
      <c r="BL10" s="62">
        <f t="shared" si="21"/>
        <v>0.33130292463442068</v>
      </c>
      <c r="BM10" s="55">
        <f>VLOOKUP(C10,[1]两年对比终版!$A:$W,23,0)</f>
        <v>515.13199999999995</v>
      </c>
      <c r="BN10" s="45">
        <f t="shared" si="1"/>
        <v>0.14350613046753077</v>
      </c>
    </row>
    <row r="11" spans="1:66">
      <c r="A11" s="52">
        <v>7</v>
      </c>
      <c r="B11" s="52" t="s">
        <v>31</v>
      </c>
      <c r="C11" s="52" t="s">
        <v>33</v>
      </c>
      <c r="D11" s="53">
        <v>489</v>
      </c>
      <c r="E11" s="53">
        <v>54</v>
      </c>
      <c r="F11" s="44">
        <v>0.110429447852761</v>
      </c>
      <c r="G11" s="53">
        <v>324</v>
      </c>
      <c r="H11" s="29">
        <v>-5</v>
      </c>
      <c r="I11" s="53">
        <v>7525.12</v>
      </c>
      <c r="J11" s="53">
        <v>1317.06</v>
      </c>
      <c r="K11" s="44">
        <v>0.17502179367239301</v>
      </c>
      <c r="L11" s="53">
        <v>5818.9250000000002</v>
      </c>
      <c r="M11" s="29">
        <v>-3.4181168663538499</v>
      </c>
      <c r="N11" s="53">
        <v>210</v>
      </c>
      <c r="O11" s="53">
        <v>26</v>
      </c>
      <c r="P11" s="44">
        <v>0.12380952380952399</v>
      </c>
      <c r="Q11" s="53">
        <v>133</v>
      </c>
      <c r="R11" s="29">
        <v>-4.1153846153846096</v>
      </c>
      <c r="S11" s="53">
        <v>2972</v>
      </c>
      <c r="T11" s="53">
        <v>294.803</v>
      </c>
      <c r="U11" s="44">
        <v>9.9193472409152106E-2</v>
      </c>
      <c r="V11" s="53">
        <v>2251.3625000000002</v>
      </c>
      <c r="W11" s="29">
        <v>-6.6368371420915002</v>
      </c>
      <c r="X11" s="53">
        <v>210</v>
      </c>
      <c r="Y11" s="53">
        <v>24</v>
      </c>
      <c r="Z11" s="44">
        <v>0.114285714285714</v>
      </c>
      <c r="AA11" s="53">
        <v>28</v>
      </c>
      <c r="AB11" s="29">
        <v>-0.16666666666666699</v>
      </c>
      <c r="AC11" s="53">
        <v>2972</v>
      </c>
      <c r="AD11" s="53">
        <v>276.233</v>
      </c>
      <c r="AE11" s="44">
        <v>9.2945154777927294E-2</v>
      </c>
      <c r="AF11" s="53">
        <v>709.33450000000005</v>
      </c>
      <c r="AG11" s="29">
        <f t="shared" si="2"/>
        <v>-0.61057441869808959</v>
      </c>
      <c r="AH11" s="54">
        <v>100</v>
      </c>
      <c r="AI11" s="55">
        <f t="shared" si="3"/>
        <v>154</v>
      </c>
      <c r="AJ11" s="56">
        <f t="shared" si="4"/>
        <v>0.31492842535787319</v>
      </c>
      <c r="AK11" s="57">
        <f>VLOOKUP(C11,[1]两年对比终版!$A:$C,3,0)</f>
        <v>415</v>
      </c>
      <c r="AL11" s="57">
        <f t="shared" si="0"/>
        <v>-261</v>
      </c>
      <c r="AM11" s="29">
        <f t="shared" si="5"/>
        <v>-0.62891566265060239</v>
      </c>
      <c r="AN11" s="58">
        <v>1600</v>
      </c>
      <c r="AO11" s="55">
        <f t="shared" si="6"/>
        <v>2917.06</v>
      </c>
      <c r="AP11" s="56">
        <f t="shared" si="7"/>
        <v>0.3876429877530192</v>
      </c>
      <c r="AQ11" s="59">
        <f>VLOOKUP(C11,[1]两年对比终版!$A:$W,6,0)</f>
        <v>7818.7330000000002</v>
      </c>
      <c r="AR11" s="29">
        <f t="shared" si="8"/>
        <v>-0.62691397698322737</v>
      </c>
      <c r="AS11" s="54">
        <v>43</v>
      </c>
      <c r="AT11" s="55">
        <f t="shared" si="9"/>
        <v>69</v>
      </c>
      <c r="AU11" s="56">
        <f t="shared" si="10"/>
        <v>0.32857142857142857</v>
      </c>
      <c r="AV11" s="60">
        <f>VLOOKUP(C11,[1]两年对比终版!$A:$N,14,0)</f>
        <v>156</v>
      </c>
      <c r="AW11" s="55">
        <f t="shared" si="11"/>
        <v>-87</v>
      </c>
      <c r="AX11" s="45">
        <f t="shared" si="12"/>
        <v>-0.55769230769230771</v>
      </c>
      <c r="AY11" s="55">
        <v>750</v>
      </c>
      <c r="AZ11" s="55">
        <f t="shared" si="13"/>
        <v>1044.8029999999999</v>
      </c>
      <c r="BA11" s="62">
        <f t="shared" si="14"/>
        <v>0.35154878869448181</v>
      </c>
      <c r="BB11" s="55">
        <f>VLOOKUP(C11,[1]两年对比终版!$A:$W,17,0)</f>
        <v>2594.4504999999999</v>
      </c>
      <c r="BC11" s="61">
        <f t="shared" si="15"/>
        <v>-1549.6475</v>
      </c>
      <c r="BD11" s="45">
        <f t="shared" si="16"/>
        <v>-0.59729314550422141</v>
      </c>
      <c r="BE11" s="55">
        <v>24</v>
      </c>
      <c r="BF11" s="55">
        <f t="shared" si="17"/>
        <v>48</v>
      </c>
      <c r="BG11" s="62">
        <f t="shared" si="18"/>
        <v>0.22857142857142856</v>
      </c>
      <c r="BH11" s="55">
        <f>VLOOKUP(C11,[1]两年对比终版!$A:$T,20,0)</f>
        <v>108</v>
      </c>
      <c r="BI11" s="45">
        <f t="shared" si="19"/>
        <v>-0.55555555555555558</v>
      </c>
      <c r="BJ11" s="55">
        <v>410</v>
      </c>
      <c r="BK11" s="55">
        <f t="shared" si="20"/>
        <v>686.23299999999995</v>
      </c>
      <c r="BL11" s="62">
        <f t="shared" si="21"/>
        <v>0.23089939434724091</v>
      </c>
      <c r="BM11" s="55">
        <f>VLOOKUP(C11,[1]两年对比终版!$A:$W,23,0)</f>
        <v>1970.7394999999999</v>
      </c>
      <c r="BN11" s="45">
        <f t="shared" si="1"/>
        <v>-0.65178908729438878</v>
      </c>
    </row>
    <row r="12" spans="1:66">
      <c r="A12" s="52">
        <v>8</v>
      </c>
      <c r="B12" s="52" t="s">
        <v>34</v>
      </c>
      <c r="C12" s="52" t="s">
        <v>35</v>
      </c>
      <c r="D12" s="53">
        <v>72</v>
      </c>
      <c r="E12" s="53">
        <v>2</v>
      </c>
      <c r="F12" s="44">
        <v>2.7777777777777801E-2</v>
      </c>
      <c r="G12" s="53">
        <v>0</v>
      </c>
      <c r="H12" s="29">
        <v>1</v>
      </c>
      <c r="I12" s="53">
        <v>1085</v>
      </c>
      <c r="J12" s="53">
        <v>22.84</v>
      </c>
      <c r="K12" s="44">
        <v>2.1050691244239601E-2</v>
      </c>
      <c r="L12" s="53">
        <v>0</v>
      </c>
      <c r="M12" s="29">
        <v>1</v>
      </c>
      <c r="N12" s="53">
        <v>30</v>
      </c>
      <c r="O12" s="53">
        <v>2</v>
      </c>
      <c r="P12" s="44">
        <v>6.6666666666666693E-2</v>
      </c>
      <c r="Q12" s="53">
        <v>0</v>
      </c>
      <c r="R12" s="29">
        <v>1</v>
      </c>
      <c r="S12" s="53">
        <v>450</v>
      </c>
      <c r="T12" s="53">
        <v>22.84</v>
      </c>
      <c r="U12" s="44">
        <v>5.0755555555555498E-2</v>
      </c>
      <c r="V12" s="53">
        <v>0</v>
      </c>
      <c r="W12" s="29">
        <v>1</v>
      </c>
      <c r="X12" s="53">
        <v>30</v>
      </c>
      <c r="Y12" s="53">
        <v>2</v>
      </c>
      <c r="Z12" s="44">
        <v>6.6666666666666693E-2</v>
      </c>
      <c r="AA12" s="53">
        <v>0</v>
      </c>
      <c r="AB12" s="29">
        <v>1</v>
      </c>
      <c r="AC12" s="53">
        <v>450</v>
      </c>
      <c r="AD12" s="53">
        <v>22.84</v>
      </c>
      <c r="AE12" s="44">
        <v>5.0755555555555498E-2</v>
      </c>
      <c r="AF12" s="53">
        <v>0</v>
      </c>
      <c r="AG12" s="29" t="e">
        <f t="shared" si="2"/>
        <v>#DIV/0!</v>
      </c>
      <c r="AH12" s="54">
        <v>20</v>
      </c>
      <c r="AI12" s="55">
        <f t="shared" si="3"/>
        <v>22</v>
      </c>
      <c r="AJ12" s="56">
        <f t="shared" si="4"/>
        <v>0.30555555555555558</v>
      </c>
      <c r="AK12" s="57">
        <f>VLOOKUP(C12,[1]两年对比终版!$A:$C,3,0)</f>
        <v>0</v>
      </c>
      <c r="AL12" s="57">
        <f t="shared" si="0"/>
        <v>22</v>
      </c>
      <c r="AM12" s="29" t="e">
        <f t="shared" si="5"/>
        <v>#DIV/0!</v>
      </c>
      <c r="AN12" s="58">
        <v>156</v>
      </c>
      <c r="AO12" s="55">
        <f t="shared" si="6"/>
        <v>178.84</v>
      </c>
      <c r="AP12" s="56">
        <f t="shared" si="7"/>
        <v>0.16482949308755759</v>
      </c>
      <c r="AQ12" s="59">
        <f>VLOOKUP(C12,[1]两年对比终版!$A:$W,6,0)</f>
        <v>0</v>
      </c>
      <c r="AR12" s="29"/>
      <c r="AS12" s="54">
        <v>20</v>
      </c>
      <c r="AT12" s="55">
        <f t="shared" si="9"/>
        <v>22</v>
      </c>
      <c r="AU12" s="56">
        <f t="shared" si="10"/>
        <v>0.73333333333333328</v>
      </c>
      <c r="AV12" s="60">
        <f>VLOOKUP(C12,[1]两年对比终版!$A:$N,14,0)</f>
        <v>0</v>
      </c>
      <c r="AW12" s="55">
        <f t="shared" si="11"/>
        <v>22</v>
      </c>
      <c r="AX12" s="45" t="e">
        <f t="shared" si="12"/>
        <v>#DIV/0!</v>
      </c>
      <c r="AY12" s="55">
        <v>156</v>
      </c>
      <c r="AZ12" s="55">
        <f t="shared" si="13"/>
        <v>178.84</v>
      </c>
      <c r="BA12" s="62">
        <f t="shared" si="14"/>
        <v>0.39742222222222223</v>
      </c>
      <c r="BB12" s="55">
        <f>VLOOKUP(C12,[1]两年对比终版!$A:$W,17,0)</f>
        <v>0</v>
      </c>
      <c r="BC12" s="61">
        <f t="shared" si="15"/>
        <v>178.84</v>
      </c>
      <c r="BD12" s="45" t="e">
        <f t="shared" si="16"/>
        <v>#DIV/0!</v>
      </c>
      <c r="BE12" s="55">
        <v>20</v>
      </c>
      <c r="BF12" s="55">
        <f t="shared" si="17"/>
        <v>22</v>
      </c>
      <c r="BG12" s="62">
        <f t="shared" si="18"/>
        <v>0.73333333333333328</v>
      </c>
      <c r="BH12" s="55">
        <f>VLOOKUP(C12,[1]两年对比终版!$A:$T,20,0)</f>
        <v>0</v>
      </c>
      <c r="BI12" s="45" t="e">
        <f t="shared" si="19"/>
        <v>#DIV/0!</v>
      </c>
      <c r="BJ12" s="55">
        <v>156</v>
      </c>
      <c r="BK12" s="55">
        <f t="shared" si="20"/>
        <v>178.84</v>
      </c>
      <c r="BL12" s="62">
        <f t="shared" si="21"/>
        <v>0.39742222222222223</v>
      </c>
      <c r="BM12" s="55">
        <f>VLOOKUP(C12,[1]两年对比终版!$A:$W,23,0)</f>
        <v>0</v>
      </c>
      <c r="BN12" s="45" t="e">
        <f t="shared" si="1"/>
        <v>#DIV/0!</v>
      </c>
    </row>
    <row r="13" spans="1:66">
      <c r="A13" s="52">
        <v>9</v>
      </c>
      <c r="B13" s="52" t="s">
        <v>34</v>
      </c>
      <c r="C13" s="52" t="s">
        <v>36</v>
      </c>
      <c r="D13" s="53">
        <v>72</v>
      </c>
      <c r="E13" s="53">
        <v>0</v>
      </c>
      <c r="F13" s="44">
        <v>0</v>
      </c>
      <c r="G13" s="53">
        <v>0</v>
      </c>
      <c r="H13" s="29" t="e">
        <v>#DIV/0!</v>
      </c>
      <c r="I13" s="53">
        <v>1085</v>
      </c>
      <c r="J13" s="53">
        <v>0</v>
      </c>
      <c r="K13" s="44">
        <v>0</v>
      </c>
      <c r="L13" s="53">
        <v>0</v>
      </c>
      <c r="M13" s="29" t="e">
        <v>#DIV/0!</v>
      </c>
      <c r="N13" s="53">
        <v>30</v>
      </c>
      <c r="O13" s="53">
        <v>0</v>
      </c>
      <c r="P13" s="44">
        <v>0</v>
      </c>
      <c r="Q13" s="53">
        <v>0</v>
      </c>
      <c r="R13" s="29" t="e">
        <v>#DIV/0!</v>
      </c>
      <c r="S13" s="53">
        <v>450</v>
      </c>
      <c r="T13" s="53">
        <v>0</v>
      </c>
      <c r="U13" s="44">
        <v>0</v>
      </c>
      <c r="V13" s="53">
        <v>0</v>
      </c>
      <c r="W13" s="29" t="e">
        <v>#DIV/0!</v>
      </c>
      <c r="X13" s="53">
        <v>30</v>
      </c>
      <c r="Y13" s="53">
        <v>0</v>
      </c>
      <c r="Z13" s="44">
        <v>0</v>
      </c>
      <c r="AA13" s="53">
        <v>0</v>
      </c>
      <c r="AB13" s="29" t="e">
        <v>#DIV/0!</v>
      </c>
      <c r="AC13" s="53">
        <v>450</v>
      </c>
      <c r="AD13" s="53">
        <v>0</v>
      </c>
      <c r="AE13" s="44">
        <v>0</v>
      </c>
      <c r="AF13" s="53">
        <v>0</v>
      </c>
      <c r="AG13" s="29" t="e">
        <f t="shared" si="2"/>
        <v>#DIV/0!</v>
      </c>
      <c r="AH13" s="54">
        <v>0</v>
      </c>
      <c r="AI13" s="55">
        <f t="shared" si="3"/>
        <v>0</v>
      </c>
      <c r="AJ13" s="56">
        <f t="shared" si="4"/>
        <v>0</v>
      </c>
      <c r="AK13" s="57">
        <f>VLOOKUP(C13,[1]两年对比终版!$A:$C,3,0)</f>
        <v>0</v>
      </c>
      <c r="AL13" s="57">
        <f t="shared" si="0"/>
        <v>0</v>
      </c>
      <c r="AM13" s="29" t="e">
        <f t="shared" si="5"/>
        <v>#DIV/0!</v>
      </c>
      <c r="AN13" s="58">
        <v>0</v>
      </c>
      <c r="AO13" s="55">
        <f t="shared" si="6"/>
        <v>0</v>
      </c>
      <c r="AP13" s="56">
        <f t="shared" si="7"/>
        <v>0</v>
      </c>
      <c r="AQ13" s="59">
        <f>VLOOKUP(C13,[1]两年对比终版!$A:$W,6,0)</f>
        <v>0</v>
      </c>
      <c r="AR13" s="29"/>
      <c r="AS13" s="54">
        <v>0</v>
      </c>
      <c r="AT13" s="55">
        <f t="shared" si="9"/>
        <v>0</v>
      </c>
      <c r="AU13" s="56">
        <f t="shared" si="10"/>
        <v>0</v>
      </c>
      <c r="AV13" s="60">
        <f>VLOOKUP(C13,[1]两年对比终版!$A:$N,14,0)</f>
        <v>0</v>
      </c>
      <c r="AW13" s="55">
        <f t="shared" si="11"/>
        <v>0</v>
      </c>
      <c r="AX13" s="45" t="e">
        <f t="shared" si="12"/>
        <v>#DIV/0!</v>
      </c>
      <c r="AY13" s="55">
        <v>0</v>
      </c>
      <c r="AZ13" s="55">
        <f t="shared" si="13"/>
        <v>0</v>
      </c>
      <c r="BA13" s="62">
        <f t="shared" si="14"/>
        <v>0</v>
      </c>
      <c r="BB13" s="55">
        <f>VLOOKUP(C13,[1]两年对比终版!$A:$W,17,0)</f>
        <v>0</v>
      </c>
      <c r="BC13" s="61">
        <f t="shared" si="15"/>
        <v>0</v>
      </c>
      <c r="BD13" s="45" t="e">
        <f t="shared" si="16"/>
        <v>#DIV/0!</v>
      </c>
      <c r="BE13" s="55">
        <v>0</v>
      </c>
      <c r="BF13" s="55">
        <f t="shared" si="17"/>
        <v>0</v>
      </c>
      <c r="BG13" s="62">
        <f t="shared" si="18"/>
        <v>0</v>
      </c>
      <c r="BH13" s="55">
        <f>VLOOKUP(C13,[1]两年对比终版!$A:$T,20,0)</f>
        <v>0</v>
      </c>
      <c r="BI13" s="45" t="e">
        <f t="shared" si="19"/>
        <v>#DIV/0!</v>
      </c>
      <c r="BJ13" s="55">
        <v>0</v>
      </c>
      <c r="BK13" s="55">
        <f t="shared" si="20"/>
        <v>0</v>
      </c>
      <c r="BL13" s="62">
        <f t="shared" si="21"/>
        <v>0</v>
      </c>
      <c r="BM13" s="55">
        <f>VLOOKUP(C13,[1]两年对比终版!$A:$W,23,0)</f>
        <v>0</v>
      </c>
      <c r="BN13" s="45" t="e">
        <f t="shared" si="1"/>
        <v>#DIV/0!</v>
      </c>
    </row>
    <row r="14" spans="1:66">
      <c r="A14" s="52">
        <v>10</v>
      </c>
      <c r="B14" s="52" t="s">
        <v>34</v>
      </c>
      <c r="C14" s="52" t="s">
        <v>37</v>
      </c>
      <c r="D14" s="53">
        <v>72</v>
      </c>
      <c r="E14" s="53">
        <v>0</v>
      </c>
      <c r="F14" s="44">
        <v>0</v>
      </c>
      <c r="G14" s="53">
        <v>0</v>
      </c>
      <c r="H14" s="29" t="e">
        <v>#DIV/0!</v>
      </c>
      <c r="I14" s="53">
        <v>1085</v>
      </c>
      <c r="J14" s="53">
        <v>0</v>
      </c>
      <c r="K14" s="44">
        <v>0</v>
      </c>
      <c r="L14" s="53">
        <v>0</v>
      </c>
      <c r="M14" s="29" t="e">
        <v>#DIV/0!</v>
      </c>
      <c r="N14" s="53">
        <v>30</v>
      </c>
      <c r="O14" s="53">
        <v>0</v>
      </c>
      <c r="P14" s="44">
        <v>0</v>
      </c>
      <c r="Q14" s="53">
        <v>0</v>
      </c>
      <c r="R14" s="29" t="e">
        <v>#DIV/0!</v>
      </c>
      <c r="S14" s="53">
        <v>450</v>
      </c>
      <c r="T14" s="53">
        <v>0</v>
      </c>
      <c r="U14" s="44">
        <v>0</v>
      </c>
      <c r="V14" s="53">
        <v>0</v>
      </c>
      <c r="W14" s="29" t="e">
        <v>#DIV/0!</v>
      </c>
      <c r="X14" s="53">
        <v>30</v>
      </c>
      <c r="Y14" s="53">
        <v>0</v>
      </c>
      <c r="Z14" s="44">
        <v>0</v>
      </c>
      <c r="AA14" s="53">
        <v>0</v>
      </c>
      <c r="AB14" s="29" t="e">
        <v>#DIV/0!</v>
      </c>
      <c r="AC14" s="53">
        <v>450</v>
      </c>
      <c r="AD14" s="53">
        <v>0</v>
      </c>
      <c r="AE14" s="44">
        <v>0</v>
      </c>
      <c r="AF14" s="53">
        <v>0</v>
      </c>
      <c r="AG14" s="29" t="e">
        <f t="shared" si="2"/>
        <v>#DIV/0!</v>
      </c>
      <c r="AH14" s="54">
        <v>0</v>
      </c>
      <c r="AI14" s="55">
        <f t="shared" si="3"/>
        <v>0</v>
      </c>
      <c r="AJ14" s="56">
        <f t="shared" si="4"/>
        <v>0</v>
      </c>
      <c r="AK14" s="57">
        <f>VLOOKUP(C14,[1]两年对比终版!$A:$C,3,0)</f>
        <v>0</v>
      </c>
      <c r="AL14" s="57">
        <f t="shared" si="0"/>
        <v>0</v>
      </c>
      <c r="AM14" s="29" t="e">
        <f t="shared" si="5"/>
        <v>#DIV/0!</v>
      </c>
      <c r="AN14" s="58">
        <v>0</v>
      </c>
      <c r="AO14" s="55">
        <f t="shared" si="6"/>
        <v>0</v>
      </c>
      <c r="AP14" s="56">
        <f t="shared" si="7"/>
        <v>0</v>
      </c>
      <c r="AQ14" s="59">
        <f>VLOOKUP(C14,[1]两年对比终版!$A:$W,6,0)</f>
        <v>0</v>
      </c>
      <c r="AR14" s="29"/>
      <c r="AS14" s="54">
        <v>0</v>
      </c>
      <c r="AT14" s="55">
        <f t="shared" si="9"/>
        <v>0</v>
      </c>
      <c r="AU14" s="56">
        <f t="shared" si="10"/>
        <v>0</v>
      </c>
      <c r="AV14" s="60">
        <f>VLOOKUP(C14,[1]两年对比终版!$A:$N,14,0)</f>
        <v>0</v>
      </c>
      <c r="AW14" s="55">
        <f t="shared" si="11"/>
        <v>0</v>
      </c>
      <c r="AX14" s="45" t="e">
        <f t="shared" si="12"/>
        <v>#DIV/0!</v>
      </c>
      <c r="AY14" s="55">
        <v>0</v>
      </c>
      <c r="AZ14" s="55">
        <f t="shared" si="13"/>
        <v>0</v>
      </c>
      <c r="BA14" s="62">
        <f t="shared" si="14"/>
        <v>0</v>
      </c>
      <c r="BB14" s="55">
        <f>VLOOKUP(C14,[1]两年对比终版!$A:$W,17,0)</f>
        <v>0</v>
      </c>
      <c r="BC14" s="61">
        <f t="shared" si="15"/>
        <v>0</v>
      </c>
      <c r="BD14" s="45" t="e">
        <f t="shared" si="16"/>
        <v>#DIV/0!</v>
      </c>
      <c r="BE14" s="55">
        <v>0</v>
      </c>
      <c r="BF14" s="55">
        <f t="shared" si="17"/>
        <v>0</v>
      </c>
      <c r="BG14" s="62">
        <f t="shared" si="18"/>
        <v>0</v>
      </c>
      <c r="BH14" s="55">
        <f>VLOOKUP(C14,[1]两年对比终版!$A:$T,20,0)</f>
        <v>0</v>
      </c>
      <c r="BI14" s="45" t="e">
        <f t="shared" si="19"/>
        <v>#DIV/0!</v>
      </c>
      <c r="BJ14" s="55">
        <v>0</v>
      </c>
      <c r="BK14" s="55">
        <f t="shared" si="20"/>
        <v>0</v>
      </c>
      <c r="BL14" s="62">
        <f t="shared" si="21"/>
        <v>0</v>
      </c>
      <c r="BM14" s="55">
        <f>VLOOKUP(C14,[1]两年对比终版!$A:$W,23,0)</f>
        <v>0</v>
      </c>
      <c r="BN14" s="45" t="e">
        <f t="shared" si="1"/>
        <v>#DIV/0!</v>
      </c>
    </row>
    <row r="15" spans="1:66" s="77" customFormat="1">
      <c r="A15" s="78" t="s">
        <v>38</v>
      </c>
      <c r="B15" s="79"/>
      <c r="C15" s="79"/>
      <c r="D15" s="68">
        <v>5256</v>
      </c>
      <c r="E15" s="68">
        <v>1110</v>
      </c>
      <c r="F15" s="69">
        <v>0.21118721461187201</v>
      </c>
      <c r="G15" s="68">
        <v>1328</v>
      </c>
      <c r="H15" s="70">
        <v>-0.196396396396396</v>
      </c>
      <c r="I15" s="68">
        <v>101740.12</v>
      </c>
      <c r="J15" s="68">
        <v>22497.925999999999</v>
      </c>
      <c r="K15" s="69">
        <v>0.22113130985102</v>
      </c>
      <c r="L15" s="68">
        <v>23737.364600000001</v>
      </c>
      <c r="M15" s="70">
        <v>-5.5091238187911201E-2</v>
      </c>
      <c r="N15" s="68">
        <v>2300</v>
      </c>
      <c r="O15" s="68">
        <v>634</v>
      </c>
      <c r="P15" s="69">
        <v>0.27565217391304297</v>
      </c>
      <c r="Q15" s="68">
        <v>559</v>
      </c>
      <c r="R15" s="70">
        <v>0.118296529968454</v>
      </c>
      <c r="S15" s="68">
        <v>41357</v>
      </c>
      <c r="T15" s="68">
        <v>10310.718999999999</v>
      </c>
      <c r="U15" s="69">
        <v>0.24931012887782</v>
      </c>
      <c r="V15" s="68">
        <v>10378.782300000001</v>
      </c>
      <c r="W15" s="70">
        <v>-6.6012176260454398E-3</v>
      </c>
      <c r="X15" s="68">
        <v>2300</v>
      </c>
      <c r="Y15" s="68">
        <v>453</v>
      </c>
      <c r="Z15" s="69">
        <v>0.19695652173913</v>
      </c>
      <c r="AA15" s="68">
        <v>291</v>
      </c>
      <c r="AB15" s="70">
        <v>0.35761589403973498</v>
      </c>
      <c r="AC15" s="68">
        <v>41357</v>
      </c>
      <c r="AD15" s="68">
        <v>8142.4189999999999</v>
      </c>
      <c r="AE15" s="69">
        <v>0.19688127765553601</v>
      </c>
      <c r="AF15" s="68">
        <v>5367.3683000000001</v>
      </c>
      <c r="AG15" s="70">
        <f t="shared" si="2"/>
        <v>0.51702259746177648</v>
      </c>
      <c r="AH15" s="68">
        <f>SUM(AH5:AH14)</f>
        <v>932</v>
      </c>
      <c r="AI15" s="71">
        <f t="shared" si="3"/>
        <v>2042</v>
      </c>
      <c r="AJ15" s="41">
        <f t="shared" si="4"/>
        <v>0.38850837138508371</v>
      </c>
      <c r="AK15" s="72">
        <f>SUM(AK5:AK14)</f>
        <v>2154</v>
      </c>
      <c r="AL15" s="73">
        <f t="shared" si="0"/>
        <v>-112</v>
      </c>
      <c r="AM15" s="70">
        <f t="shared" si="5"/>
        <v>-5.1996285979572884E-2</v>
      </c>
      <c r="AN15" s="68">
        <f>SUM(AN5:AN14)</f>
        <v>14902.8</v>
      </c>
      <c r="AO15" s="71">
        <f t="shared" si="6"/>
        <v>37400.725999999995</v>
      </c>
      <c r="AP15" s="41">
        <f t="shared" si="7"/>
        <v>0.36761039794330885</v>
      </c>
      <c r="AQ15" s="72">
        <f>SUM(AQ5:AQ14)</f>
        <v>37366.251199999999</v>
      </c>
      <c r="AR15" s="70">
        <f t="shared" si="8"/>
        <v>9.2261864363841573E-4</v>
      </c>
      <c r="AS15" s="68">
        <f>SUM(AS5:AS14)</f>
        <v>368</v>
      </c>
      <c r="AT15" s="71">
        <f t="shared" si="9"/>
        <v>1002</v>
      </c>
      <c r="AU15" s="41">
        <f t="shared" si="10"/>
        <v>0.43565217391304351</v>
      </c>
      <c r="AV15" s="72">
        <f t="shared" ref="AV15:BB15" si="22">SUM(AV5:AV14)</f>
        <v>890</v>
      </c>
      <c r="AW15" s="71">
        <f t="shared" si="11"/>
        <v>112</v>
      </c>
      <c r="AX15" s="74">
        <f t="shared" si="12"/>
        <v>0.12584269662921349</v>
      </c>
      <c r="AY15" s="71">
        <f t="shared" si="22"/>
        <v>4200.8</v>
      </c>
      <c r="AZ15" s="71">
        <f t="shared" si="13"/>
        <v>14511.519</v>
      </c>
      <c r="BA15" s="75">
        <f t="shared" si="14"/>
        <v>0.35088422757936988</v>
      </c>
      <c r="BB15" s="71">
        <f t="shared" si="22"/>
        <v>15906.592359999999</v>
      </c>
      <c r="BC15" s="76">
        <f t="shared" si="15"/>
        <v>-1395.0733599999985</v>
      </c>
      <c r="BD15" s="74">
        <f t="shared" si="16"/>
        <v>-8.7704099559888296E-2</v>
      </c>
      <c r="BE15" s="71">
        <f>SUM(BE5:BE14)</f>
        <v>373</v>
      </c>
      <c r="BF15" s="71">
        <f t="shared" si="17"/>
        <v>826</v>
      </c>
      <c r="BG15" s="75">
        <f t="shared" si="18"/>
        <v>0.3591304347826087</v>
      </c>
      <c r="BH15" s="71">
        <f t="shared" ref="BH15:BM15" si="23">SUM(BH5:BH14)</f>
        <v>613</v>
      </c>
      <c r="BI15" s="74">
        <f t="shared" si="19"/>
        <v>0.34747145187601958</v>
      </c>
      <c r="BJ15" s="71">
        <f t="shared" si="23"/>
        <v>6384.9265999999998</v>
      </c>
      <c r="BK15" s="71">
        <f t="shared" si="20"/>
        <v>14527.345600000001</v>
      </c>
      <c r="BL15" s="75">
        <f t="shared" si="21"/>
        <v>0.3512669100756825</v>
      </c>
      <c r="BM15" s="71">
        <f t="shared" si="23"/>
        <v>11385.117099999999</v>
      </c>
      <c r="BN15" s="74">
        <f t="shared" si="1"/>
        <v>0.27599439447135782</v>
      </c>
    </row>
    <row r="16" spans="1:66">
      <c r="A16" s="52">
        <v>11</v>
      </c>
      <c r="B16" s="52" t="s">
        <v>39</v>
      </c>
      <c r="C16" s="52" t="s">
        <v>40</v>
      </c>
      <c r="D16" s="53">
        <v>54</v>
      </c>
      <c r="E16" s="53">
        <v>34</v>
      </c>
      <c r="F16" s="44">
        <v>0.62962962962962998</v>
      </c>
      <c r="G16" s="53">
        <v>15</v>
      </c>
      <c r="H16" s="29">
        <v>0.55882352941176505</v>
      </c>
      <c r="I16" s="53">
        <v>540</v>
      </c>
      <c r="J16" s="53">
        <v>294.161</v>
      </c>
      <c r="K16" s="44">
        <v>0.54474259259259294</v>
      </c>
      <c r="L16" s="53">
        <v>152.22</v>
      </c>
      <c r="M16" s="29">
        <v>0.48252827533221598</v>
      </c>
      <c r="N16" s="53">
        <v>32</v>
      </c>
      <c r="O16" s="53">
        <v>4</v>
      </c>
      <c r="P16" s="44">
        <v>0.125</v>
      </c>
      <c r="Q16" s="53">
        <v>1</v>
      </c>
      <c r="R16" s="29">
        <v>0.75</v>
      </c>
      <c r="S16" s="53">
        <v>264.16300000000001</v>
      </c>
      <c r="T16" s="53">
        <v>36.860999999999997</v>
      </c>
      <c r="U16" s="44">
        <v>0.139538845334131</v>
      </c>
      <c r="V16" s="53">
        <v>7.6</v>
      </c>
      <c r="W16" s="29">
        <v>0.79382002658636497</v>
      </c>
      <c r="X16" s="53">
        <v>32</v>
      </c>
      <c r="Y16" s="53">
        <v>6</v>
      </c>
      <c r="Z16" s="44">
        <v>0.1875</v>
      </c>
      <c r="AA16" s="53">
        <v>1</v>
      </c>
      <c r="AB16" s="29">
        <v>0.83333333333333304</v>
      </c>
      <c r="AC16" s="53">
        <v>264.16300000000001</v>
      </c>
      <c r="AD16" s="53">
        <v>55.487099999999998</v>
      </c>
      <c r="AE16" s="44">
        <v>0.21004871991914101</v>
      </c>
      <c r="AF16" s="53">
        <v>7.6</v>
      </c>
      <c r="AG16" s="29">
        <f t="shared" si="2"/>
        <v>6.3009342105263153</v>
      </c>
      <c r="AH16" s="54">
        <f>VLOOKUP(C16,'[2]5月汇总'!$C:$AE,24,0)</f>
        <v>13</v>
      </c>
      <c r="AI16" s="55">
        <f t="shared" si="3"/>
        <v>47</v>
      </c>
      <c r="AJ16" s="56">
        <f t="shared" si="4"/>
        <v>0.87037037037037035</v>
      </c>
      <c r="AK16" s="57">
        <f>VLOOKUP(C16,[1]两年对比终版!$A:$C,3,0)</f>
        <v>35</v>
      </c>
      <c r="AL16" s="57">
        <f t="shared" si="0"/>
        <v>12</v>
      </c>
      <c r="AM16" s="29">
        <f t="shared" si="5"/>
        <v>0.34285714285714286</v>
      </c>
      <c r="AN16" s="54">
        <f>VLOOKUP(C16,'[2]5月汇总'!$C:$AA,25,0)</f>
        <v>130</v>
      </c>
      <c r="AO16" s="55">
        <f t="shared" si="6"/>
        <v>424.161</v>
      </c>
      <c r="AP16" s="56">
        <f t="shared" si="7"/>
        <v>0.78548333333333331</v>
      </c>
      <c r="AQ16" s="59">
        <f>VLOOKUP(C16,[1]两年对比终版!$A:$W,6,0)</f>
        <v>287.19</v>
      </c>
      <c r="AR16" s="29">
        <f t="shared" si="8"/>
        <v>0.47693513005327487</v>
      </c>
      <c r="AS16" s="54">
        <f>VLOOKUP(C16,'[2]5月汇总'!$C:$AE,26,0)</f>
        <v>10</v>
      </c>
      <c r="AT16" s="55">
        <f t="shared" si="9"/>
        <v>14</v>
      </c>
      <c r="AU16" s="56">
        <f t="shared" si="10"/>
        <v>0.4375</v>
      </c>
      <c r="AV16" s="60">
        <f>VLOOKUP(C16,[1]两年对比终版!$A:$N,14,0)</f>
        <v>1</v>
      </c>
      <c r="AW16" s="55">
        <f t="shared" si="11"/>
        <v>13</v>
      </c>
      <c r="AX16" s="45">
        <f t="shared" si="12"/>
        <v>13</v>
      </c>
      <c r="AY16" s="55">
        <f>VLOOKUP(C16,'[2]5月汇总'!$C:$AE,27,0)</f>
        <v>100</v>
      </c>
      <c r="AZ16" s="55">
        <f t="shared" si="13"/>
        <v>136.86099999999999</v>
      </c>
      <c r="BA16" s="62">
        <f t="shared" si="14"/>
        <v>0.51809299561255739</v>
      </c>
      <c r="BB16" s="55">
        <f>VLOOKUP(C16,[1]两年对比终版!$A:$W,17,0)</f>
        <v>7.6</v>
      </c>
      <c r="BC16" s="61">
        <f t="shared" si="15"/>
        <v>129.261</v>
      </c>
      <c r="BD16" s="45">
        <f t="shared" si="16"/>
        <v>17.008026315789476</v>
      </c>
      <c r="BE16" s="55">
        <f>VLOOKUP(C16,'[2]5月汇总'!$C:$AE,28,0)</f>
        <v>10</v>
      </c>
      <c r="BF16" s="55">
        <f t="shared" si="17"/>
        <v>16</v>
      </c>
      <c r="BG16" s="62">
        <f t="shared" si="18"/>
        <v>0.5</v>
      </c>
      <c r="BH16" s="55">
        <f>VLOOKUP(C16,[1]两年对比终版!$A:$T,20,0)</f>
        <v>1</v>
      </c>
      <c r="BI16" s="45">
        <f t="shared" si="19"/>
        <v>15</v>
      </c>
      <c r="BJ16" s="55">
        <f>VLOOKUP(C16,'[2]5月汇总'!$C:$AE,29,0)</f>
        <v>77.819999999999993</v>
      </c>
      <c r="BK16" s="55">
        <f t="shared" si="20"/>
        <v>133.30709999999999</v>
      </c>
      <c r="BL16" s="62">
        <f t="shared" si="21"/>
        <v>0.50463955966581231</v>
      </c>
      <c r="BM16" s="55">
        <f>VLOOKUP(C16,[1]两年对比终版!$A:$W,23,0)</f>
        <v>7.6</v>
      </c>
      <c r="BN16" s="45">
        <f t="shared" si="1"/>
        <v>16.540407894736841</v>
      </c>
    </row>
    <row r="17" spans="1:66">
      <c r="A17" s="52">
        <v>12</v>
      </c>
      <c r="B17" s="52" t="s">
        <v>25</v>
      </c>
      <c r="C17" s="52" t="s">
        <v>41</v>
      </c>
      <c r="D17" s="53">
        <v>277</v>
      </c>
      <c r="E17" s="53">
        <v>67</v>
      </c>
      <c r="F17" s="44">
        <v>0.241877256317689</v>
      </c>
      <c r="G17" s="53">
        <v>111</v>
      </c>
      <c r="H17" s="29">
        <v>-0.65671641791044799</v>
      </c>
      <c r="I17" s="53">
        <v>6100</v>
      </c>
      <c r="J17" s="53">
        <v>1640.06</v>
      </c>
      <c r="K17" s="44">
        <v>0.26886229508196702</v>
      </c>
      <c r="L17" s="53">
        <v>2182.014334</v>
      </c>
      <c r="M17" s="29">
        <v>-0.33044787019987099</v>
      </c>
      <c r="N17" s="53">
        <v>101</v>
      </c>
      <c r="O17" s="53">
        <v>4</v>
      </c>
      <c r="P17" s="44">
        <v>3.9603960396039598E-2</v>
      </c>
      <c r="Q17" s="53">
        <v>42</v>
      </c>
      <c r="R17" s="29">
        <v>-9.5</v>
      </c>
      <c r="S17" s="53">
        <v>2153</v>
      </c>
      <c r="T17" s="53">
        <v>74.276200000000003</v>
      </c>
      <c r="U17" s="44">
        <v>3.4498931723177001E-2</v>
      </c>
      <c r="V17" s="53">
        <v>1068.6718559999999</v>
      </c>
      <c r="W17" s="29">
        <v>-13.3878100387473</v>
      </c>
      <c r="X17" s="53">
        <v>101</v>
      </c>
      <c r="Y17" s="53">
        <v>21</v>
      </c>
      <c r="Z17" s="44">
        <v>0.20792079207920799</v>
      </c>
      <c r="AA17" s="53">
        <v>21</v>
      </c>
      <c r="AB17" s="29">
        <v>0</v>
      </c>
      <c r="AC17" s="53">
        <v>2153</v>
      </c>
      <c r="AD17" s="53">
        <v>398.03500000000003</v>
      </c>
      <c r="AE17" s="44">
        <v>0.184874593590339</v>
      </c>
      <c r="AF17" s="53">
        <v>522.63907300000005</v>
      </c>
      <c r="AG17" s="29">
        <f t="shared" si="2"/>
        <v>-0.23841323666208175</v>
      </c>
      <c r="AH17" s="54">
        <f>VLOOKUP(C17,'[2]5月汇总'!$C:$AE,24,0)</f>
        <v>50</v>
      </c>
      <c r="AI17" s="55">
        <f t="shared" ref="AI17:AI26" si="24">AH17+E17</f>
        <v>117</v>
      </c>
      <c r="AJ17" s="56">
        <f t="shared" ref="AJ17:AJ26" si="25">AI17/D17</f>
        <v>0.42238267148014441</v>
      </c>
      <c r="AK17" s="57">
        <f>VLOOKUP(C17,[1]两年对比终版!$A:$C,3,0)</f>
        <v>196</v>
      </c>
      <c r="AL17" s="57">
        <f t="shared" si="0"/>
        <v>-79</v>
      </c>
      <c r="AM17" s="29">
        <f t="shared" si="5"/>
        <v>-0.40306122448979592</v>
      </c>
      <c r="AN17" s="54">
        <f>VLOOKUP(C17,'[2]5月汇总'!$C:$AA,25,0)</f>
        <v>1000</v>
      </c>
      <c r="AO17" s="55">
        <f t="shared" ref="AO17:AO26" si="26">AN17+J17</f>
        <v>2640.06</v>
      </c>
      <c r="AP17" s="56">
        <f t="shared" ref="AP17:AP26" si="27">AO17/I17</f>
        <v>0.4327967213114754</v>
      </c>
      <c r="AQ17" s="59">
        <f>VLOOKUP(C17,[1]两年对比终版!$A:$W,6,0)</f>
        <v>4135.4804710000099</v>
      </c>
      <c r="AR17" s="29">
        <f t="shared" si="8"/>
        <v>-0.36160743146694124</v>
      </c>
      <c r="AS17" s="54">
        <f>VLOOKUP(C17,'[2]5月汇总'!$C:$AE,26,0)</f>
        <v>0</v>
      </c>
      <c r="AT17" s="55">
        <f t="shared" ref="AT17:AT26" si="28">AS17+O17</f>
        <v>4</v>
      </c>
      <c r="AU17" s="56">
        <f t="shared" ref="AU17:AU26" si="29">AT17/N17</f>
        <v>3.9603960396039604E-2</v>
      </c>
      <c r="AV17" s="60">
        <f>VLOOKUP(C17,[1]两年对比终版!$A:$N,14,0)</f>
        <v>77</v>
      </c>
      <c r="AW17" s="55">
        <f t="shared" si="11"/>
        <v>-73</v>
      </c>
      <c r="AX17" s="45">
        <f t="shared" si="12"/>
        <v>-0.94805194805194803</v>
      </c>
      <c r="AY17" s="55">
        <f>VLOOKUP(C17,'[2]5月汇总'!$C:$AE,27,0)</f>
        <v>0</v>
      </c>
      <c r="AZ17" s="55">
        <f t="shared" ref="AZ17:AZ26" si="30">AY17+T17</f>
        <v>74.276200000000003</v>
      </c>
      <c r="BA17" s="62">
        <f t="shared" ref="BA17:BA26" si="31">AZ17/S17</f>
        <v>3.4498931723176966E-2</v>
      </c>
      <c r="BB17" s="53">
        <f>VLOOKUP(C17,[1]两年对比终版!$A:$W,17,0)</f>
        <v>1734.6186439999999</v>
      </c>
      <c r="BC17" s="61">
        <f t="shared" si="15"/>
        <v>-1660.3424439999999</v>
      </c>
      <c r="BD17" s="45">
        <f t="shared" si="16"/>
        <v>-0.9571800981979991</v>
      </c>
      <c r="BE17" s="55">
        <f>VLOOKUP(C17,'[2]5月汇总'!$C:$AE,28,0)</f>
        <v>11</v>
      </c>
      <c r="BF17" s="55">
        <f t="shared" ref="BF17:BF26" si="32">BE17+Y17</f>
        <v>32</v>
      </c>
      <c r="BG17" s="62">
        <f t="shared" ref="BG17:BG26" si="33">BF17/X17</f>
        <v>0.31683168316831684</v>
      </c>
      <c r="BH17" s="53">
        <f>VLOOKUP(C17,[1]两年对比终版!$A:$T,20,0)</f>
        <v>25</v>
      </c>
      <c r="BI17" s="45">
        <f t="shared" si="19"/>
        <v>0.28000000000000003</v>
      </c>
      <c r="BJ17" s="55">
        <f>VLOOKUP(C17,'[2]5月汇总'!$C:$AE,29,0)</f>
        <v>220</v>
      </c>
      <c r="BK17" s="55">
        <f t="shared" si="20"/>
        <v>618.03500000000008</v>
      </c>
      <c r="BL17" s="62">
        <f t="shared" si="21"/>
        <v>0.2870575940548073</v>
      </c>
      <c r="BM17" s="53">
        <f>VLOOKUP(C17,[1]两年对比终版!$A:$W,23,0)</f>
        <v>619.60194100000001</v>
      </c>
      <c r="BN17" s="45">
        <f t="shared" si="1"/>
        <v>-2.5289478555715643E-3</v>
      </c>
    </row>
    <row r="18" spans="1:66">
      <c r="A18" s="52">
        <v>13</v>
      </c>
      <c r="B18" s="52" t="s">
        <v>25</v>
      </c>
      <c r="C18" s="52" t="s">
        <v>42</v>
      </c>
      <c r="D18" s="53">
        <v>566</v>
      </c>
      <c r="E18" s="53">
        <v>189</v>
      </c>
      <c r="F18" s="44">
        <v>0.33392226148409898</v>
      </c>
      <c r="G18" s="53">
        <v>87</v>
      </c>
      <c r="H18" s="29">
        <v>0.53968253968253999</v>
      </c>
      <c r="I18" s="53">
        <v>20400</v>
      </c>
      <c r="J18" s="53">
        <v>4595.47</v>
      </c>
      <c r="K18" s="44">
        <v>0.225268137254902</v>
      </c>
      <c r="L18" s="53">
        <v>1832.6242070000001</v>
      </c>
      <c r="M18" s="29">
        <v>0.60121071250601099</v>
      </c>
      <c r="N18" s="53">
        <v>260</v>
      </c>
      <c r="O18" s="53">
        <v>121</v>
      </c>
      <c r="P18" s="44">
        <v>0.46538461538461501</v>
      </c>
      <c r="Q18" s="53">
        <v>33</v>
      </c>
      <c r="R18" s="29">
        <v>0.72727272727272696</v>
      </c>
      <c r="S18" s="53">
        <v>8500</v>
      </c>
      <c r="T18" s="53">
        <v>5373.9</v>
      </c>
      <c r="U18" s="44">
        <v>0.63222352941176496</v>
      </c>
      <c r="V18" s="53">
        <v>1324.448185</v>
      </c>
      <c r="W18" s="29">
        <v>0.75354059714546195</v>
      </c>
      <c r="X18" s="53">
        <v>260</v>
      </c>
      <c r="Y18" s="53">
        <v>122</v>
      </c>
      <c r="Z18" s="44">
        <v>0.46923076923076901</v>
      </c>
      <c r="AA18" s="53">
        <v>1</v>
      </c>
      <c r="AB18" s="29">
        <v>0.99180327868852503</v>
      </c>
      <c r="AC18" s="53">
        <v>8500</v>
      </c>
      <c r="AD18" s="53">
        <v>5274.41</v>
      </c>
      <c r="AE18" s="44">
        <v>0.62051882352941201</v>
      </c>
      <c r="AF18" s="53">
        <v>13.34</v>
      </c>
      <c r="AG18" s="29">
        <f t="shared" si="2"/>
        <v>394.38305847076458</v>
      </c>
      <c r="AH18" s="54">
        <f>VLOOKUP(C18,'[2]5月汇总'!$C:$AE,24,0)</f>
        <v>75</v>
      </c>
      <c r="AI18" s="55">
        <f t="shared" si="24"/>
        <v>264</v>
      </c>
      <c r="AJ18" s="56">
        <f t="shared" si="25"/>
        <v>0.46643109540636041</v>
      </c>
      <c r="AK18" s="57">
        <f>VLOOKUP(C18,[1]两年对比终版!$A:$C,3,0)</f>
        <v>260</v>
      </c>
      <c r="AL18" s="57">
        <f t="shared" si="0"/>
        <v>4</v>
      </c>
      <c r="AM18" s="29">
        <f t="shared" si="5"/>
        <v>1.5384615384615385E-2</v>
      </c>
      <c r="AN18" s="54">
        <f>VLOOKUP(C18,'[2]5月汇总'!$C:$AA,25,0)</f>
        <v>2500</v>
      </c>
      <c r="AO18" s="55">
        <f t="shared" si="26"/>
        <v>7095.47</v>
      </c>
      <c r="AP18" s="56">
        <f t="shared" si="27"/>
        <v>0.34781715686274511</v>
      </c>
      <c r="AQ18" s="59">
        <f>VLOOKUP(C18,[1]两年对比终版!$A:$W,6,0)</f>
        <v>5925.60401799999</v>
      </c>
      <c r="AR18" s="29">
        <f t="shared" si="8"/>
        <v>0.19742560900903119</v>
      </c>
      <c r="AS18" s="54">
        <f>VLOOKUP(C18,'[2]5月汇总'!$C:$AE,26,0)</f>
        <v>35</v>
      </c>
      <c r="AT18" s="55">
        <f t="shared" si="28"/>
        <v>156</v>
      </c>
      <c r="AU18" s="56">
        <f t="shared" si="29"/>
        <v>0.6</v>
      </c>
      <c r="AV18" s="60">
        <f>VLOOKUP(C18,[1]两年对比终版!$A:$N,14,0)</f>
        <v>106</v>
      </c>
      <c r="AW18" s="55">
        <f t="shared" si="11"/>
        <v>50</v>
      </c>
      <c r="AX18" s="45">
        <f t="shared" si="12"/>
        <v>0.47169811320754718</v>
      </c>
      <c r="AY18" s="55">
        <f>VLOOKUP(C18,'[2]5月汇总'!$C:$AE,27,0)</f>
        <v>1260</v>
      </c>
      <c r="AZ18" s="55">
        <f t="shared" si="30"/>
        <v>6633.9</v>
      </c>
      <c r="BA18" s="62">
        <f t="shared" si="31"/>
        <v>0.78045882352941176</v>
      </c>
      <c r="BB18" s="55">
        <f>VLOOKUP(C18,[1]两年对比终版!$A:$W,17,0)</f>
        <v>3962.6091150000002</v>
      </c>
      <c r="BC18" s="61">
        <f t="shared" si="15"/>
        <v>2671.2908849999994</v>
      </c>
      <c r="BD18" s="45">
        <f t="shared" si="16"/>
        <v>0.67412424679692362</v>
      </c>
      <c r="BE18" s="55">
        <f>VLOOKUP(C18,'[2]5月汇总'!$C:$AE,28,0)</f>
        <v>36</v>
      </c>
      <c r="BF18" s="55">
        <f t="shared" si="32"/>
        <v>158</v>
      </c>
      <c r="BG18" s="62">
        <f t="shared" si="33"/>
        <v>0.60769230769230764</v>
      </c>
      <c r="BH18" s="55">
        <f>VLOOKUP(C18,[1]两年对比终版!$A:$T,20,0)</f>
        <v>10</v>
      </c>
      <c r="BI18" s="45">
        <f t="shared" si="19"/>
        <v>14.8</v>
      </c>
      <c r="BJ18" s="55">
        <f>VLOOKUP(C18,'[2]5月汇总'!$C:$AE,29,0)</f>
        <v>1298</v>
      </c>
      <c r="BK18" s="55">
        <f t="shared" si="20"/>
        <v>6572.41</v>
      </c>
      <c r="BL18" s="62">
        <f t="shared" si="21"/>
        <v>0.77322470588235293</v>
      </c>
      <c r="BM18" s="55">
        <f>VLOOKUP(C18,[1]两年对比终版!$A:$W,23,0)</f>
        <v>374.14792599999998</v>
      </c>
      <c r="BN18" s="45">
        <f t="shared" si="1"/>
        <v>16.566340859524104</v>
      </c>
    </row>
    <row r="19" spans="1:66" ht="15.95" customHeight="1">
      <c r="A19" s="52">
        <v>14</v>
      </c>
      <c r="B19" s="52" t="s">
        <v>39</v>
      </c>
      <c r="C19" s="52" t="s">
        <v>43</v>
      </c>
      <c r="D19" s="53">
        <v>90</v>
      </c>
      <c r="E19" s="53">
        <v>20</v>
      </c>
      <c r="F19" s="44">
        <v>0.22222222222222199</v>
      </c>
      <c r="G19" s="53">
        <v>37</v>
      </c>
      <c r="H19" s="29">
        <v>-0.85</v>
      </c>
      <c r="I19" s="53">
        <v>840</v>
      </c>
      <c r="J19" s="53">
        <v>264.23200000000003</v>
      </c>
      <c r="K19" s="44">
        <v>0.31456190476190499</v>
      </c>
      <c r="L19" s="53">
        <v>361.66129799999999</v>
      </c>
      <c r="M19" s="29">
        <v>-0.36872633897483997</v>
      </c>
      <c r="N19" s="53">
        <v>25</v>
      </c>
      <c r="O19" s="53">
        <v>4</v>
      </c>
      <c r="P19" s="44">
        <v>0.16</v>
      </c>
      <c r="Q19" s="53">
        <v>15</v>
      </c>
      <c r="R19" s="29">
        <v>-2.75</v>
      </c>
      <c r="S19" s="53">
        <v>200</v>
      </c>
      <c r="T19" s="53">
        <v>47.118000000000002</v>
      </c>
      <c r="U19" s="44">
        <v>0.23558999999999999</v>
      </c>
      <c r="V19" s="53">
        <v>142.717502</v>
      </c>
      <c r="W19" s="29">
        <v>-2.0289380279298799</v>
      </c>
      <c r="X19" s="53">
        <v>25</v>
      </c>
      <c r="Y19" s="53">
        <v>3</v>
      </c>
      <c r="Z19" s="44">
        <v>0.12</v>
      </c>
      <c r="AA19" s="53">
        <v>18</v>
      </c>
      <c r="AB19" s="29">
        <v>-5</v>
      </c>
      <c r="AC19" s="53">
        <v>200</v>
      </c>
      <c r="AD19" s="53">
        <v>32.820099999999996</v>
      </c>
      <c r="AE19" s="44">
        <v>0.16410050000000001</v>
      </c>
      <c r="AF19" s="53">
        <v>174.47637700000001</v>
      </c>
      <c r="AG19" s="29">
        <f t="shared" si="2"/>
        <v>-0.81189373275443477</v>
      </c>
      <c r="AH19" s="54">
        <f>VLOOKUP(C19,'[2]5月汇总'!$C:$AE,24,0)</f>
        <v>20</v>
      </c>
      <c r="AI19" s="55">
        <f t="shared" si="24"/>
        <v>40</v>
      </c>
      <c r="AJ19" s="56">
        <f t="shared" si="25"/>
        <v>0.44444444444444442</v>
      </c>
      <c r="AK19" s="57">
        <f>VLOOKUP(C19,[1]两年对比终版!$A:$C,3,0)</f>
        <v>52</v>
      </c>
      <c r="AL19" s="57">
        <f t="shared" si="0"/>
        <v>-12</v>
      </c>
      <c r="AM19" s="29">
        <f t="shared" si="5"/>
        <v>-0.23076923076923078</v>
      </c>
      <c r="AN19" s="54">
        <f>VLOOKUP(C19,'[2]5月汇总'!$C:$AA,25,0)</f>
        <v>152.80000000000001</v>
      </c>
      <c r="AO19" s="55">
        <f t="shared" si="26"/>
        <v>417.03200000000004</v>
      </c>
      <c r="AP19" s="56">
        <f t="shared" si="27"/>
        <v>0.49646666666666672</v>
      </c>
      <c r="AQ19" s="59">
        <f>VLOOKUP(C19,[1]两年对比终版!$A:$W,6,0)</f>
        <v>517.46812299999999</v>
      </c>
      <c r="AR19" s="29">
        <f t="shared" si="8"/>
        <v>-0.19409142039073962</v>
      </c>
      <c r="AS19" s="54">
        <f>VLOOKUP(C19,'[2]5月汇总'!$C:$AE,26,0)</f>
        <v>2</v>
      </c>
      <c r="AT19" s="55">
        <f t="shared" si="28"/>
        <v>6</v>
      </c>
      <c r="AU19" s="56">
        <f t="shared" si="29"/>
        <v>0.24</v>
      </c>
      <c r="AV19" s="60">
        <f>VLOOKUP(C19,[1]两年对比终版!$A:$N,14,0)</f>
        <v>26</v>
      </c>
      <c r="AW19" s="55">
        <f t="shared" si="11"/>
        <v>-20</v>
      </c>
      <c r="AX19" s="45">
        <f t="shared" si="12"/>
        <v>-0.76923076923076927</v>
      </c>
      <c r="AY19" s="55">
        <f>VLOOKUP(C19,'[2]5月汇总'!$C:$AE,27,0)</f>
        <v>20.079999999999998</v>
      </c>
      <c r="AZ19" s="55">
        <f t="shared" si="30"/>
        <v>67.198000000000008</v>
      </c>
      <c r="BA19" s="62">
        <f t="shared" si="31"/>
        <v>0.33599000000000001</v>
      </c>
      <c r="BB19" s="55">
        <f>VLOOKUP(C19,[1]两年对比终版!$A:$W,17,0)</f>
        <v>239.82782900000001</v>
      </c>
      <c r="BC19" s="61">
        <f t="shared" si="15"/>
        <v>-172.629829</v>
      </c>
      <c r="BD19" s="45">
        <f t="shared" si="16"/>
        <v>-0.71980732894846822</v>
      </c>
      <c r="BE19" s="55">
        <f>VLOOKUP(C19,'[2]5月汇总'!$C:$AE,28,0)</f>
        <v>2</v>
      </c>
      <c r="BF19" s="55">
        <f t="shared" si="32"/>
        <v>5</v>
      </c>
      <c r="BG19" s="62">
        <f t="shared" si="33"/>
        <v>0.2</v>
      </c>
      <c r="BH19" s="55">
        <f>VLOOKUP(C19,[1]两年对比终版!$A:$T,20,0)</f>
        <v>25</v>
      </c>
      <c r="BI19" s="45">
        <f t="shared" si="19"/>
        <v>-0.8</v>
      </c>
      <c r="BJ19" s="55">
        <f>VLOOKUP(C19,'[2]5月汇总'!$C:$AE,29,0)</f>
        <v>20</v>
      </c>
      <c r="BK19" s="55">
        <f t="shared" si="20"/>
        <v>52.820099999999996</v>
      </c>
      <c r="BL19" s="62">
        <f t="shared" si="21"/>
        <v>0.26410049999999996</v>
      </c>
      <c r="BM19" s="55">
        <f>VLOOKUP(C19,[1]两年对比终版!$A:$W,23,0)</f>
        <v>233.58912900000001</v>
      </c>
      <c r="BN19" s="45">
        <f t="shared" si="1"/>
        <v>-0.77387603513004244</v>
      </c>
    </row>
    <row r="20" spans="1:66">
      <c r="A20" s="52">
        <v>15</v>
      </c>
      <c r="B20" s="52" t="s">
        <v>39</v>
      </c>
      <c r="C20" s="52" t="s">
        <v>44</v>
      </c>
      <c r="D20" s="53">
        <v>136</v>
      </c>
      <c r="E20" s="53">
        <v>44</v>
      </c>
      <c r="F20" s="44">
        <v>0.32352941176470601</v>
      </c>
      <c r="G20" s="53">
        <v>0</v>
      </c>
      <c r="H20" s="29">
        <v>1</v>
      </c>
      <c r="I20" s="53">
        <v>1200</v>
      </c>
      <c r="J20" s="53">
        <v>382.54</v>
      </c>
      <c r="K20" s="44">
        <v>0.31878333333333297</v>
      </c>
      <c r="L20" s="53">
        <v>0</v>
      </c>
      <c r="M20" s="29">
        <v>1</v>
      </c>
      <c r="N20" s="53">
        <v>36</v>
      </c>
      <c r="O20" s="53">
        <v>9</v>
      </c>
      <c r="P20" s="44">
        <v>0.25</v>
      </c>
      <c r="Q20" s="53">
        <v>0</v>
      </c>
      <c r="R20" s="29">
        <v>1</v>
      </c>
      <c r="S20" s="53">
        <v>300</v>
      </c>
      <c r="T20" s="53">
        <v>74.13</v>
      </c>
      <c r="U20" s="44">
        <v>0.24709999999999999</v>
      </c>
      <c r="V20" s="53">
        <v>0</v>
      </c>
      <c r="W20" s="29">
        <v>1</v>
      </c>
      <c r="X20" s="53">
        <v>36</v>
      </c>
      <c r="Y20" s="53">
        <v>9</v>
      </c>
      <c r="Z20" s="44">
        <v>0.25</v>
      </c>
      <c r="AA20" s="53">
        <v>0</v>
      </c>
      <c r="AB20" s="29">
        <v>1</v>
      </c>
      <c r="AC20" s="53">
        <v>300</v>
      </c>
      <c r="AD20" s="53">
        <v>74.13</v>
      </c>
      <c r="AE20" s="44">
        <v>0.24709999999999999</v>
      </c>
      <c r="AF20" s="53">
        <v>0</v>
      </c>
      <c r="AG20" s="29" t="e">
        <f t="shared" si="2"/>
        <v>#DIV/0!</v>
      </c>
      <c r="AH20" s="54">
        <f>VLOOKUP(C20,'[2]5月汇总'!$C:$AE,24,0)</f>
        <v>30</v>
      </c>
      <c r="AI20" s="55">
        <f t="shared" si="24"/>
        <v>74</v>
      </c>
      <c r="AJ20" s="56">
        <f t="shared" si="25"/>
        <v>0.54411764705882348</v>
      </c>
      <c r="AK20" s="57">
        <f>VLOOKUP(C20,[1]两年对比终版!$A:$C,3,0)</f>
        <v>0</v>
      </c>
      <c r="AL20" s="57">
        <f t="shared" si="0"/>
        <v>74</v>
      </c>
      <c r="AM20" s="29" t="e">
        <f t="shared" si="5"/>
        <v>#DIV/0!</v>
      </c>
      <c r="AN20" s="54">
        <f>VLOOKUP(C20,'[2]5月汇总'!$C:$AA,25,0)</f>
        <v>240</v>
      </c>
      <c r="AO20" s="55">
        <f t="shared" si="26"/>
        <v>622.54</v>
      </c>
      <c r="AP20" s="56">
        <f t="shared" si="27"/>
        <v>0.51878333333333326</v>
      </c>
      <c r="AQ20" s="59">
        <f>VLOOKUP(C20,[1]两年对比终版!$A:$W,6,0)</f>
        <v>0</v>
      </c>
      <c r="AR20" s="29"/>
      <c r="AS20" s="54">
        <f>VLOOKUP(C20,'[2]5月汇总'!$C:$AE,26,0)</f>
        <v>30</v>
      </c>
      <c r="AT20" s="55">
        <f t="shared" si="28"/>
        <v>39</v>
      </c>
      <c r="AU20" s="56">
        <f t="shared" si="29"/>
        <v>1.0833333333333333</v>
      </c>
      <c r="AV20" s="60">
        <f>VLOOKUP(C20,[1]两年对比终版!$A:$N,14,0)</f>
        <v>0</v>
      </c>
      <c r="AW20" s="55">
        <f t="shared" si="11"/>
        <v>39</v>
      </c>
      <c r="AX20" s="45" t="e">
        <f t="shared" si="12"/>
        <v>#DIV/0!</v>
      </c>
      <c r="AY20" s="55">
        <f>VLOOKUP(C20,'[2]5月汇总'!$C:$AE,27,0)</f>
        <v>240</v>
      </c>
      <c r="AZ20" s="55">
        <f t="shared" si="30"/>
        <v>314.13</v>
      </c>
      <c r="BA20" s="62">
        <f t="shared" si="31"/>
        <v>1.0470999999999999</v>
      </c>
      <c r="BB20" s="55">
        <f>VLOOKUP(C20,[1]两年对比终版!$A:$W,17,0)</f>
        <v>0</v>
      </c>
      <c r="BC20" s="61">
        <f t="shared" si="15"/>
        <v>314.13</v>
      </c>
      <c r="BD20" s="45" t="e">
        <f t="shared" si="16"/>
        <v>#DIV/0!</v>
      </c>
      <c r="BE20" s="55">
        <f>VLOOKUP(C20,'[2]5月汇总'!$C:$AE,28,0)</f>
        <v>20</v>
      </c>
      <c r="BF20" s="55">
        <f t="shared" si="32"/>
        <v>29</v>
      </c>
      <c r="BG20" s="62">
        <f t="shared" si="33"/>
        <v>0.80555555555555558</v>
      </c>
      <c r="BH20" s="55">
        <f>VLOOKUP(C20,[1]两年对比终版!$A:$T,20,0)</f>
        <v>0</v>
      </c>
      <c r="BI20" s="45" t="e">
        <f t="shared" si="19"/>
        <v>#DIV/0!</v>
      </c>
      <c r="BJ20" s="55">
        <f>VLOOKUP(C20,'[2]5月汇总'!$C:$AE,29,0)</f>
        <v>160</v>
      </c>
      <c r="BK20" s="55">
        <f t="shared" si="20"/>
        <v>234.13</v>
      </c>
      <c r="BL20" s="62">
        <f t="shared" si="21"/>
        <v>0.78043333333333331</v>
      </c>
      <c r="BM20" s="55">
        <f>VLOOKUP(C20,[1]两年对比终版!$A:$W,23,0)</f>
        <v>0</v>
      </c>
      <c r="BN20" s="45" t="e">
        <f t="shared" si="1"/>
        <v>#DIV/0!</v>
      </c>
    </row>
    <row r="21" spans="1:66">
      <c r="A21" s="52">
        <v>16</v>
      </c>
      <c r="B21" s="52" t="s">
        <v>39</v>
      </c>
      <c r="C21" s="52" t="s">
        <v>45</v>
      </c>
      <c r="D21" s="53">
        <v>40</v>
      </c>
      <c r="E21" s="53">
        <v>5</v>
      </c>
      <c r="F21" s="44">
        <v>0.125</v>
      </c>
      <c r="G21" s="53">
        <v>40</v>
      </c>
      <c r="H21" s="29">
        <v>-7</v>
      </c>
      <c r="I21" s="53">
        <v>200</v>
      </c>
      <c r="J21" s="53">
        <v>40.681399999999996</v>
      </c>
      <c r="K21" s="44">
        <v>0.203407</v>
      </c>
      <c r="L21" s="53">
        <v>334.906677</v>
      </c>
      <c r="M21" s="29">
        <v>-7.2324275221600098</v>
      </c>
      <c r="N21" s="53">
        <v>36</v>
      </c>
      <c r="O21" s="53">
        <v>0</v>
      </c>
      <c r="P21" s="44">
        <v>0</v>
      </c>
      <c r="Q21" s="53">
        <v>0</v>
      </c>
      <c r="R21" s="29" t="e">
        <v>#DIV/0!</v>
      </c>
      <c r="S21" s="53">
        <v>200</v>
      </c>
      <c r="T21" s="53">
        <v>0</v>
      </c>
      <c r="U21" s="44">
        <v>0</v>
      </c>
      <c r="V21" s="53">
        <v>0</v>
      </c>
      <c r="W21" s="29" t="e">
        <v>#DIV/0!</v>
      </c>
      <c r="X21" s="53">
        <v>36</v>
      </c>
      <c r="Y21" s="53">
        <v>0</v>
      </c>
      <c r="Z21" s="44">
        <v>0</v>
      </c>
      <c r="AA21" s="53">
        <v>0</v>
      </c>
      <c r="AB21" s="29" t="e">
        <v>#DIV/0!</v>
      </c>
      <c r="AC21" s="53">
        <v>200</v>
      </c>
      <c r="AD21" s="53">
        <v>0</v>
      </c>
      <c r="AE21" s="44">
        <v>0</v>
      </c>
      <c r="AF21" s="53">
        <v>0</v>
      </c>
      <c r="AG21" s="29" t="e">
        <f t="shared" si="2"/>
        <v>#DIV/0!</v>
      </c>
      <c r="AH21" s="54">
        <f>VLOOKUP(C21,'[2]5月汇总'!$C:$AE,24,0)</f>
        <v>20</v>
      </c>
      <c r="AI21" s="55">
        <f t="shared" si="24"/>
        <v>25</v>
      </c>
      <c r="AJ21" s="56">
        <f t="shared" si="25"/>
        <v>0.625</v>
      </c>
      <c r="AK21" s="57">
        <f>VLOOKUP(C21,[1]两年对比终版!$A:$C,3,0)</f>
        <v>94</v>
      </c>
      <c r="AL21" s="57">
        <f t="shared" si="0"/>
        <v>-69</v>
      </c>
      <c r="AM21" s="29">
        <f t="shared" si="5"/>
        <v>-0.73404255319148937</v>
      </c>
      <c r="AN21" s="54">
        <f>VLOOKUP(C21,'[2]5月汇总'!$C:$AA,25,0)</f>
        <v>140</v>
      </c>
      <c r="AO21" s="55">
        <f t="shared" si="26"/>
        <v>180.6814</v>
      </c>
      <c r="AP21" s="56">
        <f t="shared" si="27"/>
        <v>0.90340699999999996</v>
      </c>
      <c r="AQ21" s="59">
        <f>VLOOKUP(C21,[1]两年对比终版!$A:$W,6,0)</f>
        <v>1146.336677</v>
      </c>
      <c r="AR21" s="29">
        <f t="shared" si="8"/>
        <v>-0.8423836525296835</v>
      </c>
      <c r="AS21" s="54">
        <f>VLOOKUP(C21,'[2]5月汇总'!$C:$AE,26,0)</f>
        <v>0</v>
      </c>
      <c r="AT21" s="55">
        <f t="shared" si="28"/>
        <v>0</v>
      </c>
      <c r="AU21" s="56">
        <f t="shared" si="29"/>
        <v>0</v>
      </c>
      <c r="AV21" s="60">
        <f>VLOOKUP(C21,[1]两年对比终版!$A:$N,14,0)</f>
        <v>0</v>
      </c>
      <c r="AW21" s="55">
        <f t="shared" si="11"/>
        <v>0</v>
      </c>
      <c r="AX21" s="45" t="e">
        <f t="shared" si="12"/>
        <v>#DIV/0!</v>
      </c>
      <c r="AY21" s="55">
        <f>VLOOKUP(C21,'[2]5月汇总'!$C:$AE,27,0)</f>
        <v>0</v>
      </c>
      <c r="AZ21" s="55">
        <f t="shared" si="30"/>
        <v>0</v>
      </c>
      <c r="BA21" s="62">
        <f t="shared" si="31"/>
        <v>0</v>
      </c>
      <c r="BB21" s="55">
        <f>VLOOKUP(C21,[1]两年对比终版!$A:$W,17,0)</f>
        <v>0</v>
      </c>
      <c r="BC21" s="61">
        <f t="shared" si="15"/>
        <v>0</v>
      </c>
      <c r="BD21" s="45" t="e">
        <f t="shared" si="16"/>
        <v>#DIV/0!</v>
      </c>
      <c r="BE21" s="55">
        <f>VLOOKUP(C21,'[2]5月汇总'!$C:$AE,28,0)</f>
        <v>0</v>
      </c>
      <c r="BF21" s="55">
        <f t="shared" si="32"/>
        <v>0</v>
      </c>
      <c r="BG21" s="62">
        <f t="shared" si="33"/>
        <v>0</v>
      </c>
      <c r="BH21" s="55">
        <f>VLOOKUP(C21,[1]两年对比终版!$A:$T,20,0)</f>
        <v>0</v>
      </c>
      <c r="BI21" s="45" t="e">
        <f t="shared" si="19"/>
        <v>#DIV/0!</v>
      </c>
      <c r="BJ21" s="55">
        <f>VLOOKUP(C21,'[2]5月汇总'!$C:$AE,29,0)</f>
        <v>0</v>
      </c>
      <c r="BK21" s="55">
        <f t="shared" si="20"/>
        <v>0</v>
      </c>
      <c r="BL21" s="62">
        <f t="shared" si="21"/>
        <v>0</v>
      </c>
      <c r="BM21" s="55">
        <f>VLOOKUP(C21,[1]两年对比终版!$A:$W,23,0)</f>
        <v>0</v>
      </c>
      <c r="BN21" s="45" t="e">
        <f t="shared" si="1"/>
        <v>#DIV/0!</v>
      </c>
    </row>
    <row r="22" spans="1:66">
      <c r="A22" s="52">
        <v>17</v>
      </c>
      <c r="B22" s="52" t="s">
        <v>31</v>
      </c>
      <c r="C22" s="52" t="s">
        <v>46</v>
      </c>
      <c r="D22" s="53">
        <v>109</v>
      </c>
      <c r="E22" s="53">
        <v>48</v>
      </c>
      <c r="F22" s="44">
        <v>0.44036697247706402</v>
      </c>
      <c r="G22" s="53">
        <v>43</v>
      </c>
      <c r="H22" s="29">
        <v>0.104166666666667</v>
      </c>
      <c r="I22" s="53">
        <v>900</v>
      </c>
      <c r="J22" s="53">
        <v>794.92600000000004</v>
      </c>
      <c r="K22" s="44">
        <v>0.88325111111111099</v>
      </c>
      <c r="L22" s="53">
        <v>919.84</v>
      </c>
      <c r="M22" s="29">
        <v>-0.15713915509116599</v>
      </c>
      <c r="N22" s="53">
        <v>61</v>
      </c>
      <c r="O22" s="53">
        <v>14</v>
      </c>
      <c r="P22" s="44">
        <v>0.22950819672131201</v>
      </c>
      <c r="Q22" s="53">
        <v>12</v>
      </c>
      <c r="R22" s="29">
        <v>0.14285714285714299</v>
      </c>
      <c r="S22" s="53">
        <v>521</v>
      </c>
      <c r="T22" s="53">
        <v>209.61799999999999</v>
      </c>
      <c r="U22" s="44">
        <v>0.40233781190019202</v>
      </c>
      <c r="V22" s="53">
        <v>82.924999999999997</v>
      </c>
      <c r="W22" s="29">
        <v>0.60439943134654495</v>
      </c>
      <c r="X22" s="53">
        <v>61</v>
      </c>
      <c r="Y22" s="53">
        <v>6</v>
      </c>
      <c r="Z22" s="44">
        <v>9.8360655737704902E-2</v>
      </c>
      <c r="AA22" s="53">
        <v>7</v>
      </c>
      <c r="AB22" s="29">
        <v>-0.16666666666666699</v>
      </c>
      <c r="AC22" s="53">
        <v>521</v>
      </c>
      <c r="AD22" s="53">
        <v>56.597000000000001</v>
      </c>
      <c r="AE22" s="44">
        <v>0.108631477927063</v>
      </c>
      <c r="AF22" s="53">
        <v>83.85</v>
      </c>
      <c r="AG22" s="29">
        <f t="shared" si="2"/>
        <v>-0.32502087060226587</v>
      </c>
      <c r="AH22" s="54">
        <f>VLOOKUP(C22,'[2]5月汇总'!$C:$AE,24,0)</f>
        <v>112</v>
      </c>
      <c r="AI22" s="55">
        <f t="shared" si="24"/>
        <v>160</v>
      </c>
      <c r="AJ22" s="56">
        <f t="shared" si="25"/>
        <v>1.4678899082568808</v>
      </c>
      <c r="AK22" s="57">
        <f>VLOOKUP(C22,[1]两年对比终版!$A:$C,3,0)</f>
        <v>66</v>
      </c>
      <c r="AL22" s="57">
        <f t="shared" si="0"/>
        <v>94</v>
      </c>
      <c r="AM22" s="29">
        <f t="shared" si="5"/>
        <v>1.4242424242424243</v>
      </c>
      <c r="AN22" s="54">
        <f>VLOOKUP(C22,'[2]5月汇总'!$C:$AA,25,0)</f>
        <v>1109.1199999999999</v>
      </c>
      <c r="AO22" s="55">
        <f t="shared" si="26"/>
        <v>1904.0459999999998</v>
      </c>
      <c r="AP22" s="56">
        <f t="shared" si="27"/>
        <v>2.1156066666666664</v>
      </c>
      <c r="AQ22" s="59">
        <f>VLOOKUP(C22,[1]两年对比终版!$A:$W,6,0)</f>
        <v>1463.75</v>
      </c>
      <c r="AR22" s="29">
        <f t="shared" si="8"/>
        <v>0.3007999999999999</v>
      </c>
      <c r="AS22" s="54">
        <f>VLOOKUP(C22,'[2]5月汇总'!$C:$AE,26,0)</f>
        <v>26</v>
      </c>
      <c r="AT22" s="55">
        <f t="shared" si="28"/>
        <v>40</v>
      </c>
      <c r="AU22" s="56">
        <f t="shared" si="29"/>
        <v>0.65573770491803274</v>
      </c>
      <c r="AV22" s="60">
        <f>VLOOKUP(C22,[1]两年对比终版!$A:$N,14,0)</f>
        <v>16</v>
      </c>
      <c r="AW22" s="55">
        <f t="shared" si="11"/>
        <v>24</v>
      </c>
      <c r="AX22" s="45">
        <f t="shared" si="12"/>
        <v>1.5</v>
      </c>
      <c r="AY22" s="55">
        <f>VLOOKUP(C22,'[2]5月汇总'!$C:$AE,27,0)</f>
        <v>722.73</v>
      </c>
      <c r="AZ22" s="55">
        <f t="shared" si="30"/>
        <v>932.34799999999996</v>
      </c>
      <c r="BA22" s="62">
        <f t="shared" si="31"/>
        <v>1.789535508637236</v>
      </c>
      <c r="BB22" s="55">
        <f>VLOOKUP(C22,[1]两年对比终版!$A:$W,17,0)</f>
        <v>132.08500000000001</v>
      </c>
      <c r="BC22" s="61">
        <f t="shared" si="15"/>
        <v>800.26299999999992</v>
      </c>
      <c r="BD22" s="45">
        <f t="shared" si="16"/>
        <v>6.0586970511413094</v>
      </c>
      <c r="BE22" s="55">
        <f>VLOOKUP(C22,'[2]5月汇总'!$C:$AE,28,0)</f>
        <v>14</v>
      </c>
      <c r="BF22" s="55">
        <f t="shared" si="32"/>
        <v>20</v>
      </c>
      <c r="BG22" s="62">
        <f t="shared" si="33"/>
        <v>0.32786885245901637</v>
      </c>
      <c r="BH22" s="55">
        <f>VLOOKUP(C22,[1]两年对比终版!$A:$T,20,0)</f>
        <v>17</v>
      </c>
      <c r="BI22" s="45">
        <f t="shared" si="19"/>
        <v>0.17647058823529413</v>
      </c>
      <c r="BJ22" s="55">
        <f>VLOOKUP(C22,'[2]5月汇总'!$C:$AE,29,0)</f>
        <v>463.24</v>
      </c>
      <c r="BK22" s="55">
        <f t="shared" si="20"/>
        <v>519.83699999999999</v>
      </c>
      <c r="BL22" s="62">
        <f t="shared" si="21"/>
        <v>0.99776775431861797</v>
      </c>
      <c r="BM22" s="55">
        <f>VLOOKUP(C22,[1]两年对比终版!$A:$W,23,0)</f>
        <v>140.47499999999999</v>
      </c>
      <c r="BN22" s="45">
        <f t="shared" si="1"/>
        <v>2.7005659369994661</v>
      </c>
    </row>
    <row r="23" spans="1:66">
      <c r="A23" s="52">
        <v>18</v>
      </c>
      <c r="B23" s="52" t="s">
        <v>39</v>
      </c>
      <c r="C23" s="52" t="s">
        <v>47</v>
      </c>
      <c r="D23" s="53">
        <v>36</v>
      </c>
      <c r="E23" s="53">
        <v>23</v>
      </c>
      <c r="F23" s="44">
        <v>0.63888888888888895</v>
      </c>
      <c r="G23" s="53">
        <v>15</v>
      </c>
      <c r="H23" s="29">
        <v>0.34782608695652201</v>
      </c>
      <c r="I23" s="53">
        <v>630</v>
      </c>
      <c r="J23" s="53">
        <v>266.22000000000003</v>
      </c>
      <c r="K23" s="44">
        <v>0.42257142857142899</v>
      </c>
      <c r="L23" s="53">
        <v>194.69801200000001</v>
      </c>
      <c r="M23" s="29">
        <v>0.26865745623920101</v>
      </c>
      <c r="N23" s="53">
        <v>17</v>
      </c>
      <c r="O23" s="53">
        <v>2</v>
      </c>
      <c r="P23" s="44">
        <v>0.11764705882352899</v>
      </c>
      <c r="Q23" s="53">
        <v>5</v>
      </c>
      <c r="R23" s="29">
        <v>-1.5</v>
      </c>
      <c r="S23" s="53">
        <v>264.16300000000001</v>
      </c>
      <c r="T23" s="53">
        <v>20.389099999999999</v>
      </c>
      <c r="U23" s="44">
        <v>7.71837842544187E-2</v>
      </c>
      <c r="V23" s="53">
        <v>67.535636999999994</v>
      </c>
      <c r="W23" s="29">
        <v>-2.3123402700462501</v>
      </c>
      <c r="X23" s="53">
        <v>17</v>
      </c>
      <c r="Y23" s="53">
        <v>2</v>
      </c>
      <c r="Z23" s="44">
        <v>0.11764705882352899</v>
      </c>
      <c r="AA23" s="53">
        <v>7</v>
      </c>
      <c r="AB23" s="29">
        <v>-2.5</v>
      </c>
      <c r="AC23" s="53">
        <v>264.16300000000001</v>
      </c>
      <c r="AD23" s="53">
        <v>22.29</v>
      </c>
      <c r="AE23" s="44">
        <v>8.4379720097061295E-2</v>
      </c>
      <c r="AF23" s="53">
        <v>79.339117000000002</v>
      </c>
      <c r="AG23" s="29">
        <f t="shared" si="2"/>
        <v>-0.71905409534618336</v>
      </c>
      <c r="AH23" s="54">
        <f>VLOOKUP(C23,'[2]5月汇总'!$C:$AE,24,0)</f>
        <v>8</v>
      </c>
      <c r="AI23" s="55">
        <f t="shared" si="24"/>
        <v>31</v>
      </c>
      <c r="AJ23" s="56">
        <f t="shared" si="25"/>
        <v>0.86111111111111116</v>
      </c>
      <c r="AK23" s="57">
        <f>VLOOKUP(C23,[1]两年对比终版!$A:$C,3,0)</f>
        <v>37</v>
      </c>
      <c r="AL23" s="57">
        <f t="shared" si="0"/>
        <v>-6</v>
      </c>
      <c r="AM23" s="29">
        <f t="shared" si="5"/>
        <v>-0.16216216216216217</v>
      </c>
      <c r="AN23" s="54">
        <f>VLOOKUP(C23,'[2]5月汇总'!$C:$AA,25,0)</f>
        <v>130</v>
      </c>
      <c r="AO23" s="55">
        <f t="shared" si="26"/>
        <v>396.22</v>
      </c>
      <c r="AP23" s="56">
        <f t="shared" si="27"/>
        <v>0.62892063492063499</v>
      </c>
      <c r="AQ23" s="59">
        <f>VLOOKUP(C23,[1]两年对比终版!$A:$W,6,0)</f>
        <v>543.86292400000002</v>
      </c>
      <c r="AR23" s="29">
        <f t="shared" si="8"/>
        <v>-0.27147083848650067</v>
      </c>
      <c r="AS23" s="54">
        <f>VLOOKUP(C23,'[2]5月汇总'!$C:$AE,26,0)</f>
        <v>7</v>
      </c>
      <c r="AT23" s="55">
        <f t="shared" si="28"/>
        <v>9</v>
      </c>
      <c r="AU23" s="56">
        <f t="shared" si="29"/>
        <v>0.52941176470588236</v>
      </c>
      <c r="AV23" s="60">
        <f>VLOOKUP(C23,[1]两年对比终版!$A:$N,14,0)</f>
        <v>7</v>
      </c>
      <c r="AW23" s="55">
        <f t="shared" si="11"/>
        <v>2</v>
      </c>
      <c r="AX23" s="45">
        <f t="shared" si="12"/>
        <v>0.2857142857142857</v>
      </c>
      <c r="AY23" s="55">
        <f>VLOOKUP(C23,'[2]5月汇总'!$C:$AE,27,0)</f>
        <v>80.5</v>
      </c>
      <c r="AZ23" s="55">
        <f t="shared" si="30"/>
        <v>100.8891</v>
      </c>
      <c r="BA23" s="62">
        <f t="shared" si="31"/>
        <v>0.38191987522855203</v>
      </c>
      <c r="BB23" s="55">
        <f>VLOOKUP(C23,[1]两年对比终版!$A:$W,17,0)</f>
        <v>96.411316999999997</v>
      </c>
      <c r="BC23" s="61">
        <f t="shared" si="15"/>
        <v>4.4777830000000023</v>
      </c>
      <c r="BD23" s="45">
        <f t="shared" si="16"/>
        <v>4.6444578700237049E-2</v>
      </c>
      <c r="BE23" s="55">
        <f>VLOOKUP(C23,'[2]5月汇总'!$C:$AE,28,0)</f>
        <v>7</v>
      </c>
      <c r="BF23" s="55">
        <f t="shared" si="32"/>
        <v>9</v>
      </c>
      <c r="BG23" s="62">
        <f t="shared" si="33"/>
        <v>0.52941176470588236</v>
      </c>
      <c r="BH23" s="55">
        <f>VLOOKUP(C23,[1]两年对比终版!$A:$T,20,0)</f>
        <v>16</v>
      </c>
      <c r="BI23" s="45">
        <f t="shared" si="19"/>
        <v>-0.4375</v>
      </c>
      <c r="BJ23" s="55">
        <f>VLOOKUP(C23,'[2]5月汇总'!$C:$AE,29,0)</f>
        <v>71.5</v>
      </c>
      <c r="BK23" s="55">
        <f t="shared" si="20"/>
        <v>93.789999999999992</v>
      </c>
      <c r="BL23" s="62">
        <f t="shared" si="21"/>
        <v>0.35504593754613623</v>
      </c>
      <c r="BM23" s="55">
        <f>VLOOKUP(C23,[1]两年对比终版!$A:$W,23,0)</f>
        <v>3354.1559590000002</v>
      </c>
      <c r="BN23" s="45">
        <f t="shared" si="1"/>
        <v>-0.97203767470968694</v>
      </c>
    </row>
    <row r="24" spans="1:66">
      <c r="A24" s="52">
        <v>19</v>
      </c>
      <c r="B24" s="52" t="s">
        <v>39</v>
      </c>
      <c r="C24" s="52" t="s">
        <v>48</v>
      </c>
      <c r="D24" s="53">
        <v>20</v>
      </c>
      <c r="E24" s="53">
        <v>8</v>
      </c>
      <c r="F24" s="44">
        <v>0.4</v>
      </c>
      <c r="G24" s="53">
        <v>0</v>
      </c>
      <c r="H24" s="29">
        <v>1</v>
      </c>
      <c r="I24" s="53">
        <v>200</v>
      </c>
      <c r="J24" s="53">
        <v>50.38</v>
      </c>
      <c r="K24" s="44">
        <v>0.25190000000000001</v>
      </c>
      <c r="L24" s="53">
        <v>0</v>
      </c>
      <c r="M24" s="29">
        <v>1</v>
      </c>
      <c r="N24" s="53">
        <v>15</v>
      </c>
      <c r="O24" s="53">
        <v>0</v>
      </c>
      <c r="P24" s="44">
        <v>0</v>
      </c>
      <c r="Q24" s="53">
        <v>0</v>
      </c>
      <c r="R24" s="29" t="e">
        <v>#DIV/0!</v>
      </c>
      <c r="S24" s="53">
        <v>200</v>
      </c>
      <c r="T24" s="53">
        <v>0</v>
      </c>
      <c r="U24" s="44">
        <v>0</v>
      </c>
      <c r="V24" s="53">
        <v>0</v>
      </c>
      <c r="W24" s="29" t="e">
        <v>#DIV/0!</v>
      </c>
      <c r="X24" s="53">
        <v>15</v>
      </c>
      <c r="Y24" s="53">
        <v>0</v>
      </c>
      <c r="Z24" s="44">
        <v>0</v>
      </c>
      <c r="AA24" s="53">
        <v>0</v>
      </c>
      <c r="AB24" s="29" t="e">
        <v>#DIV/0!</v>
      </c>
      <c r="AC24" s="53">
        <v>200</v>
      </c>
      <c r="AD24" s="53">
        <v>0</v>
      </c>
      <c r="AE24" s="44">
        <v>0</v>
      </c>
      <c r="AF24" s="53">
        <v>0</v>
      </c>
      <c r="AG24" s="29" t="e">
        <f t="shared" si="2"/>
        <v>#DIV/0!</v>
      </c>
      <c r="AH24" s="54">
        <f>VLOOKUP(C24,'[2]5月汇总'!$C:$AE,24,0)</f>
        <v>0</v>
      </c>
      <c r="AI24" s="55">
        <f t="shared" si="24"/>
        <v>8</v>
      </c>
      <c r="AJ24" s="56">
        <f t="shared" si="25"/>
        <v>0.4</v>
      </c>
      <c r="AK24" s="57">
        <f>VLOOKUP(C24,[1]两年对比终版!$A:$C,3,0)</f>
        <v>0</v>
      </c>
      <c r="AL24" s="57">
        <f t="shared" si="0"/>
        <v>8</v>
      </c>
      <c r="AM24" s="29" t="e">
        <f t="shared" si="5"/>
        <v>#DIV/0!</v>
      </c>
      <c r="AN24" s="54">
        <f>VLOOKUP(C24,'[2]5月汇总'!$C:$AA,25,0)</f>
        <v>0</v>
      </c>
      <c r="AO24" s="55">
        <f t="shared" si="26"/>
        <v>50.38</v>
      </c>
      <c r="AP24" s="56">
        <f t="shared" si="27"/>
        <v>0.25190000000000001</v>
      </c>
      <c r="AQ24" s="59">
        <f>VLOOKUP(C24,[1]两年对比终版!$A:$W,6,0)</f>
        <v>0</v>
      </c>
      <c r="AR24" s="29"/>
      <c r="AS24" s="54">
        <f>VLOOKUP(C24,'[2]5月汇总'!$C:$AE,26,0)</f>
        <v>0</v>
      </c>
      <c r="AT24" s="55">
        <f t="shared" si="28"/>
        <v>0</v>
      </c>
      <c r="AU24" s="56">
        <f t="shared" si="29"/>
        <v>0</v>
      </c>
      <c r="AV24" s="60">
        <f>VLOOKUP(C24,[1]两年对比终版!$A:$N,14,0)</f>
        <v>0</v>
      </c>
      <c r="AW24" s="55">
        <f t="shared" si="11"/>
        <v>0</v>
      </c>
      <c r="AX24" s="45" t="e">
        <f t="shared" si="12"/>
        <v>#DIV/0!</v>
      </c>
      <c r="AY24" s="55">
        <f>VLOOKUP(C24,'[2]5月汇总'!$C:$AE,27,0)</f>
        <v>0</v>
      </c>
      <c r="AZ24" s="55">
        <f t="shared" si="30"/>
        <v>0</v>
      </c>
      <c r="BA24" s="62">
        <f t="shared" si="31"/>
        <v>0</v>
      </c>
      <c r="BB24" s="55">
        <f>VLOOKUP(C24,[1]两年对比终版!$A:$W,17,0)</f>
        <v>0</v>
      </c>
      <c r="BC24" s="61">
        <f t="shared" si="15"/>
        <v>0</v>
      </c>
      <c r="BD24" s="45" t="e">
        <f t="shared" si="16"/>
        <v>#DIV/0!</v>
      </c>
      <c r="BE24" s="55">
        <f>VLOOKUP(C24,'[2]5月汇总'!$C:$AE,28,0)</f>
        <v>0</v>
      </c>
      <c r="BF24" s="55">
        <f t="shared" si="32"/>
        <v>0</v>
      </c>
      <c r="BG24" s="62">
        <f t="shared" si="33"/>
        <v>0</v>
      </c>
      <c r="BH24" s="55">
        <f>VLOOKUP(C24,[1]两年对比终版!$A:$T,20,0)</f>
        <v>0</v>
      </c>
      <c r="BI24" s="45" t="e">
        <f t="shared" si="19"/>
        <v>#DIV/0!</v>
      </c>
      <c r="BJ24" s="55">
        <f>VLOOKUP(C24,'[2]5月汇总'!$C:$AE,29,0)</f>
        <v>0</v>
      </c>
      <c r="BK24" s="55">
        <f t="shared" si="20"/>
        <v>0</v>
      </c>
      <c r="BL24" s="62">
        <f t="shared" si="21"/>
        <v>0</v>
      </c>
      <c r="BM24" s="55">
        <f>VLOOKUP(C24,[1]两年对比终版!$A:$W,23,0)</f>
        <v>0</v>
      </c>
      <c r="BN24" s="45" t="e">
        <f t="shared" si="1"/>
        <v>#DIV/0!</v>
      </c>
    </row>
    <row r="25" spans="1:66" s="77" customFormat="1">
      <c r="A25" s="78" t="s">
        <v>49</v>
      </c>
      <c r="B25" s="79"/>
      <c r="C25" s="79"/>
      <c r="D25" s="68">
        <v>1328</v>
      </c>
      <c r="E25" s="68">
        <v>438</v>
      </c>
      <c r="F25" s="69">
        <v>0.32981927710843401</v>
      </c>
      <c r="G25" s="68">
        <v>1676</v>
      </c>
      <c r="H25" s="70">
        <v>-2.8264840182648401</v>
      </c>
      <c r="I25" s="68">
        <v>31010</v>
      </c>
      <c r="J25" s="68">
        <v>8328.6704000000009</v>
      </c>
      <c r="K25" s="69">
        <v>0.26858014833924498</v>
      </c>
      <c r="L25" s="68">
        <v>29715.329128000001</v>
      </c>
      <c r="M25" s="70">
        <v>-2.5678358850651599</v>
      </c>
      <c r="N25" s="68">
        <v>583</v>
      </c>
      <c r="O25" s="68">
        <v>158</v>
      </c>
      <c r="P25" s="69">
        <v>0.27101200686106403</v>
      </c>
      <c r="Q25" s="68">
        <v>667</v>
      </c>
      <c r="R25" s="70">
        <v>-3.2215189873417698</v>
      </c>
      <c r="S25" s="68">
        <v>12602.325999999999</v>
      </c>
      <c r="T25" s="68">
        <v>5836.2923000000001</v>
      </c>
      <c r="U25" s="69">
        <v>0.46311230958475402</v>
      </c>
      <c r="V25" s="68">
        <v>13072.680480000001</v>
      </c>
      <c r="W25" s="70">
        <v>-1.2398947496169801</v>
      </c>
      <c r="X25" s="68">
        <v>583</v>
      </c>
      <c r="Y25" s="68">
        <v>169</v>
      </c>
      <c r="Z25" s="69">
        <v>0.28987993138936502</v>
      </c>
      <c r="AA25" s="68">
        <v>346</v>
      </c>
      <c r="AB25" s="70">
        <v>-1.04733727810651</v>
      </c>
      <c r="AC25" s="68">
        <v>12602.325999999999</v>
      </c>
      <c r="AD25" s="68">
        <v>5913.7691999999997</v>
      </c>
      <c r="AE25" s="69">
        <v>0.469260134994127</v>
      </c>
      <c r="AF25" s="68">
        <v>6248.6128669999998</v>
      </c>
      <c r="AG25" s="70">
        <f t="shared" si="2"/>
        <v>-5.3586879860707509E-2</v>
      </c>
      <c r="AH25" s="68">
        <f>SUM(AH16:AH24)</f>
        <v>328</v>
      </c>
      <c r="AI25" s="71">
        <f t="shared" si="24"/>
        <v>766</v>
      </c>
      <c r="AJ25" s="41">
        <f t="shared" si="25"/>
        <v>0.57680722891566261</v>
      </c>
      <c r="AK25" s="68">
        <f>SUM(AK16:AK24)</f>
        <v>740</v>
      </c>
      <c r="AL25" s="73">
        <f t="shared" si="0"/>
        <v>26</v>
      </c>
      <c r="AM25" s="70">
        <f t="shared" si="5"/>
        <v>3.5135135135135137E-2</v>
      </c>
      <c r="AN25" s="68">
        <f>SUM(AN16:AN24)</f>
        <v>5401.92</v>
      </c>
      <c r="AO25" s="71">
        <f t="shared" si="26"/>
        <v>13730.590400000001</v>
      </c>
      <c r="AP25" s="41">
        <f t="shared" si="27"/>
        <v>0.44277943889068044</v>
      </c>
      <c r="AQ25" s="68">
        <f>SUM(AQ16:AQ24)</f>
        <v>14019.692212999998</v>
      </c>
      <c r="AR25" s="70">
        <f t="shared" si="8"/>
        <v>-2.0621124102276862E-2</v>
      </c>
      <c r="AS25" s="68">
        <f>SUM(AS16:AS24)</f>
        <v>110</v>
      </c>
      <c r="AT25" s="71">
        <f t="shared" si="28"/>
        <v>268</v>
      </c>
      <c r="AU25" s="41">
        <f t="shared" si="29"/>
        <v>0.45969125214408235</v>
      </c>
      <c r="AV25" s="68">
        <f t="shared" ref="AV25:BB25" si="34">SUM(AV16:AV24)</f>
        <v>233</v>
      </c>
      <c r="AW25" s="71">
        <f t="shared" si="11"/>
        <v>35</v>
      </c>
      <c r="AX25" s="74">
        <f t="shared" si="12"/>
        <v>0.15021459227467812</v>
      </c>
      <c r="AY25" s="71">
        <f t="shared" si="34"/>
        <v>2423.31</v>
      </c>
      <c r="AZ25" s="71">
        <f t="shared" si="30"/>
        <v>8259.6023000000005</v>
      </c>
      <c r="BA25" s="75">
        <f t="shared" si="31"/>
        <v>0.65540300258856987</v>
      </c>
      <c r="BB25" s="71">
        <f t="shared" si="34"/>
        <v>6173.1519049999997</v>
      </c>
      <c r="BC25" s="76">
        <f t="shared" si="15"/>
        <v>2086.4503950000008</v>
      </c>
      <c r="BD25" s="74">
        <f t="shared" si="16"/>
        <v>0.33798785889426464</v>
      </c>
      <c r="BE25" s="71">
        <f>SUM(BE16:BE24)</f>
        <v>100</v>
      </c>
      <c r="BF25" s="71">
        <f t="shared" si="32"/>
        <v>269</v>
      </c>
      <c r="BG25" s="75">
        <f t="shared" si="33"/>
        <v>0.46140651801029159</v>
      </c>
      <c r="BH25" s="71">
        <f t="shared" ref="BH25:BM25" si="35">SUM(BH16:BH24)</f>
        <v>94</v>
      </c>
      <c r="BI25" s="74">
        <f t="shared" si="19"/>
        <v>1.8617021276595744</v>
      </c>
      <c r="BJ25" s="71">
        <f t="shared" si="35"/>
        <v>2310.56</v>
      </c>
      <c r="BK25" s="71">
        <f t="shared" si="20"/>
        <v>8224.3292000000001</v>
      </c>
      <c r="BL25" s="75">
        <f t="shared" si="21"/>
        <v>0.65260406690003103</v>
      </c>
      <c r="BM25" s="71">
        <f t="shared" si="35"/>
        <v>4729.5699549999999</v>
      </c>
      <c r="BN25" s="74">
        <f t="shared" si="1"/>
        <v>0.73891691596725739</v>
      </c>
    </row>
    <row r="26" spans="1:66">
      <c r="A26" s="52">
        <v>20</v>
      </c>
      <c r="B26" s="52" t="s">
        <v>34</v>
      </c>
      <c r="C26" s="52" t="s">
        <v>50</v>
      </c>
      <c r="D26" s="53">
        <v>235</v>
      </c>
      <c r="E26" s="53">
        <v>64</v>
      </c>
      <c r="F26" s="44">
        <v>0.27234042553191501</v>
      </c>
      <c r="G26" s="53">
        <v>42</v>
      </c>
      <c r="H26" s="29">
        <v>0.34375</v>
      </c>
      <c r="I26" s="53">
        <v>1673.35</v>
      </c>
      <c r="J26" s="53">
        <v>437.63200000000001</v>
      </c>
      <c r="K26" s="44">
        <v>0.261530462843996</v>
      </c>
      <c r="L26" s="53">
        <v>319.10661399999998</v>
      </c>
      <c r="M26" s="29">
        <v>0.27083345367797601</v>
      </c>
      <c r="N26" s="53">
        <v>63</v>
      </c>
      <c r="O26" s="53">
        <v>12</v>
      </c>
      <c r="P26" s="44">
        <v>0.19047619047618999</v>
      </c>
      <c r="Q26" s="53">
        <v>14</v>
      </c>
      <c r="R26" s="29">
        <v>-0.16666666666666699</v>
      </c>
      <c r="S26" s="53">
        <v>683</v>
      </c>
      <c r="T26" s="53">
        <v>65.700999999999993</v>
      </c>
      <c r="U26" s="44">
        <v>9.6194729136164003E-2</v>
      </c>
      <c r="V26" s="53">
        <v>117.34529000000001</v>
      </c>
      <c r="W26" s="29">
        <v>-0.78605028842787805</v>
      </c>
      <c r="X26" s="53">
        <v>63</v>
      </c>
      <c r="Y26" s="53">
        <v>10</v>
      </c>
      <c r="Z26" s="44">
        <v>0.158730158730159</v>
      </c>
      <c r="AA26" s="53">
        <v>24</v>
      </c>
      <c r="AB26" s="29">
        <v>-1.4</v>
      </c>
      <c r="AC26" s="53">
        <v>683</v>
      </c>
      <c r="AD26" s="53">
        <v>55.8172</v>
      </c>
      <c r="AE26" s="44">
        <v>8.1723572474377698E-2</v>
      </c>
      <c r="AF26" s="53">
        <v>196.15974499999999</v>
      </c>
      <c r="AG26" s="29">
        <f t="shared" si="2"/>
        <v>-0.71545028262552024</v>
      </c>
      <c r="AH26" s="54">
        <f>VLOOKUP(C26,'[2]5月汇总'!$C:$AE,24,0)</f>
        <v>30</v>
      </c>
      <c r="AI26" s="55">
        <f t="shared" si="24"/>
        <v>94</v>
      </c>
      <c r="AJ26" s="56">
        <f t="shared" si="25"/>
        <v>0.4</v>
      </c>
      <c r="AK26" s="57">
        <f>VLOOKUP(C26,[1]两年对比终版!$A:$C,3,0)</f>
        <v>52</v>
      </c>
      <c r="AL26" s="57">
        <f t="shared" si="0"/>
        <v>42</v>
      </c>
      <c r="AM26" s="29">
        <f t="shared" si="5"/>
        <v>0.80769230769230771</v>
      </c>
      <c r="AN26" s="54">
        <f>VLOOKUP(C26,'[2]5月汇总'!$C:$AA,25,0)</f>
        <v>150</v>
      </c>
      <c r="AO26" s="55">
        <f t="shared" si="26"/>
        <v>587.63200000000006</v>
      </c>
      <c r="AP26" s="56">
        <f t="shared" si="27"/>
        <v>0.35117100427286585</v>
      </c>
      <c r="AQ26" s="59">
        <f>VLOOKUP(C26,[1]两年对比终版!$A:$W,6,0)</f>
        <v>393.58625000000001</v>
      </c>
      <c r="AR26" s="29">
        <f t="shared" si="8"/>
        <v>0.49301963673781807</v>
      </c>
      <c r="AS26" s="54">
        <f>VLOOKUP(C26,'[2]5月汇总'!$C:$AE,26,0)</f>
        <v>16</v>
      </c>
      <c r="AT26" s="55">
        <f t="shared" si="28"/>
        <v>28</v>
      </c>
      <c r="AU26" s="56">
        <f t="shared" si="29"/>
        <v>0.44444444444444442</v>
      </c>
      <c r="AV26" s="60">
        <f>VLOOKUP(C26,[1]两年对比终版!$A:$N,14,0)</f>
        <v>22</v>
      </c>
      <c r="AW26" s="55">
        <f t="shared" si="11"/>
        <v>6</v>
      </c>
      <c r="AX26" s="45">
        <f t="shared" si="12"/>
        <v>0.27272727272727271</v>
      </c>
      <c r="AY26" s="55">
        <f>VLOOKUP(C26,'[2]5月汇总'!$C:$AE,27,0)</f>
        <v>80</v>
      </c>
      <c r="AZ26" s="55">
        <f t="shared" si="30"/>
        <v>145.70099999999999</v>
      </c>
      <c r="BA26" s="62">
        <f t="shared" si="31"/>
        <v>0.21332503660322108</v>
      </c>
      <c r="BB26" s="55">
        <f>VLOOKUP(C26,[1]两年对比终版!$A:$W,17,0)</f>
        <v>178.457292</v>
      </c>
      <c r="BC26" s="61">
        <f t="shared" si="15"/>
        <v>-32.756292000000002</v>
      </c>
      <c r="BD26" s="45">
        <f t="shared" si="16"/>
        <v>-0.1835525555324464</v>
      </c>
      <c r="BE26" s="55">
        <f>VLOOKUP(C26,'[2]5月汇总'!$C:$AE,28,0)</f>
        <v>8</v>
      </c>
      <c r="BF26" s="55">
        <f t="shared" si="32"/>
        <v>18</v>
      </c>
      <c r="BG26" s="62">
        <f t="shared" si="33"/>
        <v>0.2857142857142857</v>
      </c>
      <c r="BH26" s="55">
        <f>VLOOKUP(C26,[1]两年对比终版!$A:$T,20,0)</f>
        <v>29</v>
      </c>
      <c r="BI26" s="45">
        <f t="shared" si="19"/>
        <v>-0.37931034482758619</v>
      </c>
      <c r="BJ26" s="55">
        <f>VLOOKUP(C26,'[2]5月汇总'!$C:$AE,29,0)</f>
        <v>57.237000000000002</v>
      </c>
      <c r="BK26" s="55">
        <f t="shared" si="20"/>
        <v>113.05420000000001</v>
      </c>
      <c r="BL26" s="62">
        <f t="shared" si="21"/>
        <v>0.16552591508052711</v>
      </c>
      <c r="BM26" s="55">
        <f>VLOOKUP(C26,[1]两年对比终版!$A:$W,23,0)</f>
        <v>228.72333399999999</v>
      </c>
      <c r="BN26" s="45">
        <f t="shared" si="1"/>
        <v>-0.50571636910469309</v>
      </c>
    </row>
    <row r="27" spans="1:66">
      <c r="A27" s="52">
        <v>21</v>
      </c>
      <c r="B27" s="52" t="s">
        <v>31</v>
      </c>
      <c r="C27" s="52" t="s">
        <v>51</v>
      </c>
      <c r="D27" s="53">
        <v>66</v>
      </c>
      <c r="E27" s="53">
        <v>13</v>
      </c>
      <c r="F27" s="44">
        <v>0.19696969696969699</v>
      </c>
      <c r="G27" s="53">
        <v>13</v>
      </c>
      <c r="H27" s="29">
        <v>0</v>
      </c>
      <c r="I27" s="53">
        <v>930</v>
      </c>
      <c r="J27" s="53">
        <v>260.053</v>
      </c>
      <c r="K27" s="44">
        <v>0.27962688172042999</v>
      </c>
      <c r="L27" s="53">
        <v>386.93598800000001</v>
      </c>
      <c r="M27" s="29">
        <v>-0.48791203331628602</v>
      </c>
      <c r="N27" s="53">
        <v>27</v>
      </c>
      <c r="O27" s="53">
        <v>6</v>
      </c>
      <c r="P27" s="44">
        <v>0.22222222222222199</v>
      </c>
      <c r="Q27" s="53">
        <v>1</v>
      </c>
      <c r="R27" s="29">
        <v>0.83333333333333304</v>
      </c>
      <c r="S27" s="53">
        <v>396.245</v>
      </c>
      <c r="T27" s="53">
        <v>68.513599999999997</v>
      </c>
      <c r="U27" s="44">
        <v>0.17290716602102199</v>
      </c>
      <c r="V27" s="53">
        <v>19.059999999999999</v>
      </c>
      <c r="W27" s="29">
        <v>0.72180705728497696</v>
      </c>
      <c r="X27" s="53">
        <v>27</v>
      </c>
      <c r="Y27" s="53">
        <v>5</v>
      </c>
      <c r="Z27" s="44">
        <v>0.18518518518518501</v>
      </c>
      <c r="AA27" s="53">
        <v>0</v>
      </c>
      <c r="AB27" s="29">
        <v>1</v>
      </c>
      <c r="AC27" s="53">
        <v>396.245</v>
      </c>
      <c r="AD27" s="53">
        <v>78.485399999999998</v>
      </c>
      <c r="AE27" s="44">
        <v>0.19807290943734299</v>
      </c>
      <c r="AF27" s="53">
        <v>0</v>
      </c>
      <c r="AG27" s="29" t="e">
        <f t="shared" si="2"/>
        <v>#DIV/0!</v>
      </c>
      <c r="AH27" s="54">
        <f>VLOOKUP(C27,'[2]5月汇总'!$C:$AE,24,0)</f>
        <v>17</v>
      </c>
      <c r="AI27" s="55">
        <f t="shared" ref="AI27:AI38" si="36">AH27+E27</f>
        <v>30</v>
      </c>
      <c r="AJ27" s="56">
        <f t="shared" ref="AJ27:AJ38" si="37">AI27/D27</f>
        <v>0.45454545454545453</v>
      </c>
      <c r="AK27" s="57">
        <f>VLOOKUP(C27,[1]两年对比终版!$A:$C,3,0)</f>
        <v>23</v>
      </c>
      <c r="AL27" s="57">
        <f t="shared" si="0"/>
        <v>7</v>
      </c>
      <c r="AM27" s="29">
        <f t="shared" si="5"/>
        <v>0.30434782608695654</v>
      </c>
      <c r="AN27" s="54">
        <f>VLOOKUP(C27,'[2]5月汇总'!$C:$AA,25,0)</f>
        <v>166.6</v>
      </c>
      <c r="AO27" s="55">
        <f t="shared" ref="AO27:AO38" si="38">AN27+J27</f>
        <v>426.65300000000002</v>
      </c>
      <c r="AP27" s="56">
        <f t="shared" ref="AP27:AP38" si="39">AO27/I27</f>
        <v>0.45876666666666671</v>
      </c>
      <c r="AQ27" s="59">
        <f>VLOOKUP(C27,[1]两年对比终版!$A:$W,6,0)</f>
        <v>773.87896499999999</v>
      </c>
      <c r="AR27" s="29">
        <f t="shared" si="8"/>
        <v>-0.44868252104513523</v>
      </c>
      <c r="AS27" s="54">
        <f>VLOOKUP(C27,'[2]5月汇总'!$C:$AE,26,0)</f>
        <v>7</v>
      </c>
      <c r="AT27" s="55">
        <f t="shared" ref="AT27:AT38" si="40">AS27+O27</f>
        <v>13</v>
      </c>
      <c r="AU27" s="56">
        <f t="shared" ref="AU27:AU38" si="41">AT27/N27</f>
        <v>0.48148148148148145</v>
      </c>
      <c r="AV27" s="60">
        <f>VLOOKUP(C27,[1]两年对比终版!$A:$N,14,0)</f>
        <v>3</v>
      </c>
      <c r="AW27" s="55">
        <f t="shared" si="11"/>
        <v>10</v>
      </c>
      <c r="AX27" s="45">
        <f t="shared" si="12"/>
        <v>3.3333333333333335</v>
      </c>
      <c r="AY27" s="55">
        <f>VLOOKUP(C27,'[2]5月汇总'!$C:$AE,27,0)</f>
        <v>118.43600000000001</v>
      </c>
      <c r="AZ27" s="55">
        <f t="shared" ref="AZ27:AZ38" si="42">AY27+T27</f>
        <v>186.9496</v>
      </c>
      <c r="BA27" s="62">
        <f t="shared" ref="BA27:BA37" si="43">AZ27/S27</f>
        <v>0.47180305114260118</v>
      </c>
      <c r="BB27" s="55">
        <f>VLOOKUP(C27,[1]两年对比终版!$A:$W,17,0)</f>
        <v>44.012006999999997</v>
      </c>
      <c r="BC27" s="61">
        <f t="shared" si="15"/>
        <v>142.93759299999999</v>
      </c>
      <c r="BD27" s="45">
        <f t="shared" si="16"/>
        <v>3.2476954073010122</v>
      </c>
      <c r="BE27" s="55">
        <f>VLOOKUP(C27,'[2]5月汇总'!$C:$AE,28,0)</f>
        <v>11</v>
      </c>
      <c r="BF27" s="55">
        <f t="shared" ref="BF27:BF38" si="44">BE27+Y27</f>
        <v>16</v>
      </c>
      <c r="BG27" s="62">
        <f t="shared" ref="BG27:BG38" si="45">BF27/X27</f>
        <v>0.59259259259259256</v>
      </c>
      <c r="BH27" s="55">
        <f>VLOOKUP(C27,[1]两年对比终版!$A:$T,20,0)</f>
        <v>0</v>
      </c>
      <c r="BI27" s="45" t="e">
        <f t="shared" si="19"/>
        <v>#DIV/0!</v>
      </c>
      <c r="BJ27" s="55">
        <f>VLOOKUP(C27,'[2]5月汇总'!$C:$AE,29,0)</f>
        <v>343.68218639999998</v>
      </c>
      <c r="BK27" s="55">
        <f t="shared" si="20"/>
        <v>422.1675864</v>
      </c>
      <c r="BL27" s="62">
        <f t="shared" si="21"/>
        <v>1.0654206019003394</v>
      </c>
      <c r="BM27" s="55">
        <f>VLOOKUP(C27,[1]两年对比终版!$A:$W,23,0)</f>
        <v>0</v>
      </c>
      <c r="BN27" s="45" t="e">
        <f t="shared" si="1"/>
        <v>#DIV/0!</v>
      </c>
    </row>
    <row r="28" spans="1:66">
      <c r="A28" s="52">
        <v>22</v>
      </c>
      <c r="B28" s="52" t="s">
        <v>39</v>
      </c>
      <c r="C28" s="52" t="s">
        <v>52</v>
      </c>
      <c r="D28" s="53">
        <v>87</v>
      </c>
      <c r="E28" s="53">
        <v>20</v>
      </c>
      <c r="F28" s="44">
        <v>0.229885057471264</v>
      </c>
      <c r="G28" s="53">
        <v>0</v>
      </c>
      <c r="H28" s="29">
        <v>1</v>
      </c>
      <c r="I28" s="53">
        <v>688</v>
      </c>
      <c r="J28" s="53">
        <v>154.48699999999999</v>
      </c>
      <c r="K28" s="44">
        <v>0.22454505813953499</v>
      </c>
      <c r="L28" s="53">
        <v>0</v>
      </c>
      <c r="M28" s="29">
        <v>1</v>
      </c>
      <c r="N28" s="53">
        <v>32</v>
      </c>
      <c r="O28" s="53">
        <v>4</v>
      </c>
      <c r="P28" s="44">
        <v>0.125</v>
      </c>
      <c r="Q28" s="53">
        <v>0</v>
      </c>
      <c r="R28" s="29">
        <v>1</v>
      </c>
      <c r="S28" s="53">
        <v>265</v>
      </c>
      <c r="T28" s="53">
        <v>23.250399999999999</v>
      </c>
      <c r="U28" s="44">
        <v>8.7737358490566006E-2</v>
      </c>
      <c r="V28" s="53">
        <v>0</v>
      </c>
      <c r="W28" s="29">
        <v>1</v>
      </c>
      <c r="X28" s="53">
        <v>32</v>
      </c>
      <c r="Y28" s="53">
        <v>5</v>
      </c>
      <c r="Z28" s="44">
        <v>0.15625</v>
      </c>
      <c r="AA28" s="53">
        <v>0</v>
      </c>
      <c r="AB28" s="29">
        <v>1</v>
      </c>
      <c r="AC28" s="53">
        <v>265</v>
      </c>
      <c r="AD28" s="53">
        <v>37.611199999999997</v>
      </c>
      <c r="AE28" s="44">
        <v>0.141929056603774</v>
      </c>
      <c r="AF28" s="53">
        <v>0</v>
      </c>
      <c r="AG28" s="29" t="e">
        <f t="shared" si="2"/>
        <v>#DIV/0!</v>
      </c>
      <c r="AH28" s="54">
        <f>VLOOKUP(C28,'[2]5月汇总'!$C:$AE,24,0)</f>
        <v>13</v>
      </c>
      <c r="AI28" s="55">
        <f t="shared" si="36"/>
        <v>33</v>
      </c>
      <c r="AJ28" s="56">
        <f t="shared" si="37"/>
        <v>0.37931034482758619</v>
      </c>
      <c r="AK28" s="57">
        <f>VLOOKUP(C28,[1]两年对比终版!$A:$C,3,0)</f>
        <v>8</v>
      </c>
      <c r="AL28" s="57">
        <f t="shared" si="0"/>
        <v>25</v>
      </c>
      <c r="AM28" s="29">
        <f t="shared" si="5"/>
        <v>3.125</v>
      </c>
      <c r="AN28" s="54">
        <f>VLOOKUP(C28,'[2]5月汇总'!$C:$AA,25,0)</f>
        <v>78.42</v>
      </c>
      <c r="AO28" s="55">
        <f t="shared" si="38"/>
        <v>232.90699999999998</v>
      </c>
      <c r="AP28" s="56">
        <f t="shared" si="39"/>
        <v>0.33852761627906974</v>
      </c>
      <c r="AQ28" s="59">
        <f>VLOOKUP(C28,[1]两年对比终版!$A:$W,6,0)</f>
        <v>74.024224000000004</v>
      </c>
      <c r="AR28" s="29">
        <f t="shared" si="8"/>
        <v>2.146361926063554</v>
      </c>
      <c r="AS28" s="54">
        <f>VLOOKUP(C28,'[2]5月汇总'!$C:$AE,26,0)</f>
        <v>4</v>
      </c>
      <c r="AT28" s="55">
        <f t="shared" si="40"/>
        <v>8</v>
      </c>
      <c r="AU28" s="56">
        <f t="shared" si="41"/>
        <v>0.25</v>
      </c>
      <c r="AV28" s="60">
        <f>VLOOKUP(C28,[1]两年对比终版!$A:$N,14,0)</f>
        <v>2</v>
      </c>
      <c r="AW28" s="55">
        <f t="shared" si="11"/>
        <v>6</v>
      </c>
      <c r="AX28" s="45">
        <f t="shared" si="12"/>
        <v>3</v>
      </c>
      <c r="AY28" s="55">
        <f>VLOOKUP(C28,'[2]5月汇总'!$C:$AE,27,0)</f>
        <v>44</v>
      </c>
      <c r="AZ28" s="55">
        <f t="shared" si="42"/>
        <v>67.250399999999999</v>
      </c>
      <c r="BA28" s="62">
        <f t="shared" si="43"/>
        <v>0.25377509433962264</v>
      </c>
      <c r="BB28" s="53">
        <f>VLOOKUP(C28,[1]两年对比终版!$A:$W,17,0)</f>
        <v>6.9127679999999998</v>
      </c>
      <c r="BC28" s="61">
        <f t="shared" si="15"/>
        <v>60.337631999999999</v>
      </c>
      <c r="BD28" s="45">
        <f t="shared" si="16"/>
        <v>8.7284329518942343</v>
      </c>
      <c r="BE28" s="55">
        <f>VLOOKUP(C28,'[2]5月汇总'!$C:$AE,28,0)</f>
        <v>5</v>
      </c>
      <c r="BF28" s="55">
        <f t="shared" si="44"/>
        <v>10</v>
      </c>
      <c r="BG28" s="62">
        <f t="shared" si="45"/>
        <v>0.3125</v>
      </c>
      <c r="BH28" s="53">
        <f>VLOOKUP(C28,[1]两年对比终版!$A:$T,20,0)</f>
        <v>0</v>
      </c>
      <c r="BI28" s="45" t="e">
        <f t="shared" si="19"/>
        <v>#DIV/0!</v>
      </c>
      <c r="BJ28" s="55">
        <f>VLOOKUP(C28,'[2]5月汇总'!$C:$AE,29,0)</f>
        <v>51.98</v>
      </c>
      <c r="BK28" s="55">
        <f t="shared" si="20"/>
        <v>89.591199999999986</v>
      </c>
      <c r="BL28" s="62">
        <f t="shared" si="21"/>
        <v>0.33807999999999994</v>
      </c>
      <c r="BM28" s="53">
        <f>VLOOKUP(C28,[1]两年对比终版!$A:$W,23,0)</f>
        <v>0</v>
      </c>
      <c r="BN28" s="45" t="e">
        <f t="shared" si="1"/>
        <v>#DIV/0!</v>
      </c>
    </row>
    <row r="29" spans="1:66">
      <c r="A29" s="52">
        <v>23</v>
      </c>
      <c r="B29" s="52" t="s">
        <v>31</v>
      </c>
      <c r="C29" s="52" t="s">
        <v>53</v>
      </c>
      <c r="D29" s="53">
        <v>238</v>
      </c>
      <c r="E29" s="53">
        <v>41</v>
      </c>
      <c r="F29" s="44">
        <v>0.17226890756302499</v>
      </c>
      <c r="G29" s="53">
        <v>84</v>
      </c>
      <c r="H29" s="29">
        <v>-1.0487804878048801</v>
      </c>
      <c r="I29" s="53">
        <v>1768.9</v>
      </c>
      <c r="J29" s="53">
        <v>430.34500000000003</v>
      </c>
      <c r="K29" s="44">
        <v>0.24328396178416001</v>
      </c>
      <c r="L29" s="53">
        <v>732.27568699999995</v>
      </c>
      <c r="M29" s="29">
        <v>-0.70160147556030605</v>
      </c>
      <c r="N29" s="53">
        <v>73</v>
      </c>
      <c r="O29" s="53">
        <v>15</v>
      </c>
      <c r="P29" s="44">
        <v>0.20547945205479501</v>
      </c>
      <c r="Q29" s="53">
        <v>16</v>
      </c>
      <c r="R29" s="29">
        <v>-6.6666666666666693E-2</v>
      </c>
      <c r="S29" s="53">
        <v>722</v>
      </c>
      <c r="T29" s="53">
        <v>122.238</v>
      </c>
      <c r="U29" s="44">
        <v>0.16930470914127399</v>
      </c>
      <c r="V29" s="53">
        <v>135.723623</v>
      </c>
      <c r="W29" s="29">
        <v>-0.110322673800291</v>
      </c>
      <c r="X29" s="53">
        <v>73</v>
      </c>
      <c r="Y29" s="53">
        <v>14</v>
      </c>
      <c r="Z29" s="44">
        <v>0.19178082191780799</v>
      </c>
      <c r="AA29" s="53">
        <v>12</v>
      </c>
      <c r="AB29" s="29">
        <v>0.14285714285714299</v>
      </c>
      <c r="AC29" s="53">
        <v>722</v>
      </c>
      <c r="AD29" s="53">
        <v>114.248</v>
      </c>
      <c r="AE29" s="44">
        <v>0.15823822714681399</v>
      </c>
      <c r="AF29" s="53">
        <v>104.073207</v>
      </c>
      <c r="AG29" s="29">
        <f t="shared" si="2"/>
        <v>9.7765729463876405E-2</v>
      </c>
      <c r="AH29" s="54">
        <f>VLOOKUP(C29,'[2]5月汇总'!$C:$AE,24,0)</f>
        <v>65</v>
      </c>
      <c r="AI29" s="55">
        <f t="shared" si="36"/>
        <v>106</v>
      </c>
      <c r="AJ29" s="56">
        <f t="shared" si="37"/>
        <v>0.44537815126050423</v>
      </c>
      <c r="AK29" s="57">
        <f>VLOOKUP(C29,[1]两年对比终版!$A:$C,3,0)</f>
        <v>128</v>
      </c>
      <c r="AL29" s="57">
        <f t="shared" si="0"/>
        <v>-22</v>
      </c>
      <c r="AM29" s="29">
        <f t="shared" si="5"/>
        <v>-0.171875</v>
      </c>
      <c r="AN29" s="54">
        <f>VLOOKUP(C29,'[2]5月汇总'!$C:$AA,25,0)</f>
        <v>279</v>
      </c>
      <c r="AO29" s="55">
        <f t="shared" si="38"/>
        <v>709.34500000000003</v>
      </c>
      <c r="AP29" s="56">
        <f t="shared" si="39"/>
        <v>0.40100910170162246</v>
      </c>
      <c r="AQ29" s="59">
        <f>VLOOKUP(C29,[1]两年对比终版!$A:$W,6,0)</f>
        <v>1268.9124690000001</v>
      </c>
      <c r="AR29" s="29">
        <f t="shared" si="8"/>
        <v>-0.44098192954237575</v>
      </c>
      <c r="AS29" s="54">
        <f>VLOOKUP(C29,'[2]5月汇总'!$C:$AE,26,0)</f>
        <v>15</v>
      </c>
      <c r="AT29" s="55">
        <f t="shared" si="40"/>
        <v>30</v>
      </c>
      <c r="AU29" s="56">
        <f t="shared" si="41"/>
        <v>0.41095890410958902</v>
      </c>
      <c r="AV29" s="60">
        <f>VLOOKUP(C29,[1]两年对比终版!$A:$N,14,0)</f>
        <v>27</v>
      </c>
      <c r="AW29" s="55">
        <f t="shared" si="11"/>
        <v>3</v>
      </c>
      <c r="AX29" s="45">
        <f t="shared" si="12"/>
        <v>0.1111111111111111</v>
      </c>
      <c r="AY29" s="55">
        <f>VLOOKUP(C29,'[2]5月汇总'!$C:$AE,27,0)</f>
        <v>127.32</v>
      </c>
      <c r="AZ29" s="55">
        <f t="shared" si="42"/>
        <v>249.55799999999999</v>
      </c>
      <c r="BA29" s="62">
        <f t="shared" si="43"/>
        <v>0.34564819944598335</v>
      </c>
      <c r="BB29" s="55">
        <f>VLOOKUP(C29,[1]两年对比终版!$A:$W,17,0)</f>
        <v>224.145533</v>
      </c>
      <c r="BC29" s="61">
        <f t="shared" si="15"/>
        <v>25.412466999999992</v>
      </c>
      <c r="BD29" s="45">
        <f t="shared" si="16"/>
        <v>0.11337485364921367</v>
      </c>
      <c r="BE29" s="55">
        <f>VLOOKUP(C29,'[2]5月汇总'!$C:$AE,28,0)</f>
        <v>11</v>
      </c>
      <c r="BF29" s="55">
        <f t="shared" si="44"/>
        <v>25</v>
      </c>
      <c r="BG29" s="62">
        <f t="shared" si="45"/>
        <v>0.34246575342465752</v>
      </c>
      <c r="BH29" s="55">
        <f>VLOOKUP(C29,[1]两年对比终版!$A:$T,20,0)</f>
        <v>20</v>
      </c>
      <c r="BI29" s="45">
        <f t="shared" si="19"/>
        <v>0.25</v>
      </c>
      <c r="BJ29" s="55">
        <f>VLOOKUP(C29,'[2]5月汇总'!$C:$AE,29,0)</f>
        <v>93.87</v>
      </c>
      <c r="BK29" s="55">
        <f t="shared" si="20"/>
        <v>208.11799999999999</v>
      </c>
      <c r="BL29" s="62">
        <f t="shared" si="21"/>
        <v>0.28825207756232685</v>
      </c>
      <c r="BM29" s="55">
        <f>VLOOKUP(C29,[1]两年对比终版!$A:$W,23,0)</f>
        <v>167.86765299999999</v>
      </c>
      <c r="BN29" s="45">
        <f t="shared" si="1"/>
        <v>0.23977428814114657</v>
      </c>
    </row>
    <row r="30" spans="1:66">
      <c r="A30" s="52">
        <v>24</v>
      </c>
      <c r="B30" s="52" t="s">
        <v>34</v>
      </c>
      <c r="C30" s="52" t="s">
        <v>54</v>
      </c>
      <c r="D30" s="53">
        <v>136</v>
      </c>
      <c r="E30" s="53">
        <v>23</v>
      </c>
      <c r="F30" s="44">
        <v>0.16911764705882401</v>
      </c>
      <c r="G30" s="53">
        <v>38</v>
      </c>
      <c r="H30" s="29">
        <v>-0.65217391304347805</v>
      </c>
      <c r="I30" s="53">
        <v>964</v>
      </c>
      <c r="J30" s="53">
        <v>320.911</v>
      </c>
      <c r="K30" s="44">
        <v>0.332895228215768</v>
      </c>
      <c r="L30" s="53">
        <v>580.17456100000004</v>
      </c>
      <c r="M30" s="29">
        <v>-0.80789864167946901</v>
      </c>
      <c r="N30" s="53">
        <v>32</v>
      </c>
      <c r="O30" s="53">
        <v>8</v>
      </c>
      <c r="P30" s="44">
        <v>0.25</v>
      </c>
      <c r="Q30" s="53">
        <v>2</v>
      </c>
      <c r="R30" s="29">
        <v>0.75</v>
      </c>
      <c r="S30" s="53">
        <v>380</v>
      </c>
      <c r="T30" s="53">
        <v>88.302300000000002</v>
      </c>
      <c r="U30" s="44">
        <v>0.23237447368420999</v>
      </c>
      <c r="V30" s="53">
        <v>29.534538999999999</v>
      </c>
      <c r="W30" s="29">
        <v>0.66552922177564999</v>
      </c>
      <c r="X30" s="53">
        <v>32</v>
      </c>
      <c r="Y30" s="53">
        <v>3</v>
      </c>
      <c r="Z30" s="44">
        <v>9.375E-2</v>
      </c>
      <c r="AA30" s="53">
        <v>8</v>
      </c>
      <c r="AB30" s="29">
        <v>-1.6666666666666701</v>
      </c>
      <c r="AC30" s="53">
        <v>380</v>
      </c>
      <c r="AD30" s="53">
        <v>53.710099999999997</v>
      </c>
      <c r="AE30" s="44">
        <v>0.14134236842105299</v>
      </c>
      <c r="AF30" s="53">
        <v>165.75891200000001</v>
      </c>
      <c r="AG30" s="29">
        <f t="shared" si="2"/>
        <v>-0.67597458651273001</v>
      </c>
      <c r="AH30" s="54">
        <f>VLOOKUP(C30,'[2]5月汇总'!$C:$AE,24,0)</f>
        <v>13</v>
      </c>
      <c r="AI30" s="55">
        <f t="shared" si="36"/>
        <v>36</v>
      </c>
      <c r="AJ30" s="56">
        <f t="shared" si="37"/>
        <v>0.26470588235294118</v>
      </c>
      <c r="AK30" s="57">
        <f>VLOOKUP(C30,[1]两年对比终版!$A:$C,3,0)</f>
        <v>39</v>
      </c>
      <c r="AL30" s="57">
        <f t="shared" si="0"/>
        <v>-3</v>
      </c>
      <c r="AM30" s="29">
        <f t="shared" si="5"/>
        <v>-7.6923076923076927E-2</v>
      </c>
      <c r="AN30" s="54">
        <f>VLOOKUP(C30,'[2]5月汇总'!$C:$AA,25,0)</f>
        <v>180</v>
      </c>
      <c r="AO30" s="55">
        <f t="shared" si="38"/>
        <v>500.911</v>
      </c>
      <c r="AP30" s="56">
        <f t="shared" si="39"/>
        <v>0.51961721991701249</v>
      </c>
      <c r="AQ30" s="59">
        <f>VLOOKUP(C30,[1]两年对比终版!$A:$W,6,0)</f>
        <v>592.24855300000002</v>
      </c>
      <c r="AR30" s="29">
        <f t="shared" si="8"/>
        <v>-0.1542216566631274</v>
      </c>
      <c r="AS30" s="54">
        <f>VLOOKUP(C30,'[2]5月汇总'!$C:$AE,26,0)</f>
        <v>7</v>
      </c>
      <c r="AT30" s="55">
        <f t="shared" si="40"/>
        <v>15</v>
      </c>
      <c r="AU30" s="56">
        <f t="shared" si="41"/>
        <v>0.46875</v>
      </c>
      <c r="AV30" s="60">
        <f>VLOOKUP(C30,[1]两年对比终版!$A:$N,14,0)</f>
        <v>2</v>
      </c>
      <c r="AW30" s="55">
        <f t="shared" si="11"/>
        <v>13</v>
      </c>
      <c r="AX30" s="45">
        <f t="shared" si="12"/>
        <v>6.5</v>
      </c>
      <c r="AY30" s="55">
        <f>VLOOKUP(C30,'[2]5月汇总'!$C:$AE,27,0)</f>
        <v>70</v>
      </c>
      <c r="AZ30" s="55">
        <f t="shared" si="42"/>
        <v>158.3023</v>
      </c>
      <c r="BA30" s="62">
        <f t="shared" si="43"/>
        <v>0.41658499999999998</v>
      </c>
      <c r="BB30" s="55">
        <f>VLOOKUP(C30,[1]两年对比终版!$A:$W,17,0)</f>
        <v>29.534538999999999</v>
      </c>
      <c r="BC30" s="61">
        <f t="shared" si="15"/>
        <v>128.76776100000001</v>
      </c>
      <c r="BD30" s="45">
        <f t="shared" si="16"/>
        <v>4.359904212488301</v>
      </c>
      <c r="BE30" s="55">
        <f>VLOOKUP(C30,'[2]5月汇总'!$C:$AE,28,0)</f>
        <v>8</v>
      </c>
      <c r="BF30" s="55">
        <f t="shared" si="44"/>
        <v>11</v>
      </c>
      <c r="BG30" s="62">
        <f t="shared" si="45"/>
        <v>0.34375</v>
      </c>
      <c r="BH30" s="55">
        <f>VLOOKUP(C30,[1]两年对比终版!$A:$T,20,0)</f>
        <v>9</v>
      </c>
      <c r="BI30" s="45">
        <f t="shared" si="19"/>
        <v>0.22222222222222221</v>
      </c>
      <c r="BJ30" s="55">
        <f>VLOOKUP(C30,'[2]5月汇总'!$C:$AE,29,0)</f>
        <v>64.400000000000006</v>
      </c>
      <c r="BK30" s="55">
        <f t="shared" si="20"/>
        <v>118.1101</v>
      </c>
      <c r="BL30" s="62">
        <f t="shared" si="21"/>
        <v>0.31081605263157897</v>
      </c>
      <c r="BM30" s="55">
        <f>VLOOKUP(C30,[1]两年对比终版!$A:$W,23,0)</f>
        <v>179.53971200000001</v>
      </c>
      <c r="BN30" s="45">
        <f t="shared" si="1"/>
        <v>-0.34215055441327658</v>
      </c>
    </row>
    <row r="31" spans="1:66">
      <c r="A31" s="52">
        <v>25</v>
      </c>
      <c r="B31" s="52" t="s">
        <v>34</v>
      </c>
      <c r="C31" s="52" t="s">
        <v>55</v>
      </c>
      <c r="D31" s="53">
        <v>69</v>
      </c>
      <c r="E31" s="53">
        <v>26</v>
      </c>
      <c r="F31" s="44">
        <v>0.376811594202899</v>
      </c>
      <c r="G31" s="53">
        <v>0</v>
      </c>
      <c r="H31" s="29">
        <v>1</v>
      </c>
      <c r="I31" s="53">
        <v>710</v>
      </c>
      <c r="J31" s="53">
        <v>214.36</v>
      </c>
      <c r="K31" s="44">
        <v>0.301915492957747</v>
      </c>
      <c r="L31" s="53">
        <v>0</v>
      </c>
      <c r="M31" s="29">
        <v>1</v>
      </c>
      <c r="N31" s="53">
        <v>27</v>
      </c>
      <c r="O31" s="53">
        <v>0</v>
      </c>
      <c r="P31" s="44">
        <v>0</v>
      </c>
      <c r="Q31" s="53">
        <v>0</v>
      </c>
      <c r="R31" s="29" t="e">
        <v>#DIV/0!</v>
      </c>
      <c r="S31" s="53">
        <v>350</v>
      </c>
      <c r="T31" s="53">
        <v>0</v>
      </c>
      <c r="U31" s="44">
        <v>0</v>
      </c>
      <c r="V31" s="53">
        <v>0</v>
      </c>
      <c r="W31" s="29" t="e">
        <v>#DIV/0!</v>
      </c>
      <c r="X31" s="53">
        <v>27</v>
      </c>
      <c r="Y31" s="53">
        <v>0</v>
      </c>
      <c r="Z31" s="44">
        <v>0</v>
      </c>
      <c r="AA31" s="53">
        <v>0</v>
      </c>
      <c r="AB31" s="29" t="e">
        <v>#DIV/0!</v>
      </c>
      <c r="AC31" s="53">
        <v>350</v>
      </c>
      <c r="AD31" s="53">
        <v>0</v>
      </c>
      <c r="AE31" s="44">
        <v>0</v>
      </c>
      <c r="AF31" s="53">
        <v>0</v>
      </c>
      <c r="AG31" s="29" t="e">
        <f t="shared" si="2"/>
        <v>#DIV/0!</v>
      </c>
      <c r="AH31" s="54">
        <f>VLOOKUP(C31,'[2]5月汇总'!$C:$AE,24,0)</f>
        <v>0</v>
      </c>
      <c r="AI31" s="55">
        <f t="shared" si="36"/>
        <v>26</v>
      </c>
      <c r="AJ31" s="56">
        <f t="shared" si="37"/>
        <v>0.37681159420289856</v>
      </c>
      <c r="AK31" s="57">
        <f>VLOOKUP(C31,[1]两年对比终版!$A:$C,3,0)</f>
        <v>0</v>
      </c>
      <c r="AL31" s="57">
        <f t="shared" si="0"/>
        <v>26</v>
      </c>
      <c r="AM31" s="29" t="e">
        <f t="shared" si="5"/>
        <v>#DIV/0!</v>
      </c>
      <c r="AN31" s="54">
        <f>VLOOKUP(C31,'[2]5月汇总'!$C:$AA,25,0)</f>
        <v>0</v>
      </c>
      <c r="AO31" s="55">
        <f t="shared" si="38"/>
        <v>214.36</v>
      </c>
      <c r="AP31" s="56">
        <f t="shared" si="39"/>
        <v>0.3019154929577465</v>
      </c>
      <c r="AQ31" s="59">
        <f>VLOOKUP(C31,[1]两年对比终版!$A:$W,6,0)</f>
        <v>0</v>
      </c>
      <c r="AR31" s="29"/>
      <c r="AS31" s="54">
        <f>VLOOKUP(C31,'[2]5月汇总'!$C:$AE,26,0)</f>
        <v>0</v>
      </c>
      <c r="AT31" s="55">
        <f t="shared" si="40"/>
        <v>0</v>
      </c>
      <c r="AU31" s="56">
        <f t="shared" si="41"/>
        <v>0</v>
      </c>
      <c r="AV31" s="60">
        <f>VLOOKUP(C31,[1]两年对比终版!$A:$N,14,0)</f>
        <v>0</v>
      </c>
      <c r="AW31" s="55">
        <f t="shared" si="11"/>
        <v>0</v>
      </c>
      <c r="AX31" s="45"/>
      <c r="AY31" s="55">
        <f>VLOOKUP(C31,'[2]5月汇总'!$C:$AE,27,0)</f>
        <v>30</v>
      </c>
      <c r="AZ31" s="55">
        <f t="shared" si="42"/>
        <v>30</v>
      </c>
      <c r="BA31" s="62">
        <f t="shared" si="43"/>
        <v>8.5714285714285715E-2</v>
      </c>
      <c r="BB31" s="55">
        <f>VLOOKUP(C31,[1]两年对比终版!$A:$W,17,0)</f>
        <v>0</v>
      </c>
      <c r="BC31" s="61">
        <f t="shared" si="15"/>
        <v>30</v>
      </c>
      <c r="BD31" s="45"/>
      <c r="BE31" s="55">
        <f>VLOOKUP(C31,'[2]5月汇总'!$C:$AE,28,0)</f>
        <v>0</v>
      </c>
      <c r="BF31" s="55">
        <f t="shared" si="44"/>
        <v>0</v>
      </c>
      <c r="BG31" s="62">
        <f t="shared" si="45"/>
        <v>0</v>
      </c>
      <c r="BH31" s="55">
        <f>VLOOKUP(C31,[1]两年对比终版!$A:$T,20,0)</f>
        <v>0</v>
      </c>
      <c r="BI31" s="45"/>
      <c r="BJ31" s="55">
        <f>VLOOKUP(C31,'[2]5月汇总'!$C:$AE,29,0)</f>
        <v>15</v>
      </c>
      <c r="BK31" s="55">
        <f t="shared" si="20"/>
        <v>15</v>
      </c>
      <c r="BL31" s="62">
        <f t="shared" si="21"/>
        <v>4.2857142857142858E-2</v>
      </c>
      <c r="BM31" s="55">
        <f>VLOOKUP(C31,[1]两年对比终版!$A:$W,23,0)</f>
        <v>0</v>
      </c>
      <c r="BN31" s="45"/>
    </row>
    <row r="32" spans="1:66">
      <c r="A32" s="52">
        <v>26</v>
      </c>
      <c r="B32" s="52" t="s">
        <v>34</v>
      </c>
      <c r="C32" s="52" t="s">
        <v>56</v>
      </c>
      <c r="D32" s="53">
        <v>263</v>
      </c>
      <c r="E32" s="53">
        <v>48</v>
      </c>
      <c r="F32" s="44">
        <v>0.182509505703422</v>
      </c>
      <c r="G32" s="53">
        <v>35</v>
      </c>
      <c r="H32" s="29">
        <v>0.27083333333333298</v>
      </c>
      <c r="I32" s="53">
        <v>1640</v>
      </c>
      <c r="J32" s="53">
        <v>499.416</v>
      </c>
      <c r="K32" s="44">
        <v>0.30452195121951198</v>
      </c>
      <c r="L32" s="53">
        <v>300.423338</v>
      </c>
      <c r="M32" s="29">
        <v>0.39845071443445901</v>
      </c>
      <c r="N32" s="53">
        <v>42</v>
      </c>
      <c r="O32" s="53">
        <v>8</v>
      </c>
      <c r="P32" s="44">
        <v>0.19047619047618999</v>
      </c>
      <c r="Q32" s="53">
        <v>1</v>
      </c>
      <c r="R32" s="29">
        <v>0.875</v>
      </c>
      <c r="S32" s="53">
        <v>400</v>
      </c>
      <c r="T32" s="53">
        <v>77.599699999999999</v>
      </c>
      <c r="U32" s="44">
        <v>0.19399925000000001</v>
      </c>
      <c r="V32" s="53">
        <v>7.43</v>
      </c>
      <c r="W32" s="29">
        <v>0.90425220716059496</v>
      </c>
      <c r="X32" s="53">
        <v>42</v>
      </c>
      <c r="Y32" s="53">
        <v>8</v>
      </c>
      <c r="Z32" s="44">
        <v>0.19047619047618999</v>
      </c>
      <c r="AA32" s="53">
        <v>1</v>
      </c>
      <c r="AB32" s="29">
        <v>0.875</v>
      </c>
      <c r="AC32" s="53">
        <v>400</v>
      </c>
      <c r="AD32" s="53">
        <v>77.599699999999999</v>
      </c>
      <c r="AE32" s="44">
        <v>0.19399925000000001</v>
      </c>
      <c r="AF32" s="53">
        <v>7.43</v>
      </c>
      <c r="AG32" s="29">
        <f t="shared" si="2"/>
        <v>9.4441049798115753</v>
      </c>
      <c r="AH32" s="54">
        <f>VLOOKUP(C32,'[2]5月汇总'!$C:$AE,24,0)</f>
        <v>0</v>
      </c>
      <c r="AI32" s="55">
        <f t="shared" si="36"/>
        <v>48</v>
      </c>
      <c r="AJ32" s="56">
        <f t="shared" si="37"/>
        <v>0.18250950570342206</v>
      </c>
      <c r="AK32" s="57">
        <f>VLOOKUP(C32,[1]两年对比终版!$A:$C,3,0)</f>
        <v>97</v>
      </c>
      <c r="AL32" s="57">
        <f t="shared" si="0"/>
        <v>-49</v>
      </c>
      <c r="AM32" s="29">
        <f t="shared" si="5"/>
        <v>-0.50515463917525771</v>
      </c>
      <c r="AN32" s="54">
        <f>VLOOKUP(C32,'[2]5月汇总'!$C:$AA,25,0)</f>
        <v>0</v>
      </c>
      <c r="AO32" s="55">
        <f t="shared" si="38"/>
        <v>499.416</v>
      </c>
      <c r="AP32" s="56">
        <f t="shared" si="39"/>
        <v>0.3045219512195122</v>
      </c>
      <c r="AQ32" s="59">
        <f>VLOOKUP(C32,[1]两年对比终版!$A:$W,6,0)</f>
        <v>1049.8086599999999</v>
      </c>
      <c r="AR32" s="29">
        <f t="shared" si="8"/>
        <v>-0.52427902433191975</v>
      </c>
      <c r="AS32" s="54">
        <f>VLOOKUP(C32,'[2]5月汇总'!$C:$AE,26,0)</f>
        <v>0</v>
      </c>
      <c r="AT32" s="55">
        <f t="shared" si="40"/>
        <v>8</v>
      </c>
      <c r="AU32" s="56">
        <f t="shared" si="41"/>
        <v>0.19047619047619047</v>
      </c>
      <c r="AV32" s="60">
        <f>VLOOKUP(C32,[1]两年对比终版!$A:$N,14,0)</f>
        <v>1</v>
      </c>
      <c r="AW32" s="55">
        <f t="shared" si="11"/>
        <v>7</v>
      </c>
      <c r="AX32" s="45">
        <f t="shared" si="12"/>
        <v>7</v>
      </c>
      <c r="AY32" s="55">
        <f>VLOOKUP(C32,'[2]5月汇总'!$C:$AE,27,0)</f>
        <v>100</v>
      </c>
      <c r="AZ32" s="55">
        <f t="shared" si="42"/>
        <v>177.59969999999998</v>
      </c>
      <c r="BA32" s="62">
        <f t="shared" si="43"/>
        <v>0.44399924999999996</v>
      </c>
      <c r="BB32" s="55">
        <f>VLOOKUP(C32,[1]两年对比终版!$A:$W,17,0)</f>
        <v>7.43</v>
      </c>
      <c r="BC32" s="61">
        <f t="shared" si="15"/>
        <v>170.16969999999998</v>
      </c>
      <c r="BD32" s="45">
        <f t="shared" si="16"/>
        <v>22.903055181695827</v>
      </c>
      <c r="BE32" s="55">
        <f>VLOOKUP(C32,'[2]5月汇总'!$C:$AE,28,0)</f>
        <v>0</v>
      </c>
      <c r="BF32" s="55">
        <f t="shared" si="44"/>
        <v>8</v>
      </c>
      <c r="BG32" s="62">
        <f t="shared" si="45"/>
        <v>0.19047619047619047</v>
      </c>
      <c r="BH32" s="55">
        <f>VLOOKUP(C32,[1]两年对比终版!$A:$T,20,0)</f>
        <v>1</v>
      </c>
      <c r="BI32" s="45">
        <f t="shared" si="19"/>
        <v>7</v>
      </c>
      <c r="BJ32" s="55">
        <f>VLOOKUP(C32,'[2]5月汇总'!$C:$AE,29,0)</f>
        <v>0</v>
      </c>
      <c r="BK32" s="55">
        <f t="shared" si="20"/>
        <v>77.599699999999999</v>
      </c>
      <c r="BL32" s="62">
        <f t="shared" si="21"/>
        <v>0.19399924999999998</v>
      </c>
      <c r="BM32" s="55">
        <f>VLOOKUP(C32,[1]两年对比终版!$A:$W,23,0)</f>
        <v>7.43</v>
      </c>
      <c r="BN32" s="45">
        <f>(BK32-BM32)/BM32</f>
        <v>9.4441049798115753</v>
      </c>
    </row>
    <row r="33" spans="1:66">
      <c r="A33" s="52">
        <v>27</v>
      </c>
      <c r="B33" s="52" t="s">
        <v>31</v>
      </c>
      <c r="C33" s="52" t="s">
        <v>57</v>
      </c>
      <c r="D33" s="53">
        <v>148</v>
      </c>
      <c r="E33" s="53">
        <v>23</v>
      </c>
      <c r="F33" s="44">
        <v>0.15540540540540501</v>
      </c>
      <c r="G33" s="53">
        <v>9</v>
      </c>
      <c r="H33" s="29">
        <v>0.60869565217391297</v>
      </c>
      <c r="I33" s="53">
        <v>1470</v>
      </c>
      <c r="J33" s="53">
        <v>311.15499999999997</v>
      </c>
      <c r="K33" s="44">
        <v>0.211670068027211</v>
      </c>
      <c r="L33" s="53">
        <v>98.864647000000005</v>
      </c>
      <c r="M33" s="29">
        <v>0.68226560074560905</v>
      </c>
      <c r="N33" s="53">
        <v>55</v>
      </c>
      <c r="O33" s="53">
        <v>10</v>
      </c>
      <c r="P33" s="44">
        <v>0.18181818181818199</v>
      </c>
      <c r="Q33" s="53">
        <v>0</v>
      </c>
      <c r="R33" s="29">
        <v>1</v>
      </c>
      <c r="S33" s="53">
        <v>600</v>
      </c>
      <c r="T33" s="53">
        <v>74.216800000000006</v>
      </c>
      <c r="U33" s="44">
        <v>0.12369466666666699</v>
      </c>
      <c r="V33" s="53">
        <v>0</v>
      </c>
      <c r="W33" s="29">
        <v>1</v>
      </c>
      <c r="X33" s="53">
        <v>55</v>
      </c>
      <c r="Y33" s="53">
        <v>4</v>
      </c>
      <c r="Z33" s="44">
        <v>7.2727272727272696E-2</v>
      </c>
      <c r="AA33" s="53">
        <v>0</v>
      </c>
      <c r="AB33" s="29">
        <v>1</v>
      </c>
      <c r="AC33" s="53">
        <v>600</v>
      </c>
      <c r="AD33" s="53">
        <v>24.643799999999999</v>
      </c>
      <c r="AE33" s="44">
        <v>4.1072999999999998E-2</v>
      </c>
      <c r="AF33" s="53">
        <v>0</v>
      </c>
      <c r="AG33" s="29" t="e">
        <f t="shared" si="2"/>
        <v>#DIV/0!</v>
      </c>
      <c r="AH33" s="54">
        <f>VLOOKUP(C33,'[2]5月汇总'!$C:$AE,24,0)</f>
        <v>22</v>
      </c>
      <c r="AI33" s="55">
        <f t="shared" si="36"/>
        <v>45</v>
      </c>
      <c r="AJ33" s="56">
        <f t="shared" si="37"/>
        <v>0.30405405405405406</v>
      </c>
      <c r="AK33" s="57">
        <f>VLOOKUP(C33,[1]两年对比终版!$A:$C,3,0)</f>
        <v>10</v>
      </c>
      <c r="AL33" s="57">
        <f t="shared" si="0"/>
        <v>35</v>
      </c>
      <c r="AM33" s="29">
        <f t="shared" si="5"/>
        <v>3.5</v>
      </c>
      <c r="AN33" s="54">
        <f>VLOOKUP(C33,'[2]5月汇总'!$C:$AA,25,0)</f>
        <v>250</v>
      </c>
      <c r="AO33" s="55">
        <f t="shared" si="38"/>
        <v>561.15499999999997</v>
      </c>
      <c r="AP33" s="56">
        <f t="shared" si="39"/>
        <v>0.38173809523809521</v>
      </c>
      <c r="AQ33" s="59">
        <f>VLOOKUP(C33,[1]两年对比终版!$A:$W,6,0)</f>
        <v>106.425487</v>
      </c>
      <c r="AR33" s="29">
        <f t="shared" si="8"/>
        <v>4.2727501261046612</v>
      </c>
      <c r="AS33" s="54">
        <f>VLOOKUP(C33,'[2]5月汇总'!$C:$AE,26,0)</f>
        <v>2</v>
      </c>
      <c r="AT33" s="55">
        <f t="shared" si="40"/>
        <v>12</v>
      </c>
      <c r="AU33" s="56">
        <f t="shared" si="41"/>
        <v>0.21818181818181817</v>
      </c>
      <c r="AV33" s="60">
        <f>VLOOKUP(C33,[1]两年对比终版!$A:$N,14,0)</f>
        <v>1</v>
      </c>
      <c r="AW33" s="55">
        <f t="shared" si="11"/>
        <v>11</v>
      </c>
      <c r="AX33" s="45">
        <f t="shared" si="12"/>
        <v>11</v>
      </c>
      <c r="AY33" s="55">
        <f>VLOOKUP(C33,'[2]5月汇总'!$C:$AE,27,0)</f>
        <v>13.8</v>
      </c>
      <c r="AZ33" s="55">
        <f t="shared" si="42"/>
        <v>88.016800000000003</v>
      </c>
      <c r="BA33" s="62">
        <f t="shared" si="43"/>
        <v>0.14669466666666667</v>
      </c>
      <c r="BB33" s="55">
        <f>VLOOKUP(C33,[1]两年对比终版!$A:$W,17,0)</f>
        <v>7.5608399999999998</v>
      </c>
      <c r="BC33" s="61">
        <f t="shared" si="15"/>
        <v>80.455960000000005</v>
      </c>
      <c r="BD33" s="45">
        <f t="shared" si="16"/>
        <v>10.641140402389153</v>
      </c>
      <c r="BE33" s="55">
        <f>VLOOKUP(C33,'[2]5月汇总'!$C:$AE,28,0)</f>
        <v>7</v>
      </c>
      <c r="BF33" s="55">
        <f t="shared" si="44"/>
        <v>11</v>
      </c>
      <c r="BG33" s="62">
        <f t="shared" si="45"/>
        <v>0.2</v>
      </c>
      <c r="BH33" s="55">
        <f>VLOOKUP(C33,[1]两年对比终版!$A:$T,20,0)</f>
        <v>0</v>
      </c>
      <c r="BI33" s="45" t="e">
        <f t="shared" si="19"/>
        <v>#DIV/0!</v>
      </c>
      <c r="BJ33" s="55">
        <f>VLOOKUP(C33,'[2]5月汇总'!$C:$AE,29,0)</f>
        <v>49.5</v>
      </c>
      <c r="BK33" s="55">
        <f t="shared" si="20"/>
        <v>74.143799999999999</v>
      </c>
      <c r="BL33" s="62">
        <f t="shared" si="21"/>
        <v>0.123573</v>
      </c>
      <c r="BM33" s="55">
        <f>VLOOKUP(C33,[1]两年对比终版!$A:$W,23,0)</f>
        <v>0</v>
      </c>
      <c r="BN33" s="45" t="e">
        <f>(BK33-BM33)/BM33</f>
        <v>#DIV/0!</v>
      </c>
    </row>
    <row r="34" spans="1:66">
      <c r="A34" s="52">
        <v>28</v>
      </c>
      <c r="B34" s="52" t="s">
        <v>25</v>
      </c>
      <c r="C34" s="52" t="s">
        <v>58</v>
      </c>
      <c r="D34" s="53">
        <v>246</v>
      </c>
      <c r="E34" s="53">
        <v>63</v>
      </c>
      <c r="F34" s="44">
        <v>0.25609756097560998</v>
      </c>
      <c r="G34" s="53">
        <v>36</v>
      </c>
      <c r="H34" s="29">
        <v>0.42857142857142899</v>
      </c>
      <c r="I34" s="53">
        <v>2934</v>
      </c>
      <c r="J34" s="53">
        <v>788.16099999999994</v>
      </c>
      <c r="K34" s="44">
        <v>0.26863019768234497</v>
      </c>
      <c r="L34" s="53">
        <v>555.16877999999997</v>
      </c>
      <c r="M34" s="29">
        <v>0.29561500759362602</v>
      </c>
      <c r="N34" s="53">
        <v>81</v>
      </c>
      <c r="O34" s="53">
        <v>23</v>
      </c>
      <c r="P34" s="44">
        <v>0.28395061728395099</v>
      </c>
      <c r="Q34" s="53">
        <v>12</v>
      </c>
      <c r="R34" s="29">
        <v>0.47826086956521702</v>
      </c>
      <c r="S34" s="53">
        <v>1600</v>
      </c>
      <c r="T34" s="53">
        <v>269.24</v>
      </c>
      <c r="U34" s="44">
        <v>0.16827500000000001</v>
      </c>
      <c r="V34" s="53">
        <v>275.38668000000001</v>
      </c>
      <c r="W34" s="29">
        <v>-2.2829742980240701E-2</v>
      </c>
      <c r="X34" s="53">
        <v>81</v>
      </c>
      <c r="Y34" s="53">
        <v>6</v>
      </c>
      <c r="Z34" s="44">
        <v>7.4074074074074098E-2</v>
      </c>
      <c r="AA34" s="53">
        <v>14</v>
      </c>
      <c r="AB34" s="29">
        <v>-1.3333333333333299</v>
      </c>
      <c r="AC34" s="53">
        <v>1600</v>
      </c>
      <c r="AD34" s="53">
        <v>78.962000000000003</v>
      </c>
      <c r="AE34" s="44">
        <v>4.9351249999999999E-2</v>
      </c>
      <c r="AF34" s="53">
        <v>254.07978600000001</v>
      </c>
      <c r="AG34" s="29">
        <f t="shared" si="2"/>
        <v>-0.68922360474595179</v>
      </c>
      <c r="AH34" s="54">
        <f>VLOOKUP(C34,'[2]5月汇总'!$C:$AE,24,0)</f>
        <v>38</v>
      </c>
      <c r="AI34" s="55">
        <f t="shared" si="36"/>
        <v>101</v>
      </c>
      <c r="AJ34" s="56">
        <f t="shared" si="37"/>
        <v>0.41056910569105692</v>
      </c>
      <c r="AK34" s="57">
        <f>VLOOKUP(C34,[1]两年对比终版!$A:$C,3,0)</f>
        <v>110</v>
      </c>
      <c r="AL34" s="57">
        <f t="shared" si="0"/>
        <v>-9</v>
      </c>
      <c r="AM34" s="29">
        <f t="shared" si="5"/>
        <v>-8.1818181818181818E-2</v>
      </c>
      <c r="AN34" s="54">
        <f>VLOOKUP(C34,'[2]5月汇总'!$C:$AA,25,0)</f>
        <v>430</v>
      </c>
      <c r="AO34" s="55">
        <f t="shared" si="38"/>
        <v>1218.1610000000001</v>
      </c>
      <c r="AP34" s="56">
        <f t="shared" si="39"/>
        <v>0.41518779822767554</v>
      </c>
      <c r="AQ34" s="59">
        <f>VLOOKUP(C34,[1]两年对比终版!$A:$W,6,0)</f>
        <v>1592.6827720000001</v>
      </c>
      <c r="AR34" s="29">
        <f t="shared" si="8"/>
        <v>-0.23515151829619968</v>
      </c>
      <c r="AS34" s="54">
        <f>VLOOKUP(C34,'[2]5月汇总'!$C:$AE,26,0)</f>
        <v>26</v>
      </c>
      <c r="AT34" s="55">
        <f t="shared" si="40"/>
        <v>49</v>
      </c>
      <c r="AU34" s="56">
        <f t="shared" si="41"/>
        <v>0.60493827160493829</v>
      </c>
      <c r="AV34" s="60">
        <f>VLOOKUP(C34,[1]两年对比终版!$A:$N,14,0)</f>
        <v>30</v>
      </c>
      <c r="AW34" s="55">
        <f t="shared" si="11"/>
        <v>19</v>
      </c>
      <c r="AX34" s="45">
        <f t="shared" si="12"/>
        <v>0.6333333333333333</v>
      </c>
      <c r="AY34" s="55">
        <f>VLOOKUP(C34,'[2]5月汇总'!$C:$AE,27,0)</f>
        <v>276</v>
      </c>
      <c r="AZ34" s="55">
        <f t="shared" si="42"/>
        <v>545.24</v>
      </c>
      <c r="BA34" s="62">
        <f t="shared" si="43"/>
        <v>0.34077499999999999</v>
      </c>
      <c r="BB34" s="55">
        <f>VLOOKUP(C34,[1]两年对比终版!$A:$W,17,0)</f>
        <v>723.49246400000004</v>
      </c>
      <c r="BC34" s="61">
        <f t="shared" si="15"/>
        <v>-178.25246400000003</v>
      </c>
      <c r="BD34" s="45">
        <f t="shared" si="16"/>
        <v>-0.24637777567784039</v>
      </c>
      <c r="BE34" s="55">
        <f>VLOOKUP(C34,'[2]5月汇总'!$C:$AE,28,0)</f>
        <v>21</v>
      </c>
      <c r="BF34" s="55">
        <f t="shared" si="44"/>
        <v>27</v>
      </c>
      <c r="BG34" s="62">
        <f t="shared" si="45"/>
        <v>0.33333333333333331</v>
      </c>
      <c r="BH34" s="55">
        <f>VLOOKUP(C34,[1]两年对比终版!$A:$T,20,0)</f>
        <v>19</v>
      </c>
      <c r="BI34" s="45">
        <f t="shared" si="19"/>
        <v>0.42105263157894735</v>
      </c>
      <c r="BJ34" s="55">
        <f>VLOOKUP(C34,'[2]5月汇总'!$C:$AE,29,0)</f>
        <v>205</v>
      </c>
      <c r="BK34" s="55">
        <f t="shared" si="20"/>
        <v>283.96199999999999</v>
      </c>
      <c r="BL34" s="62">
        <f t="shared" si="21"/>
        <v>0.17747625</v>
      </c>
      <c r="BM34" s="55">
        <f>VLOOKUP(C34,[1]两年对比终版!$A:$W,23,0)</f>
        <v>329.72867100000002</v>
      </c>
      <c r="BN34" s="45">
        <f>(BK34-BM34)/BM34</f>
        <v>-0.13880100526653938</v>
      </c>
    </row>
    <row r="35" spans="1:66">
      <c r="A35" s="52">
        <v>29</v>
      </c>
      <c r="B35" s="52" t="s">
        <v>34</v>
      </c>
      <c r="C35" s="52" t="s">
        <v>59</v>
      </c>
      <c r="D35" s="53">
        <v>85</v>
      </c>
      <c r="E35" s="53">
        <v>29</v>
      </c>
      <c r="F35" s="44">
        <v>0.34117647058823503</v>
      </c>
      <c r="G35" s="53">
        <v>0</v>
      </c>
      <c r="H35" s="29">
        <v>1</v>
      </c>
      <c r="I35" s="53">
        <v>650</v>
      </c>
      <c r="J35" s="53">
        <v>214.149</v>
      </c>
      <c r="K35" s="44">
        <v>0.32945999999999998</v>
      </c>
      <c r="L35" s="53">
        <v>0</v>
      </c>
      <c r="M35" s="29">
        <v>1</v>
      </c>
      <c r="N35" s="53">
        <v>27</v>
      </c>
      <c r="O35" s="53">
        <v>0</v>
      </c>
      <c r="P35" s="44">
        <v>0</v>
      </c>
      <c r="Q35" s="53">
        <v>0</v>
      </c>
      <c r="R35" s="29" t="e">
        <v>#DIV/0!</v>
      </c>
      <c r="S35" s="53">
        <v>350</v>
      </c>
      <c r="T35" s="53">
        <v>0</v>
      </c>
      <c r="U35" s="44">
        <v>0</v>
      </c>
      <c r="V35" s="53">
        <v>0</v>
      </c>
      <c r="W35" s="29" t="e">
        <v>#DIV/0!</v>
      </c>
      <c r="X35" s="53">
        <v>27</v>
      </c>
      <c r="Y35" s="53">
        <v>0</v>
      </c>
      <c r="Z35" s="44">
        <v>0</v>
      </c>
      <c r="AA35" s="53">
        <v>0</v>
      </c>
      <c r="AB35" s="29" t="e">
        <v>#DIV/0!</v>
      </c>
      <c r="AC35" s="53">
        <v>350</v>
      </c>
      <c r="AD35" s="53">
        <v>0</v>
      </c>
      <c r="AE35" s="44">
        <v>0</v>
      </c>
      <c r="AF35" s="53">
        <v>0</v>
      </c>
      <c r="AG35" s="29" t="e">
        <f t="shared" si="2"/>
        <v>#DIV/0!</v>
      </c>
      <c r="AH35" s="54">
        <f>VLOOKUP(C35,'[2]5月汇总'!$C:$AE,24,0)</f>
        <v>41</v>
      </c>
      <c r="AI35" s="55">
        <f t="shared" si="36"/>
        <v>70</v>
      </c>
      <c r="AJ35" s="56">
        <f t="shared" si="37"/>
        <v>0.82352941176470584</v>
      </c>
      <c r="AK35" s="57">
        <f>VLOOKUP(C35,[1]两年对比终版!$A:$C,3,0)</f>
        <v>0</v>
      </c>
      <c r="AL35" s="57">
        <f t="shared" si="0"/>
        <v>70</v>
      </c>
      <c r="AM35" s="29" t="e">
        <f t="shared" si="5"/>
        <v>#DIV/0!</v>
      </c>
      <c r="AN35" s="54">
        <f>VLOOKUP(C35,'[2]5月汇总'!$C:$AA,25,0)</f>
        <v>235</v>
      </c>
      <c r="AO35" s="55">
        <f t="shared" si="38"/>
        <v>449.149</v>
      </c>
      <c r="AP35" s="56">
        <f t="shared" si="39"/>
        <v>0.69099846153846156</v>
      </c>
      <c r="AQ35" s="59">
        <f>VLOOKUP(C35,[1]两年对比终版!$A:$W,6,0)</f>
        <v>0</v>
      </c>
      <c r="AR35" s="29"/>
      <c r="AS35" s="54">
        <f>VLOOKUP(C35,'[2]5月汇总'!$C:$AE,26,0)</f>
        <v>5</v>
      </c>
      <c r="AT35" s="55">
        <f t="shared" si="40"/>
        <v>5</v>
      </c>
      <c r="AU35" s="56">
        <f t="shared" si="41"/>
        <v>0.18518518518518517</v>
      </c>
      <c r="AV35" s="60">
        <f>VLOOKUP(C35,[1]两年对比终版!$A:$N,14,0)</f>
        <v>0</v>
      </c>
      <c r="AW35" s="55">
        <f t="shared" si="11"/>
        <v>5</v>
      </c>
      <c r="AX35" s="45"/>
      <c r="AY35" s="55">
        <f>VLOOKUP(C35,'[2]5月汇总'!$C:$AE,27,0)</f>
        <v>50</v>
      </c>
      <c r="AZ35" s="55">
        <f t="shared" si="42"/>
        <v>50</v>
      </c>
      <c r="BA35" s="62">
        <f t="shared" si="43"/>
        <v>0.14285714285714285</v>
      </c>
      <c r="BB35" s="55">
        <f>VLOOKUP(C35,[1]两年对比终版!$A:$W,17,0)</f>
        <v>0</v>
      </c>
      <c r="BC35" s="61">
        <f t="shared" si="15"/>
        <v>50</v>
      </c>
      <c r="BD35" s="45"/>
      <c r="BE35" s="55">
        <f>VLOOKUP(C35,'[2]5月汇总'!$C:$AE,28,0)</f>
        <v>11</v>
      </c>
      <c r="BF35" s="55">
        <f t="shared" si="44"/>
        <v>11</v>
      </c>
      <c r="BG35" s="62">
        <f t="shared" si="45"/>
        <v>0.40740740740740738</v>
      </c>
      <c r="BH35" s="55">
        <f>VLOOKUP(C35,[1]两年对比终版!$A:$T,20,0)</f>
        <v>0</v>
      </c>
      <c r="BI35" s="45"/>
      <c r="BJ35" s="55">
        <f>VLOOKUP(C35,'[2]5月汇总'!$C:$AE,29,0)</f>
        <v>60</v>
      </c>
      <c r="BK35" s="55">
        <f t="shared" si="20"/>
        <v>60</v>
      </c>
      <c r="BL35" s="62">
        <f t="shared" si="21"/>
        <v>0.17142857142857143</v>
      </c>
      <c r="BM35" s="55">
        <f>VLOOKUP(C35,[1]两年对比终版!$A:$W,23,0)</f>
        <v>0</v>
      </c>
      <c r="BN35" s="45"/>
    </row>
    <row r="36" spans="1:66">
      <c r="A36" s="52">
        <v>30</v>
      </c>
      <c r="B36" s="52" t="s">
        <v>34</v>
      </c>
      <c r="C36" s="52" t="s">
        <v>60</v>
      </c>
      <c r="D36" s="53">
        <v>250</v>
      </c>
      <c r="E36" s="53">
        <v>51</v>
      </c>
      <c r="F36" s="44">
        <v>0.20399999999999999</v>
      </c>
      <c r="G36" s="53">
        <v>0</v>
      </c>
      <c r="H36" s="29">
        <v>1</v>
      </c>
      <c r="I36" s="53">
        <v>1700</v>
      </c>
      <c r="J36" s="53">
        <v>530.63199999999995</v>
      </c>
      <c r="K36" s="44">
        <v>0.31213647058823502</v>
      </c>
      <c r="L36" s="53">
        <v>0</v>
      </c>
      <c r="M36" s="29">
        <v>1</v>
      </c>
      <c r="N36" s="53">
        <v>42</v>
      </c>
      <c r="O36" s="53">
        <v>0</v>
      </c>
      <c r="P36" s="44">
        <v>0</v>
      </c>
      <c r="Q36" s="53">
        <v>0</v>
      </c>
      <c r="R36" s="29" t="e">
        <v>#DIV/0!</v>
      </c>
      <c r="S36" s="53">
        <v>400</v>
      </c>
      <c r="T36" s="53">
        <v>0</v>
      </c>
      <c r="U36" s="44">
        <v>0</v>
      </c>
      <c r="V36" s="53">
        <v>0</v>
      </c>
      <c r="W36" s="29" t="e">
        <v>#DIV/0!</v>
      </c>
      <c r="X36" s="53">
        <v>42</v>
      </c>
      <c r="Y36" s="53">
        <v>0</v>
      </c>
      <c r="Z36" s="44">
        <v>0</v>
      </c>
      <c r="AA36" s="53">
        <v>0</v>
      </c>
      <c r="AB36" s="29" t="e">
        <v>#DIV/0!</v>
      </c>
      <c r="AC36" s="53">
        <v>400</v>
      </c>
      <c r="AD36" s="53">
        <v>0</v>
      </c>
      <c r="AE36" s="44">
        <v>0</v>
      </c>
      <c r="AF36" s="53">
        <v>0</v>
      </c>
      <c r="AG36" s="29" t="e">
        <f t="shared" si="2"/>
        <v>#DIV/0!</v>
      </c>
      <c r="AH36" s="54">
        <f>VLOOKUP(C36,'[2]5月汇总'!$C:$AE,24,0)</f>
        <v>0</v>
      </c>
      <c r="AI36" s="55">
        <f t="shared" si="36"/>
        <v>51</v>
      </c>
      <c r="AJ36" s="56">
        <f t="shared" si="37"/>
        <v>0.20399999999999999</v>
      </c>
      <c r="AK36" s="57">
        <f>VLOOKUP(C36,[1]两年对比终版!$A:$C,3,0)</f>
        <v>0</v>
      </c>
      <c r="AL36" s="57">
        <f t="shared" si="0"/>
        <v>51</v>
      </c>
      <c r="AM36" s="29" t="e">
        <f t="shared" si="5"/>
        <v>#DIV/0!</v>
      </c>
      <c r="AN36" s="54">
        <f>VLOOKUP(C36,'[2]5月汇总'!$C:$AA,25,0)</f>
        <v>0</v>
      </c>
      <c r="AO36" s="55">
        <f t="shared" si="38"/>
        <v>530.63199999999995</v>
      </c>
      <c r="AP36" s="56">
        <f t="shared" si="39"/>
        <v>0.31213647058823524</v>
      </c>
      <c r="AQ36" s="59">
        <f>VLOOKUP(C36,[1]两年对比终版!$A:$W,6,0)</f>
        <v>0</v>
      </c>
      <c r="AR36" s="29"/>
      <c r="AS36" s="54">
        <f>VLOOKUP(C36,'[2]5月汇总'!$C:$AE,26,0)</f>
        <v>0</v>
      </c>
      <c r="AT36" s="55">
        <f t="shared" si="40"/>
        <v>0</v>
      </c>
      <c r="AU36" s="56">
        <f t="shared" si="41"/>
        <v>0</v>
      </c>
      <c r="AV36" s="60">
        <f>VLOOKUP(C36,[1]两年对比终版!$A:$N,14,0)</f>
        <v>0</v>
      </c>
      <c r="AW36" s="55">
        <f t="shared" si="11"/>
        <v>0</v>
      </c>
      <c r="AX36" s="45"/>
      <c r="AY36" s="55">
        <f>VLOOKUP(C36,'[2]5月汇总'!$C:$AE,27,0)</f>
        <v>0</v>
      </c>
      <c r="AZ36" s="55">
        <f t="shared" si="42"/>
        <v>0</v>
      </c>
      <c r="BA36" s="62">
        <f t="shared" si="43"/>
        <v>0</v>
      </c>
      <c r="BB36" s="55">
        <f>VLOOKUP(C36,[1]两年对比终版!$A:$W,17,0)</f>
        <v>0</v>
      </c>
      <c r="BC36" s="61">
        <f t="shared" si="15"/>
        <v>0</v>
      </c>
      <c r="BD36" s="45"/>
      <c r="BE36" s="55">
        <f>VLOOKUP(C36,'[2]5月汇总'!$C:$AE,28,0)</f>
        <v>0</v>
      </c>
      <c r="BF36" s="55">
        <f t="shared" si="44"/>
        <v>0</v>
      </c>
      <c r="BG36" s="62">
        <f t="shared" si="45"/>
        <v>0</v>
      </c>
      <c r="BH36" s="55">
        <f>VLOOKUP(C36,[1]两年对比终版!$A:$T,20,0)</f>
        <v>0</v>
      </c>
      <c r="BI36" s="45"/>
      <c r="BJ36" s="55">
        <f>VLOOKUP(C36,'[2]5月汇总'!$C:$AE,29,0)</f>
        <v>170</v>
      </c>
      <c r="BK36" s="55">
        <f t="shared" si="20"/>
        <v>170</v>
      </c>
      <c r="BL36" s="62">
        <f t="shared" si="21"/>
        <v>0.42499999999999999</v>
      </c>
      <c r="BM36" s="55">
        <f>VLOOKUP(C36,[1]两年对比终版!$A:$W,23,0)</f>
        <v>0</v>
      </c>
      <c r="BN36" s="45"/>
    </row>
    <row r="37" spans="1:66" s="77" customFormat="1">
      <c r="A37" s="78" t="s">
        <v>61</v>
      </c>
      <c r="B37" s="79"/>
      <c r="C37" s="79"/>
      <c r="D37" s="68">
        <v>1823</v>
      </c>
      <c r="E37" s="68">
        <v>401</v>
      </c>
      <c r="F37" s="69">
        <v>0.21996708721887001</v>
      </c>
      <c r="G37" s="68">
        <v>257</v>
      </c>
      <c r="H37" s="70">
        <v>0.35910224438902699</v>
      </c>
      <c r="I37" s="68">
        <v>15128.25</v>
      </c>
      <c r="J37" s="68">
        <v>4161.3010000000004</v>
      </c>
      <c r="K37" s="69">
        <v>0.27506823327218899</v>
      </c>
      <c r="L37" s="68">
        <v>2972.949615</v>
      </c>
      <c r="M37" s="70">
        <v>0.285572080702646</v>
      </c>
      <c r="N37" s="68">
        <v>501</v>
      </c>
      <c r="O37" s="68">
        <v>86</v>
      </c>
      <c r="P37" s="69">
        <v>0.17165668662674599</v>
      </c>
      <c r="Q37" s="68">
        <v>46</v>
      </c>
      <c r="R37" s="70">
        <v>0.46511627906976699</v>
      </c>
      <c r="S37" s="68">
        <v>6146.2449999999999</v>
      </c>
      <c r="T37" s="68">
        <v>789.06179999999995</v>
      </c>
      <c r="U37" s="69">
        <v>0.128381117251265</v>
      </c>
      <c r="V37" s="68">
        <v>584.48013200000003</v>
      </c>
      <c r="W37" s="70">
        <v>0.25927204687896399</v>
      </c>
      <c r="X37" s="68">
        <v>501</v>
      </c>
      <c r="Y37" s="68">
        <v>55</v>
      </c>
      <c r="Z37" s="69">
        <v>0.109780439121757</v>
      </c>
      <c r="AA37" s="68">
        <v>59</v>
      </c>
      <c r="AB37" s="70">
        <v>-7.2727272727272696E-2</v>
      </c>
      <c r="AC37" s="68">
        <v>6146.2449999999999</v>
      </c>
      <c r="AD37" s="68">
        <v>521.07740000000001</v>
      </c>
      <c r="AE37" s="69">
        <v>8.4779796444821198E-2</v>
      </c>
      <c r="AF37" s="68">
        <v>727.50165000000004</v>
      </c>
      <c r="AG37" s="70">
        <f t="shared" si="2"/>
        <v>-0.28374402999635812</v>
      </c>
      <c r="AH37" s="68">
        <f>SUM(AH26:AH36)</f>
        <v>239</v>
      </c>
      <c r="AI37" s="71">
        <f t="shared" si="36"/>
        <v>640</v>
      </c>
      <c r="AJ37" s="41">
        <f t="shared" si="37"/>
        <v>0.35106966538672518</v>
      </c>
      <c r="AK37" s="68">
        <f>SUM(AK26:AK36)</f>
        <v>467</v>
      </c>
      <c r="AL37" s="73">
        <f t="shared" si="0"/>
        <v>173</v>
      </c>
      <c r="AM37" s="70">
        <f t="shared" si="5"/>
        <v>0.37044967880085655</v>
      </c>
      <c r="AN37" s="68">
        <f>SUM(AN26:AN36)</f>
        <v>1769.02</v>
      </c>
      <c r="AO37" s="71">
        <f t="shared" si="38"/>
        <v>5930.3209999999999</v>
      </c>
      <c r="AP37" s="41">
        <f t="shared" si="39"/>
        <v>0.39200310677044603</v>
      </c>
      <c r="AQ37" s="68">
        <f>SUM(AQ26:AQ36)</f>
        <v>5851.5673800000004</v>
      </c>
      <c r="AR37" s="70">
        <f t="shared" si="8"/>
        <v>1.3458551339453173E-2</v>
      </c>
      <c r="AS37" s="68">
        <f>SUM(AS26:AS36)</f>
        <v>82</v>
      </c>
      <c r="AT37" s="71">
        <f t="shared" si="40"/>
        <v>168</v>
      </c>
      <c r="AU37" s="41">
        <f t="shared" si="41"/>
        <v>0.33532934131736525</v>
      </c>
      <c r="AV37" s="68">
        <f t="shared" ref="AV37:BB37" si="46">SUM(AV26:AV36)</f>
        <v>88</v>
      </c>
      <c r="AW37" s="71">
        <f t="shared" si="11"/>
        <v>80</v>
      </c>
      <c r="AX37" s="74">
        <f t="shared" si="12"/>
        <v>0.90909090909090906</v>
      </c>
      <c r="AY37" s="71">
        <f t="shared" si="46"/>
        <v>909.55599999999993</v>
      </c>
      <c r="AZ37" s="71">
        <f t="shared" si="42"/>
        <v>1698.6178</v>
      </c>
      <c r="BA37" s="75">
        <f t="shared" si="43"/>
        <v>0.27636675726398802</v>
      </c>
      <c r="BB37" s="68">
        <f t="shared" si="46"/>
        <v>1221.545443</v>
      </c>
      <c r="BC37" s="76">
        <f t="shared" si="15"/>
        <v>477.07235700000001</v>
      </c>
      <c r="BD37" s="74">
        <f t="shared" si="16"/>
        <v>0.39054818609805908</v>
      </c>
      <c r="BE37" s="71">
        <f>SUM(BE26:BE36)</f>
        <v>82</v>
      </c>
      <c r="BF37" s="71">
        <f t="shared" si="44"/>
        <v>137</v>
      </c>
      <c r="BG37" s="75">
        <f t="shared" si="45"/>
        <v>0.27345309381237526</v>
      </c>
      <c r="BH37" s="68">
        <f t="shared" ref="BH37:BM37" si="47">SUM(BH26:BH36)</f>
        <v>78</v>
      </c>
      <c r="BI37" s="74">
        <f t="shared" si="19"/>
        <v>0.75641025641025639</v>
      </c>
      <c r="BJ37" s="71">
        <f t="shared" si="47"/>
        <v>1110.6691863999999</v>
      </c>
      <c r="BK37" s="71">
        <f t="shared" si="20"/>
        <v>1631.7465864000001</v>
      </c>
      <c r="BL37" s="75">
        <f t="shared" si="21"/>
        <v>0.26548674620032231</v>
      </c>
      <c r="BM37" s="68">
        <f t="shared" si="47"/>
        <v>913.28936999999996</v>
      </c>
      <c r="BN37" s="74">
        <f t="shared" ref="BN37:BN43" si="48">(BK37-BM37)/BM37</f>
        <v>0.78666985514131205</v>
      </c>
    </row>
    <row r="38" spans="1:66">
      <c r="A38" s="52">
        <v>31</v>
      </c>
      <c r="B38" s="52" t="s">
        <v>31</v>
      </c>
      <c r="C38" s="52" t="s">
        <v>62</v>
      </c>
      <c r="D38" s="53">
        <v>63</v>
      </c>
      <c r="E38" s="53">
        <v>43</v>
      </c>
      <c r="F38" s="44">
        <v>0.682539682539683</v>
      </c>
      <c r="G38" s="53">
        <v>40</v>
      </c>
      <c r="H38" s="29">
        <v>6.9767441860465101E-2</v>
      </c>
      <c r="I38" s="53">
        <v>2450</v>
      </c>
      <c r="J38" s="53">
        <v>490.78699999999998</v>
      </c>
      <c r="K38" s="44">
        <v>0.200321224489796</v>
      </c>
      <c r="L38" s="53">
        <v>1027.712235</v>
      </c>
      <c r="M38" s="29">
        <v>-1.0940086738238799</v>
      </c>
      <c r="N38" s="53">
        <v>20</v>
      </c>
      <c r="O38" s="53">
        <v>5</v>
      </c>
      <c r="P38" s="44">
        <v>0.25</v>
      </c>
      <c r="Q38" s="53">
        <v>25</v>
      </c>
      <c r="R38" s="29">
        <v>-4</v>
      </c>
      <c r="S38" s="53">
        <v>900</v>
      </c>
      <c r="T38" s="53">
        <v>55.939300000000003</v>
      </c>
      <c r="U38" s="44">
        <v>6.2154777777777802E-2</v>
      </c>
      <c r="V38" s="53">
        <v>891.86092499999995</v>
      </c>
      <c r="W38" s="29">
        <v>-14.9433694200678</v>
      </c>
      <c r="X38" s="53">
        <v>20</v>
      </c>
      <c r="Y38" s="53">
        <v>1</v>
      </c>
      <c r="Z38" s="44">
        <v>0.05</v>
      </c>
      <c r="AA38" s="53">
        <v>16</v>
      </c>
      <c r="AB38" s="29">
        <v>-15</v>
      </c>
      <c r="AC38" s="53">
        <v>900</v>
      </c>
      <c r="AD38" s="53">
        <v>26.676100000000002</v>
      </c>
      <c r="AE38" s="44">
        <v>2.96401111111111E-2</v>
      </c>
      <c r="AF38" s="53">
        <v>539.00554999999997</v>
      </c>
      <c r="AG38" s="29">
        <f t="shared" ref="AG38:AG70" si="49">(AD38-AF38)/AF38</f>
        <v>-0.95050867286988039</v>
      </c>
      <c r="AH38" s="54">
        <f>VLOOKUP(C38,'[2]5月汇总'!$C:$AE,24,0)</f>
        <v>100</v>
      </c>
      <c r="AI38" s="55">
        <f t="shared" si="36"/>
        <v>143</v>
      </c>
      <c r="AJ38" s="56">
        <f t="shared" si="37"/>
        <v>2.2698412698412698</v>
      </c>
      <c r="AK38" s="57">
        <f>VLOOKUP(C38,[1]两年对比终版!$A:$C,3,0)</f>
        <v>42</v>
      </c>
      <c r="AL38" s="57">
        <f t="shared" si="0"/>
        <v>101</v>
      </c>
      <c r="AM38" s="29">
        <f t="shared" ref="AM38:AM70" si="50">(AI38-AK38)/AK38</f>
        <v>2.4047619047619047</v>
      </c>
      <c r="AN38" s="54">
        <f>VLOOKUP(C38,'[2]5月汇总'!$C:$AE,25,0)</f>
        <v>535</v>
      </c>
      <c r="AO38" s="55">
        <f t="shared" si="38"/>
        <v>1025.787</v>
      </c>
      <c r="AP38" s="56">
        <f t="shared" si="39"/>
        <v>0.41868857142857147</v>
      </c>
      <c r="AQ38" s="59">
        <f>VLOOKUP(C38,[1]两年对比终版!$A:$W,6,0)</f>
        <v>1049.7855669999999</v>
      </c>
      <c r="AR38" s="29">
        <f t="shared" ref="AR38:AR70" si="51">(AO38-AQ38)/AQ38</f>
        <v>-2.2860446699206591E-2</v>
      </c>
      <c r="AS38" s="54">
        <f>VLOOKUP(C38,'[2]5月汇总'!$C:$AE,26,0)</f>
        <v>30</v>
      </c>
      <c r="AT38" s="55">
        <f t="shared" si="40"/>
        <v>35</v>
      </c>
      <c r="AU38" s="56">
        <f t="shared" si="41"/>
        <v>1.75</v>
      </c>
      <c r="AV38" s="60">
        <f>VLOOKUP(C38,[1]两年对比终版!$A:$N,14,0)</f>
        <v>27</v>
      </c>
      <c r="AW38" s="55">
        <f t="shared" si="11"/>
        <v>8</v>
      </c>
      <c r="AX38" s="45">
        <f t="shared" ref="AX38:AX70" si="52">(AT38-AV38)/AV38</f>
        <v>0.29629629629629628</v>
      </c>
      <c r="AY38" s="63">
        <f>VLOOKUP(C38,'[2]5月汇总'!$C:$AE,27,0)</f>
        <v>315</v>
      </c>
      <c r="AZ38" s="63">
        <f t="shared" si="42"/>
        <v>370.9393</v>
      </c>
      <c r="BA38" s="64"/>
      <c r="BB38" s="55">
        <f>VLOOKUP(C38,[1]两年对比终版!$A:$W,17,0)</f>
        <v>913.934257</v>
      </c>
      <c r="BC38" s="61">
        <f t="shared" si="15"/>
        <v>-542.994957</v>
      </c>
      <c r="BD38" s="45">
        <f t="shared" ref="BD38:BD70" si="53">(AZ38-BB38)/BB38</f>
        <v>-0.59412912125910167</v>
      </c>
      <c r="BE38" s="55">
        <f>VLOOKUP(C38,'[2]5月汇总'!$C:$AE,28,0)</f>
        <v>30</v>
      </c>
      <c r="BF38" s="55">
        <f t="shared" si="44"/>
        <v>31</v>
      </c>
      <c r="BG38" s="64">
        <f t="shared" si="45"/>
        <v>1.55</v>
      </c>
      <c r="BH38" s="55">
        <f>VLOOKUP(C38,[1]两年对比终版!$A:$T,20,0)</f>
        <v>26</v>
      </c>
      <c r="BI38" s="45">
        <f t="shared" ref="BI38:BI70" si="54">(BF38-BH38)/BH38</f>
        <v>0.19230769230769232</v>
      </c>
      <c r="BJ38" s="55">
        <f>VLOOKUP(C38,'[2]5月汇总'!$C:$AE,29,0)</f>
        <v>315</v>
      </c>
      <c r="BK38" s="63">
        <f t="shared" si="20"/>
        <v>341.67610000000002</v>
      </c>
      <c r="BL38" s="64">
        <f t="shared" si="21"/>
        <v>0.37964011111111112</v>
      </c>
      <c r="BM38" s="55">
        <f>VLOOKUP(C38,[1]两年对比终版!$A:$W,23,0)</f>
        <v>895.74991999999997</v>
      </c>
      <c r="BN38" s="45">
        <f t="shared" si="48"/>
        <v>-0.61855860394606565</v>
      </c>
    </row>
    <row r="39" spans="1:66">
      <c r="A39" s="52"/>
      <c r="B39" s="52"/>
      <c r="C39" s="52"/>
      <c r="D39" s="53"/>
      <c r="E39" s="53"/>
      <c r="F39" s="44"/>
      <c r="G39" s="53"/>
      <c r="H39" s="29"/>
      <c r="I39" s="53"/>
      <c r="J39" s="53"/>
      <c r="K39" s="44"/>
      <c r="L39" s="53"/>
      <c r="M39" s="29"/>
      <c r="N39" s="53"/>
      <c r="O39" s="53"/>
      <c r="P39" s="44"/>
      <c r="Q39" s="53"/>
      <c r="R39" s="29"/>
      <c r="S39" s="53"/>
      <c r="T39" s="53"/>
      <c r="U39" s="44"/>
      <c r="V39" s="53"/>
      <c r="W39" s="29"/>
      <c r="X39" s="53"/>
      <c r="Y39" s="53"/>
      <c r="Z39" s="44"/>
      <c r="AA39" s="53"/>
      <c r="AB39" s="29"/>
      <c r="AC39" s="53"/>
      <c r="AD39" s="53"/>
      <c r="AE39" s="44"/>
      <c r="AF39" s="53"/>
      <c r="AG39" s="29"/>
      <c r="AH39" s="54"/>
      <c r="AI39" s="55"/>
      <c r="AJ39" s="56"/>
      <c r="AK39" s="57"/>
      <c r="AL39" s="57"/>
      <c r="AM39" s="29"/>
      <c r="AN39" s="54"/>
      <c r="AO39" s="55"/>
      <c r="AP39" s="56"/>
      <c r="AQ39" s="59"/>
      <c r="AR39" s="29"/>
      <c r="AS39" s="54">
        <f>AS47+AS38</f>
        <v>48</v>
      </c>
      <c r="AT39" s="54">
        <f>AT47+AT38</f>
        <v>53</v>
      </c>
      <c r="AU39" s="56"/>
      <c r="AV39" s="54">
        <f>AV47+AV38</f>
        <v>27</v>
      </c>
      <c r="AW39" s="54">
        <f>AW47+AW38</f>
        <v>26</v>
      </c>
      <c r="AX39" s="45">
        <f t="shared" si="52"/>
        <v>0.96296296296296291</v>
      </c>
      <c r="AY39" s="54">
        <f>AY47+AY38</f>
        <v>585</v>
      </c>
      <c r="AZ39" s="54">
        <f>AZ47+AZ38</f>
        <v>640.9393</v>
      </c>
      <c r="BA39" s="64"/>
      <c r="BB39" s="55">
        <f>BB38+BB47</f>
        <v>913.934257</v>
      </c>
      <c r="BC39" s="61">
        <f>BC38+BC47</f>
        <v>-272.994957</v>
      </c>
      <c r="BD39" s="45">
        <f t="shared" si="53"/>
        <v>-0.29870305758765314</v>
      </c>
      <c r="BE39" s="55">
        <f>BE38+BE47</f>
        <v>48</v>
      </c>
      <c r="BF39" s="55">
        <f>BF38+BF47</f>
        <v>49</v>
      </c>
      <c r="BG39" s="64"/>
      <c r="BH39" s="55">
        <f>BH38+BH47</f>
        <v>26</v>
      </c>
      <c r="BI39" s="45"/>
      <c r="BJ39" s="55">
        <f>BJ38+BJ47</f>
        <v>585</v>
      </c>
      <c r="BK39" s="55">
        <f>BK38+BK47</f>
        <v>611.67610000000002</v>
      </c>
      <c r="BL39" s="64"/>
      <c r="BM39" s="55">
        <f>BM38+BM47</f>
        <v>895.74991999999997</v>
      </c>
      <c r="BN39" s="45">
        <f t="shared" si="48"/>
        <v>-0.31713518880358926</v>
      </c>
    </row>
    <row r="40" spans="1:66">
      <c r="A40" s="52">
        <v>32</v>
      </c>
      <c r="B40" s="52" t="s">
        <v>25</v>
      </c>
      <c r="C40" s="52" t="s">
        <v>63</v>
      </c>
      <c r="D40" s="53">
        <v>733</v>
      </c>
      <c r="E40" s="53">
        <v>213</v>
      </c>
      <c r="F40" s="44">
        <v>0.29058663028649401</v>
      </c>
      <c r="G40" s="53">
        <v>288</v>
      </c>
      <c r="H40" s="29">
        <v>-0.352112676056338</v>
      </c>
      <c r="I40" s="53">
        <v>6860</v>
      </c>
      <c r="J40" s="53">
        <v>1838.18</v>
      </c>
      <c r="K40" s="44">
        <v>0.26795626822157398</v>
      </c>
      <c r="L40" s="53">
        <v>2858.8190140000002</v>
      </c>
      <c r="M40" s="29">
        <v>-0.55524432536530699</v>
      </c>
      <c r="N40" s="53">
        <v>200</v>
      </c>
      <c r="O40" s="53">
        <v>29</v>
      </c>
      <c r="P40" s="44">
        <v>0.14499999999999999</v>
      </c>
      <c r="Q40" s="53">
        <v>56</v>
      </c>
      <c r="R40" s="29">
        <v>-0.931034482758621</v>
      </c>
      <c r="S40" s="53">
        <v>2360</v>
      </c>
      <c r="T40" s="53">
        <v>257.589</v>
      </c>
      <c r="U40" s="44">
        <v>0.10914788135593199</v>
      </c>
      <c r="V40" s="53">
        <v>513.03621799999996</v>
      </c>
      <c r="W40" s="29">
        <v>-0.99168527382768701</v>
      </c>
      <c r="X40" s="53">
        <v>200</v>
      </c>
      <c r="Y40" s="53">
        <v>29</v>
      </c>
      <c r="Z40" s="44">
        <v>0.14499999999999999</v>
      </c>
      <c r="AA40" s="53">
        <v>60</v>
      </c>
      <c r="AB40" s="29">
        <v>-1.0689655172413799</v>
      </c>
      <c r="AC40" s="53">
        <v>2360</v>
      </c>
      <c r="AD40" s="53">
        <v>257.589</v>
      </c>
      <c r="AE40" s="44">
        <v>0.10914788135593199</v>
      </c>
      <c r="AF40" s="53">
        <v>501.76314000000002</v>
      </c>
      <c r="AG40" s="29">
        <f t="shared" si="49"/>
        <v>-0.48663227832957201</v>
      </c>
      <c r="AH40" s="54">
        <f>VLOOKUP(C40,'[2]5月汇总'!$C:$AE,24,0)</f>
        <v>129</v>
      </c>
      <c r="AI40" s="55">
        <f t="shared" ref="AI40:AI50" si="55">AH40+E40</f>
        <v>342</v>
      </c>
      <c r="AJ40" s="56">
        <f t="shared" ref="AJ40:AJ50" si="56">AI40/D40</f>
        <v>0.4665757162346521</v>
      </c>
      <c r="AK40" s="57">
        <f>VLOOKUP(C40,[1]两年对比终版!$A:$W,3,0)</f>
        <v>860</v>
      </c>
      <c r="AL40" s="57">
        <f t="shared" si="0"/>
        <v>-518</v>
      </c>
      <c r="AM40" s="29">
        <f t="shared" si="50"/>
        <v>-0.60232558139534886</v>
      </c>
      <c r="AN40" s="54">
        <f>VLOOKUP(C40,'[2]5月汇总'!$C:$AE,25,0)</f>
        <v>1030</v>
      </c>
      <c r="AO40" s="55">
        <f t="shared" ref="AO40:AO50" si="57">AN40+J40</f>
        <v>2868.1800000000003</v>
      </c>
      <c r="AP40" s="56">
        <f t="shared" ref="AP40:AP50" si="58">AO40/I40</f>
        <v>0.41810204081632657</v>
      </c>
      <c r="AQ40" s="59">
        <f>VLOOKUP(C40,[1]两年对比终版!$A:$W,6,0)</f>
        <v>7680.8760709999397</v>
      </c>
      <c r="AR40" s="29">
        <f t="shared" si="51"/>
        <v>-0.62658165898169416</v>
      </c>
      <c r="AS40" s="54">
        <f>VLOOKUP(C40,'[2]5月汇总'!$C:$AE,26,0)</f>
        <v>90</v>
      </c>
      <c r="AT40" s="55">
        <f t="shared" ref="AT40:AT50" si="59">AS40+O40</f>
        <v>119</v>
      </c>
      <c r="AU40" s="56">
        <f t="shared" ref="AU40:AU50" si="60">AT40/N40</f>
        <v>0.59499999999999997</v>
      </c>
      <c r="AV40" s="60">
        <f>VLOOKUP(C40,[1]两年对比终版!$A:$N,14,0)</f>
        <v>115</v>
      </c>
      <c r="AW40" s="55">
        <f t="shared" si="11"/>
        <v>4</v>
      </c>
      <c r="AX40" s="45">
        <f t="shared" si="52"/>
        <v>3.4782608695652174E-2</v>
      </c>
      <c r="AY40" s="63">
        <f>VLOOKUP(C40,'[2]5月汇总'!$C:$AE,27,0)</f>
        <v>720</v>
      </c>
      <c r="AZ40" s="63">
        <f t="shared" ref="AZ40:AZ50" si="61">AY40+T40</f>
        <v>977.58899999999994</v>
      </c>
      <c r="BA40" s="64">
        <f t="shared" ref="BA40:BA50" si="62">AZ40/S40</f>
        <v>0.41423262711864406</v>
      </c>
      <c r="BB40" s="55">
        <f>VLOOKUP(C40,[1]两年对比终版!$A:$W,17,0)</f>
        <v>999.50570600000003</v>
      </c>
      <c r="BC40" s="61">
        <f t="shared" si="15"/>
        <v>-21.91670600000009</v>
      </c>
      <c r="BD40" s="45">
        <f t="shared" si="53"/>
        <v>-2.1927544653757174E-2</v>
      </c>
      <c r="BE40" s="55">
        <f>VLOOKUP(C40,'[2]5月汇总'!$C:$AE,28,0)</f>
        <v>70</v>
      </c>
      <c r="BF40" s="55">
        <f t="shared" ref="BF40:BF50" si="63">BE40+Y40</f>
        <v>99</v>
      </c>
      <c r="BG40" s="64">
        <f t="shared" ref="BG40:BG50" si="64">BF40/X40</f>
        <v>0.495</v>
      </c>
      <c r="BH40" s="55">
        <f>VLOOKUP(C40,[1]两年对比终版!$A:$T,20,0)</f>
        <v>132</v>
      </c>
      <c r="BI40" s="45">
        <f t="shared" si="54"/>
        <v>-0.25</v>
      </c>
      <c r="BJ40" s="55">
        <f>VLOOKUP(C40,'[2]5月汇总'!$C:$AE,29,0)</f>
        <v>480</v>
      </c>
      <c r="BK40" s="63">
        <f t="shared" si="20"/>
        <v>737.58899999999994</v>
      </c>
      <c r="BL40" s="64">
        <f t="shared" si="21"/>
        <v>0.31253771186440676</v>
      </c>
      <c r="BM40" s="55">
        <f>VLOOKUP(C40,[1]两年对比终版!$A:$W,23,0)</f>
        <v>1132.2965879999999</v>
      </c>
      <c r="BN40" s="45">
        <f t="shared" si="48"/>
        <v>-0.34859028295508737</v>
      </c>
    </row>
    <row r="41" spans="1:66">
      <c r="A41" s="52">
        <v>33</v>
      </c>
      <c r="B41" s="52" t="s">
        <v>25</v>
      </c>
      <c r="C41" s="52" t="s">
        <v>64</v>
      </c>
      <c r="D41" s="53">
        <v>299</v>
      </c>
      <c r="E41" s="53">
        <v>89</v>
      </c>
      <c r="F41" s="44">
        <v>0.29765886287625398</v>
      </c>
      <c r="G41" s="53">
        <v>115</v>
      </c>
      <c r="H41" s="29">
        <v>-0.29213483146067398</v>
      </c>
      <c r="I41" s="53">
        <v>3710</v>
      </c>
      <c r="J41" s="53">
        <v>696.21100000000001</v>
      </c>
      <c r="K41" s="44">
        <v>0.18765795148247999</v>
      </c>
      <c r="L41" s="53">
        <v>884.79748700000096</v>
      </c>
      <c r="M41" s="29">
        <v>-0.27087547740555801</v>
      </c>
      <c r="N41" s="53">
        <v>150</v>
      </c>
      <c r="O41" s="53">
        <v>13</v>
      </c>
      <c r="P41" s="44">
        <v>8.6666666666666697E-2</v>
      </c>
      <c r="Q41" s="53">
        <v>14</v>
      </c>
      <c r="R41" s="29">
        <v>-7.69230769230769E-2</v>
      </c>
      <c r="S41" s="53">
        <v>1500</v>
      </c>
      <c r="T41" s="53">
        <v>108.78700000000001</v>
      </c>
      <c r="U41" s="44">
        <v>7.2524666666666696E-2</v>
      </c>
      <c r="V41" s="53">
        <v>188.043645</v>
      </c>
      <c r="W41" s="29">
        <v>-0.72854886153676401</v>
      </c>
      <c r="X41" s="53">
        <v>150</v>
      </c>
      <c r="Y41" s="53">
        <v>22</v>
      </c>
      <c r="Z41" s="44">
        <v>0.146666666666667</v>
      </c>
      <c r="AA41" s="53">
        <v>8</v>
      </c>
      <c r="AB41" s="29">
        <v>0.63636363636363602</v>
      </c>
      <c r="AC41" s="53">
        <v>1500</v>
      </c>
      <c r="AD41" s="53">
        <v>239.50200000000001</v>
      </c>
      <c r="AE41" s="44">
        <v>0.159668</v>
      </c>
      <c r="AF41" s="53">
        <v>74.390415000000004</v>
      </c>
      <c r="AG41" s="29">
        <f t="shared" si="49"/>
        <v>2.2195276770535557</v>
      </c>
      <c r="AH41" s="54">
        <f>VLOOKUP(C41,'[2]5月汇总'!$C:$AE,24,0)</f>
        <v>94</v>
      </c>
      <c r="AI41" s="55">
        <f t="shared" si="55"/>
        <v>183</v>
      </c>
      <c r="AJ41" s="56">
        <f t="shared" si="56"/>
        <v>0.61204013377926425</v>
      </c>
      <c r="AK41" s="57">
        <f>VLOOKUP(C41,[1]两年对比终版!$A:$W,3,0)</f>
        <v>380</v>
      </c>
      <c r="AL41" s="57">
        <f t="shared" si="0"/>
        <v>-197</v>
      </c>
      <c r="AM41" s="29">
        <f t="shared" si="50"/>
        <v>-0.51842105263157889</v>
      </c>
      <c r="AN41" s="54">
        <f>VLOOKUP(C41,'[2]5月汇总'!$C:$AE,25,0)</f>
        <v>610</v>
      </c>
      <c r="AO41" s="55">
        <f t="shared" si="57"/>
        <v>1306.211</v>
      </c>
      <c r="AP41" s="56">
        <f t="shared" si="58"/>
        <v>0.35207843665768196</v>
      </c>
      <c r="AQ41" s="59">
        <f>VLOOKUP(C41,[1]两年对比终版!$A:$W,6,0)</f>
        <v>2999.3153000000002</v>
      </c>
      <c r="AR41" s="29">
        <f t="shared" si="51"/>
        <v>-0.56449693701759196</v>
      </c>
      <c r="AS41" s="54">
        <f>VLOOKUP(C41,'[2]5月汇总'!$C:$AE,26,0)</f>
        <v>67</v>
      </c>
      <c r="AT41" s="55">
        <f t="shared" si="59"/>
        <v>80</v>
      </c>
      <c r="AU41" s="56">
        <f t="shared" si="60"/>
        <v>0.53333333333333333</v>
      </c>
      <c r="AV41" s="60">
        <f>VLOOKUP(C41,[1]两年对比终版!$A:$N,14,0)</f>
        <v>18</v>
      </c>
      <c r="AW41" s="55">
        <f t="shared" si="11"/>
        <v>62</v>
      </c>
      <c r="AX41" s="45">
        <f t="shared" si="52"/>
        <v>3.4444444444444446</v>
      </c>
      <c r="AY41" s="55">
        <f>VLOOKUP(C41,'[2]5月汇总'!$C:$AE,27,0)</f>
        <v>401</v>
      </c>
      <c r="AZ41" s="55">
        <f t="shared" si="61"/>
        <v>509.78700000000003</v>
      </c>
      <c r="BA41" s="62">
        <f t="shared" si="62"/>
        <v>0.33985800000000005</v>
      </c>
      <c r="BB41" s="55">
        <f>VLOOKUP(C41,[1]两年对比终版!$A:$W,17,0)</f>
        <v>244.92996500000001</v>
      </c>
      <c r="BC41" s="61">
        <f t="shared" si="15"/>
        <v>264.857035</v>
      </c>
      <c r="BD41" s="45">
        <f t="shared" si="53"/>
        <v>1.0813582364248491</v>
      </c>
      <c r="BE41" s="55">
        <f>VLOOKUP(C41,'[2]5月汇总'!$C:$AE,28,0)</f>
        <v>40</v>
      </c>
      <c r="BF41" s="55">
        <f t="shared" si="63"/>
        <v>62</v>
      </c>
      <c r="BG41" s="62">
        <f t="shared" si="64"/>
        <v>0.41333333333333333</v>
      </c>
      <c r="BH41" s="55">
        <f>VLOOKUP(C41,[1]两年对比终版!$A:$T,20,0)</f>
        <v>22</v>
      </c>
      <c r="BI41" s="45">
        <f t="shared" si="54"/>
        <v>1.8181818181818181</v>
      </c>
      <c r="BJ41" s="55">
        <f>VLOOKUP(C41,'[2]5月汇总'!$C:$AE,29,0)</f>
        <v>390</v>
      </c>
      <c r="BK41" s="55">
        <f t="shared" si="20"/>
        <v>629.50199999999995</v>
      </c>
      <c r="BL41" s="62">
        <f t="shared" si="21"/>
        <v>0.41966799999999999</v>
      </c>
      <c r="BM41" s="55">
        <f>VLOOKUP(C41,[1]两年对比终版!$A:$W,23,0)</f>
        <v>262.43405999999999</v>
      </c>
      <c r="BN41" s="45">
        <f t="shared" si="48"/>
        <v>1.398705411942337</v>
      </c>
    </row>
    <row r="42" spans="1:66">
      <c r="A42" s="52">
        <v>34</v>
      </c>
      <c r="B42" s="52" t="s">
        <v>34</v>
      </c>
      <c r="C42" s="52" t="s">
        <v>65</v>
      </c>
      <c r="D42" s="53">
        <v>136</v>
      </c>
      <c r="E42" s="53">
        <v>25</v>
      </c>
      <c r="F42" s="44">
        <v>0.183823529411765</v>
      </c>
      <c r="G42" s="53">
        <v>30</v>
      </c>
      <c r="H42" s="29">
        <v>-0.2</v>
      </c>
      <c r="I42" s="53">
        <v>1820</v>
      </c>
      <c r="J42" s="53">
        <v>479.952</v>
      </c>
      <c r="K42" s="44">
        <v>0.26370989010988999</v>
      </c>
      <c r="L42" s="53">
        <v>304.12705499999998</v>
      </c>
      <c r="M42" s="29">
        <v>0.36633860261026102</v>
      </c>
      <c r="N42" s="53">
        <v>64</v>
      </c>
      <c r="O42" s="53">
        <v>0</v>
      </c>
      <c r="P42" s="44">
        <v>0</v>
      </c>
      <c r="Q42" s="53">
        <v>10</v>
      </c>
      <c r="R42" s="29" t="e">
        <v>#DIV/0!</v>
      </c>
      <c r="S42" s="53">
        <v>732</v>
      </c>
      <c r="T42" s="53">
        <v>0</v>
      </c>
      <c r="U42" s="44">
        <v>0</v>
      </c>
      <c r="V42" s="53">
        <v>117.15049500000001</v>
      </c>
      <c r="W42" s="29" t="e">
        <v>#DIV/0!</v>
      </c>
      <c r="X42" s="53">
        <v>64</v>
      </c>
      <c r="Y42" s="53">
        <v>9</v>
      </c>
      <c r="Z42" s="44">
        <v>0.140625</v>
      </c>
      <c r="AA42" s="53">
        <v>5</v>
      </c>
      <c r="AB42" s="29">
        <v>0.44444444444444398</v>
      </c>
      <c r="AC42" s="53">
        <v>732</v>
      </c>
      <c r="AD42" s="53">
        <v>87.084900000000005</v>
      </c>
      <c r="AE42" s="44">
        <v>0.118968442622951</v>
      </c>
      <c r="AF42" s="53">
        <v>62.953740000000003</v>
      </c>
      <c r="AG42" s="29">
        <f t="shared" si="49"/>
        <v>0.38331574899283188</v>
      </c>
      <c r="AH42" s="54">
        <f>VLOOKUP(C42,'[2]5月汇总'!$C:$AE,24,0)</f>
        <v>40</v>
      </c>
      <c r="AI42" s="55">
        <f t="shared" si="55"/>
        <v>65</v>
      </c>
      <c r="AJ42" s="56">
        <f t="shared" si="56"/>
        <v>0.47794117647058826</v>
      </c>
      <c r="AK42" s="57">
        <f>VLOOKUP(C42,[1]两年对比终版!$A:$W,3,0)</f>
        <v>77</v>
      </c>
      <c r="AL42" s="57">
        <f t="shared" si="0"/>
        <v>-12</v>
      </c>
      <c r="AM42" s="29">
        <f t="shared" si="50"/>
        <v>-0.15584415584415584</v>
      </c>
      <c r="AN42" s="54">
        <f>VLOOKUP(C42,'[2]5月汇总'!$C:$AE,25,0)</f>
        <v>400</v>
      </c>
      <c r="AO42" s="55">
        <f t="shared" si="57"/>
        <v>879.952</v>
      </c>
      <c r="AP42" s="56">
        <f t="shared" si="58"/>
        <v>0.48349010989010988</v>
      </c>
      <c r="AQ42" s="59">
        <f>VLOOKUP(C42,[1]两年对比终版!$A:$W,6,0)</f>
        <v>1017.1580300000001</v>
      </c>
      <c r="AR42" s="29">
        <f t="shared" si="51"/>
        <v>-0.13489155662468696</v>
      </c>
      <c r="AS42" s="54">
        <f>VLOOKUP(C42,'[2]5月汇总'!$C:$AE,26,0)</f>
        <v>7</v>
      </c>
      <c r="AT42" s="55">
        <f t="shared" si="59"/>
        <v>7</v>
      </c>
      <c r="AU42" s="56">
        <f t="shared" si="60"/>
        <v>0.109375</v>
      </c>
      <c r="AV42" s="60">
        <f>VLOOKUP(C42,[1]两年对比终版!$A:$N,14,0)</f>
        <v>11</v>
      </c>
      <c r="AW42" s="55">
        <f t="shared" si="11"/>
        <v>-4</v>
      </c>
      <c r="AX42" s="45">
        <f t="shared" si="52"/>
        <v>-0.36363636363636365</v>
      </c>
      <c r="AY42" s="55">
        <f>VLOOKUP(C42,'[2]5月汇总'!$C:$AE,27,0)</f>
        <v>160</v>
      </c>
      <c r="AZ42" s="55">
        <f t="shared" si="61"/>
        <v>160</v>
      </c>
      <c r="BA42" s="62">
        <f t="shared" si="62"/>
        <v>0.21857923497267759</v>
      </c>
      <c r="BB42" s="55">
        <f>VLOOKUP(C42,[1]两年对比终版!$A:$W,17,0)</f>
        <v>126.799567</v>
      </c>
      <c r="BC42" s="61">
        <f t="shared" si="15"/>
        <v>33.200433000000004</v>
      </c>
      <c r="BD42" s="45">
        <f t="shared" si="53"/>
        <v>0.26183396194089531</v>
      </c>
      <c r="BE42" s="55">
        <f>VLOOKUP(C42,'[2]5月汇总'!$C:$AE,28,0)</f>
        <v>2</v>
      </c>
      <c r="BF42" s="55">
        <f t="shared" si="63"/>
        <v>11</v>
      </c>
      <c r="BG42" s="62">
        <f t="shared" si="64"/>
        <v>0.171875</v>
      </c>
      <c r="BH42" s="55">
        <f>VLOOKUP(C42,[1]两年对比终版!$A:$T,20,0)</f>
        <v>12</v>
      </c>
      <c r="BI42" s="45">
        <f t="shared" si="54"/>
        <v>-8.3333333333333329E-2</v>
      </c>
      <c r="BJ42" s="55">
        <f>VLOOKUP(C42,'[2]5月汇总'!$C:$AE,29,0)</f>
        <v>20</v>
      </c>
      <c r="BK42" s="55">
        <f t="shared" si="20"/>
        <v>107.0849</v>
      </c>
      <c r="BL42" s="62">
        <f t="shared" si="21"/>
        <v>0.14629084699453551</v>
      </c>
      <c r="BM42" s="55">
        <f>VLOOKUP(C42,[1]两年对比终版!$A:$W,23,0)</f>
        <v>134.82774499999999</v>
      </c>
      <c r="BN42" s="45">
        <f t="shared" si="48"/>
        <v>-0.20576510420759458</v>
      </c>
    </row>
    <row r="43" spans="1:66">
      <c r="A43" s="52">
        <v>35</v>
      </c>
      <c r="B43" s="52" t="s">
        <v>25</v>
      </c>
      <c r="C43" s="52" t="s">
        <v>66</v>
      </c>
      <c r="D43" s="53">
        <v>416</v>
      </c>
      <c r="E43" s="53">
        <v>88</v>
      </c>
      <c r="F43" s="44">
        <v>0.21153846153846201</v>
      </c>
      <c r="G43" s="53">
        <v>103</v>
      </c>
      <c r="H43" s="29">
        <v>-0.170454545454545</v>
      </c>
      <c r="I43" s="53">
        <v>3710</v>
      </c>
      <c r="J43" s="53">
        <v>778.69600000000003</v>
      </c>
      <c r="K43" s="44">
        <v>0.209891105121294</v>
      </c>
      <c r="L43" s="53">
        <v>727.193523999999</v>
      </c>
      <c r="M43" s="29">
        <v>6.6139386872413594E-2</v>
      </c>
      <c r="N43" s="53">
        <v>150</v>
      </c>
      <c r="O43" s="53">
        <v>34</v>
      </c>
      <c r="P43" s="44">
        <v>0.22666666666666699</v>
      </c>
      <c r="Q43" s="53">
        <v>46</v>
      </c>
      <c r="R43" s="29">
        <v>-0.35294117647058798</v>
      </c>
      <c r="S43" s="53">
        <v>1500</v>
      </c>
      <c r="T43" s="53">
        <v>246.24600000000001</v>
      </c>
      <c r="U43" s="44">
        <v>0.164164</v>
      </c>
      <c r="V43" s="53">
        <v>332.66630500000002</v>
      </c>
      <c r="W43" s="29">
        <v>-0.35095110174378502</v>
      </c>
      <c r="X43" s="53">
        <v>150</v>
      </c>
      <c r="Y43" s="53">
        <v>32</v>
      </c>
      <c r="Z43" s="44">
        <v>0.21333333333333299</v>
      </c>
      <c r="AA43" s="53">
        <v>32</v>
      </c>
      <c r="AB43" s="29">
        <v>0</v>
      </c>
      <c r="AC43" s="53">
        <v>1500</v>
      </c>
      <c r="AD43" s="53">
        <v>217.11699999999999</v>
      </c>
      <c r="AE43" s="44">
        <v>0.14474466666666699</v>
      </c>
      <c r="AF43" s="53">
        <v>238.98826600000001</v>
      </c>
      <c r="AG43" s="29">
        <f t="shared" si="49"/>
        <v>-9.151606631599235E-2</v>
      </c>
      <c r="AH43" s="54">
        <f>VLOOKUP(C43,'[2]5月汇总'!$C:$AE,24,0)</f>
        <v>59</v>
      </c>
      <c r="AI43" s="55">
        <f t="shared" si="55"/>
        <v>147</v>
      </c>
      <c r="AJ43" s="56">
        <f t="shared" si="56"/>
        <v>0.35336538461538464</v>
      </c>
      <c r="AK43" s="57">
        <f>VLOOKUP(C43,[1]两年对比终版!$A:$W,3,0)</f>
        <v>404</v>
      </c>
      <c r="AL43" s="57">
        <f t="shared" si="0"/>
        <v>-257</v>
      </c>
      <c r="AM43" s="29">
        <f t="shared" si="50"/>
        <v>-0.63613861386138615</v>
      </c>
      <c r="AN43" s="54">
        <f>VLOOKUP(C43,'[2]5月汇总'!$C:$AE,25,0)</f>
        <v>610</v>
      </c>
      <c r="AO43" s="55">
        <f t="shared" si="57"/>
        <v>1388.6959999999999</v>
      </c>
      <c r="AP43" s="56">
        <f t="shared" si="58"/>
        <v>0.37431159029649591</v>
      </c>
      <c r="AQ43" s="59">
        <f>VLOOKUP(C43,[1]两年对比终版!$A:$W,6,0)</f>
        <v>3426.458329</v>
      </c>
      <c r="AR43" s="29">
        <f t="shared" si="51"/>
        <v>-0.5947138804383808</v>
      </c>
      <c r="AS43" s="54">
        <f>VLOOKUP(C43,'[2]5月汇总'!$C:$AE,26,0)</f>
        <v>67</v>
      </c>
      <c r="AT43" s="55">
        <f t="shared" si="59"/>
        <v>101</v>
      </c>
      <c r="AU43" s="56">
        <f t="shared" si="60"/>
        <v>0.67333333333333334</v>
      </c>
      <c r="AV43" s="60">
        <f>VLOOKUP(C43,[1]两年对比终版!$A:$N,14,0)</f>
        <v>63</v>
      </c>
      <c r="AW43" s="55">
        <f t="shared" si="11"/>
        <v>38</v>
      </c>
      <c r="AX43" s="45">
        <f t="shared" si="52"/>
        <v>0.60317460317460314</v>
      </c>
      <c r="AY43" s="55">
        <f>VLOOKUP(C43,'[2]5月汇总'!$C:$AE,27,0)</f>
        <v>600</v>
      </c>
      <c r="AZ43" s="55">
        <f t="shared" si="61"/>
        <v>846.24599999999998</v>
      </c>
      <c r="BA43" s="62">
        <f t="shared" si="62"/>
        <v>0.564164</v>
      </c>
      <c r="BB43" s="55">
        <f>VLOOKUP(C43,[1]两年对比终版!$A:$W,17,0)</f>
        <v>500.02766100000002</v>
      </c>
      <c r="BC43" s="61">
        <f t="shared" si="15"/>
        <v>346.21833899999996</v>
      </c>
      <c r="BD43" s="45">
        <f t="shared" si="53"/>
        <v>0.69239837313720121</v>
      </c>
      <c r="BE43" s="55">
        <f>VLOOKUP(C43,'[2]5月汇总'!$C:$AE,28,0)</f>
        <v>46</v>
      </c>
      <c r="BF43" s="55">
        <f t="shared" si="63"/>
        <v>78</v>
      </c>
      <c r="BG43" s="62">
        <f t="shared" si="64"/>
        <v>0.52</v>
      </c>
      <c r="BH43" s="55">
        <f>VLOOKUP(C43,[1]两年对比终版!$A:$T,20,0)</f>
        <v>52</v>
      </c>
      <c r="BI43" s="45">
        <f t="shared" si="54"/>
        <v>0.5</v>
      </c>
      <c r="BJ43" s="55">
        <f>VLOOKUP(C43,'[2]5月汇总'!$C:$AE,29,0)</f>
        <v>460</v>
      </c>
      <c r="BK43" s="55">
        <f t="shared" si="20"/>
        <v>677.11699999999996</v>
      </c>
      <c r="BL43" s="62">
        <f t="shared" si="21"/>
        <v>0.45141133333333333</v>
      </c>
      <c r="BM43" s="55">
        <f>VLOOKUP(C43,[1]两年对比终版!$A:$W,23,0)</f>
        <v>388.01157699999999</v>
      </c>
      <c r="BN43" s="45">
        <f t="shared" si="48"/>
        <v>0.74509483772439089</v>
      </c>
    </row>
    <row r="44" spans="1:66">
      <c r="A44" s="52">
        <v>36</v>
      </c>
      <c r="B44" s="52" t="s">
        <v>34</v>
      </c>
      <c r="C44" s="52" t="s">
        <v>67</v>
      </c>
      <c r="D44" s="53">
        <v>50</v>
      </c>
      <c r="E44" s="53">
        <v>12</v>
      </c>
      <c r="F44" s="44">
        <v>0.24</v>
      </c>
      <c r="G44" s="53">
        <v>0</v>
      </c>
      <c r="H44" s="29">
        <v>1</v>
      </c>
      <c r="I44" s="53">
        <v>700</v>
      </c>
      <c r="J44" s="53">
        <v>155.36600000000001</v>
      </c>
      <c r="K44" s="44">
        <v>0.22195142857142899</v>
      </c>
      <c r="L44" s="53">
        <v>0</v>
      </c>
      <c r="M44" s="29">
        <v>1</v>
      </c>
      <c r="N44" s="53">
        <v>42</v>
      </c>
      <c r="O44" s="53">
        <v>0</v>
      </c>
      <c r="P44" s="44">
        <v>0</v>
      </c>
      <c r="Q44" s="53">
        <v>0</v>
      </c>
      <c r="R44" s="29" t="e">
        <v>#DIV/0!</v>
      </c>
      <c r="S44" s="53">
        <v>500</v>
      </c>
      <c r="T44" s="53">
        <v>0</v>
      </c>
      <c r="U44" s="44">
        <v>0</v>
      </c>
      <c r="V44" s="53">
        <v>0</v>
      </c>
      <c r="W44" s="29" t="e">
        <v>#DIV/0!</v>
      </c>
      <c r="X44" s="53">
        <v>42</v>
      </c>
      <c r="Y44" s="53">
        <v>0</v>
      </c>
      <c r="Z44" s="44">
        <v>0</v>
      </c>
      <c r="AA44" s="53">
        <v>0</v>
      </c>
      <c r="AB44" s="29" t="e">
        <v>#DIV/0!</v>
      </c>
      <c r="AC44" s="53">
        <v>500</v>
      </c>
      <c r="AD44" s="53">
        <v>0</v>
      </c>
      <c r="AE44" s="44">
        <v>0</v>
      </c>
      <c r="AF44" s="53">
        <v>0</v>
      </c>
      <c r="AG44" s="29" t="e">
        <f t="shared" si="49"/>
        <v>#DIV/0!</v>
      </c>
      <c r="AH44" s="54">
        <f>VLOOKUP(C44,'[2]5月汇总'!$C:$AE,24,0)</f>
        <v>16</v>
      </c>
      <c r="AI44" s="55">
        <f t="shared" si="55"/>
        <v>28</v>
      </c>
      <c r="AJ44" s="56">
        <f t="shared" si="56"/>
        <v>0.56000000000000005</v>
      </c>
      <c r="AK44" s="57">
        <f>VLOOKUP(C44,[1]两年对比终版!$A:$W,3,0)</f>
        <v>0</v>
      </c>
      <c r="AL44" s="57">
        <f t="shared" si="0"/>
        <v>28</v>
      </c>
      <c r="AM44" s="29" t="e">
        <f t="shared" si="50"/>
        <v>#DIV/0!</v>
      </c>
      <c r="AN44" s="54">
        <f>VLOOKUP(C44,'[2]5月汇总'!$C:$AE,25,0)</f>
        <v>97.92</v>
      </c>
      <c r="AO44" s="55">
        <f t="shared" si="57"/>
        <v>253.286</v>
      </c>
      <c r="AP44" s="56">
        <f t="shared" si="58"/>
        <v>0.36183714285714286</v>
      </c>
      <c r="AQ44" s="59">
        <f>VLOOKUP(C44,[1]两年对比终版!$A:$W,6,0)</f>
        <v>0</v>
      </c>
      <c r="AR44" s="29"/>
      <c r="AS44" s="54">
        <f>VLOOKUP(C44,'[2]5月汇总'!$C:$AE,26,0)</f>
        <v>6</v>
      </c>
      <c r="AT44" s="55">
        <f t="shared" si="59"/>
        <v>6</v>
      </c>
      <c r="AU44" s="56">
        <f t="shared" si="60"/>
        <v>0.14285714285714285</v>
      </c>
      <c r="AV44" s="60">
        <f>VLOOKUP(C44,[1]两年对比终版!$A:$N,14,0)</f>
        <v>0</v>
      </c>
      <c r="AW44" s="55">
        <f t="shared" si="11"/>
        <v>6</v>
      </c>
      <c r="AX44" s="45"/>
      <c r="AY44" s="55">
        <f>VLOOKUP(C44,'[2]5月汇总'!$C:$AE,27,0)</f>
        <v>36.72</v>
      </c>
      <c r="AZ44" s="55">
        <f t="shared" si="61"/>
        <v>36.72</v>
      </c>
      <c r="BA44" s="62">
        <f t="shared" si="62"/>
        <v>7.3439999999999991E-2</v>
      </c>
      <c r="BB44" s="55">
        <f>VLOOKUP(C44,[1]两年对比终版!$A:$W,17,0)</f>
        <v>0</v>
      </c>
      <c r="BC44" s="61">
        <f t="shared" si="15"/>
        <v>36.72</v>
      </c>
      <c r="BD44" s="45"/>
      <c r="BE44" s="55">
        <f>VLOOKUP(C44,'[2]5月汇总'!$C:$AE,28,0)</f>
        <v>2</v>
      </c>
      <c r="BF44" s="55">
        <f t="shared" si="63"/>
        <v>2</v>
      </c>
      <c r="BG44" s="62">
        <f t="shared" si="64"/>
        <v>4.7619047619047616E-2</v>
      </c>
      <c r="BH44" s="55">
        <f>VLOOKUP(C44,[1]两年对比终版!$A:$T,20,0)</f>
        <v>0</v>
      </c>
      <c r="BI44" s="45"/>
      <c r="BJ44" s="55">
        <f>VLOOKUP(C44,'[2]5月汇总'!$C:$AE,29,0)</f>
        <v>12.24</v>
      </c>
      <c r="BK44" s="55">
        <f t="shared" si="20"/>
        <v>12.24</v>
      </c>
      <c r="BL44" s="62">
        <f t="shared" si="21"/>
        <v>2.4480000000000002E-2</v>
      </c>
      <c r="BM44" s="55">
        <f>VLOOKUP(C44,[1]两年对比终版!$A:$W,23,0)</f>
        <v>0</v>
      </c>
      <c r="BN44" s="45"/>
    </row>
    <row r="45" spans="1:66">
      <c r="A45" s="52">
        <v>37</v>
      </c>
      <c r="B45" s="52" t="s">
        <v>39</v>
      </c>
      <c r="C45" s="52" t="s">
        <v>68</v>
      </c>
      <c r="D45" s="53">
        <v>81</v>
      </c>
      <c r="E45" s="53">
        <v>24</v>
      </c>
      <c r="F45" s="44">
        <v>0.296296296296296</v>
      </c>
      <c r="G45" s="53">
        <v>19</v>
      </c>
      <c r="H45" s="29">
        <v>0.20833333333333301</v>
      </c>
      <c r="I45" s="53">
        <v>700</v>
      </c>
      <c r="J45" s="53">
        <v>292.14400000000001</v>
      </c>
      <c r="K45" s="44">
        <v>0.41734857142857201</v>
      </c>
      <c r="L45" s="53">
        <v>141.60718600000001</v>
      </c>
      <c r="M45" s="29">
        <v>0.51528292212059801</v>
      </c>
      <c r="N45" s="53">
        <v>42</v>
      </c>
      <c r="O45" s="53">
        <v>8</v>
      </c>
      <c r="P45" s="44">
        <v>0.19047619047618999</v>
      </c>
      <c r="Q45" s="53">
        <v>5</v>
      </c>
      <c r="R45" s="29">
        <v>0.375</v>
      </c>
      <c r="S45" s="53">
        <v>300</v>
      </c>
      <c r="T45" s="53">
        <v>65.929400000000001</v>
      </c>
      <c r="U45" s="44">
        <v>0.219764666666667</v>
      </c>
      <c r="V45" s="53">
        <v>36.667755</v>
      </c>
      <c r="W45" s="29">
        <v>0.44383302441702799</v>
      </c>
      <c r="X45" s="53">
        <v>42</v>
      </c>
      <c r="Y45" s="53">
        <v>4</v>
      </c>
      <c r="Z45" s="44">
        <v>9.5238095238095205E-2</v>
      </c>
      <c r="AA45" s="53">
        <v>0</v>
      </c>
      <c r="AB45" s="29">
        <v>1</v>
      </c>
      <c r="AC45" s="53">
        <v>300</v>
      </c>
      <c r="AD45" s="53">
        <v>29.107900000000001</v>
      </c>
      <c r="AE45" s="44">
        <v>9.7026333333333298E-2</v>
      </c>
      <c r="AF45" s="53">
        <v>0</v>
      </c>
      <c r="AG45" s="29" t="e">
        <f t="shared" si="49"/>
        <v>#DIV/0!</v>
      </c>
      <c r="AH45" s="54">
        <f>VLOOKUP(C45,'[2]5月汇总'!$C:$AE,24,0)</f>
        <v>6</v>
      </c>
      <c r="AI45" s="55">
        <f t="shared" si="55"/>
        <v>30</v>
      </c>
      <c r="AJ45" s="56">
        <f t="shared" si="56"/>
        <v>0.37037037037037035</v>
      </c>
      <c r="AK45" s="57">
        <f>VLOOKUP(C45,[1]两年对比终版!$A:$W,3,0)</f>
        <v>53</v>
      </c>
      <c r="AL45" s="57">
        <f t="shared" si="0"/>
        <v>-23</v>
      </c>
      <c r="AM45" s="29">
        <f t="shared" si="50"/>
        <v>-0.43396226415094341</v>
      </c>
      <c r="AN45" s="54">
        <f>VLOOKUP(C45,'[2]5月汇总'!$C:$AE,25,0)</f>
        <v>45</v>
      </c>
      <c r="AO45" s="55">
        <f t="shared" si="57"/>
        <v>337.14400000000001</v>
      </c>
      <c r="AP45" s="56">
        <f t="shared" si="58"/>
        <v>0.48163428571428574</v>
      </c>
      <c r="AQ45" s="59">
        <f>VLOOKUP(C45,[1]两年对比终版!$A:$W,6,0)</f>
        <v>592.63861599999996</v>
      </c>
      <c r="AR45" s="29">
        <f t="shared" si="51"/>
        <v>-0.43111368227142316</v>
      </c>
      <c r="AS45" s="54">
        <f>VLOOKUP(C45,'[2]5月汇总'!$C:$AE,26,0)</f>
        <v>6</v>
      </c>
      <c r="AT45" s="55">
        <f t="shared" si="59"/>
        <v>14</v>
      </c>
      <c r="AU45" s="56">
        <f t="shared" si="60"/>
        <v>0.33333333333333331</v>
      </c>
      <c r="AV45" s="60">
        <f>VLOOKUP(C45,[1]两年对比终版!$A:$N,14,0)</f>
        <v>8</v>
      </c>
      <c r="AW45" s="55">
        <f t="shared" si="11"/>
        <v>6</v>
      </c>
      <c r="AX45" s="45">
        <f t="shared" si="52"/>
        <v>0.75</v>
      </c>
      <c r="AY45" s="55">
        <f>VLOOKUP(C45,'[2]5月汇总'!$C:$AE,27,0)</f>
        <v>45</v>
      </c>
      <c r="AZ45" s="55">
        <f t="shared" si="61"/>
        <v>110.9294</v>
      </c>
      <c r="BA45" s="62">
        <f t="shared" si="62"/>
        <v>0.36976466666666669</v>
      </c>
      <c r="BB45" s="55">
        <f>VLOOKUP(C45,[1]两年对比终版!$A:$W,17,0)</f>
        <v>61.438507000000001</v>
      </c>
      <c r="BC45" s="61">
        <f t="shared" si="15"/>
        <v>49.490893</v>
      </c>
      <c r="BD45" s="45">
        <f t="shared" si="53"/>
        <v>0.80553541120392136</v>
      </c>
      <c r="BE45" s="55">
        <f>VLOOKUP(C45,'[2]5月汇总'!$C:$AE,28,0)</f>
        <v>11</v>
      </c>
      <c r="BF45" s="55">
        <f t="shared" si="63"/>
        <v>15</v>
      </c>
      <c r="BG45" s="62">
        <f t="shared" si="64"/>
        <v>0.35714285714285715</v>
      </c>
      <c r="BH45" s="55">
        <f>VLOOKUP(C45,[1]两年对比终版!$A:$T,20,0)</f>
        <v>8</v>
      </c>
      <c r="BI45" s="45">
        <f t="shared" si="54"/>
        <v>0.875</v>
      </c>
      <c r="BJ45" s="55">
        <f>VLOOKUP(C45,'[2]5月汇总'!$C:$AE,29,0)</f>
        <v>81.3</v>
      </c>
      <c r="BK45" s="55">
        <f t="shared" si="20"/>
        <v>110.4079</v>
      </c>
      <c r="BL45" s="62">
        <f t="shared" si="21"/>
        <v>0.36802633333333334</v>
      </c>
      <c r="BM45" s="55">
        <f>VLOOKUP(C45,[1]两年对比终版!$A:$W,23,0)</f>
        <v>61.438507000000001</v>
      </c>
      <c r="BN45" s="45">
        <f>(BK45-BM45)/BM45</f>
        <v>0.79704724921131298</v>
      </c>
    </row>
    <row r="46" spans="1:66">
      <c r="A46" s="52">
        <v>38</v>
      </c>
      <c r="B46" s="52" t="s">
        <v>34</v>
      </c>
      <c r="C46" s="52" t="s">
        <v>69</v>
      </c>
      <c r="D46" s="53">
        <v>181</v>
      </c>
      <c r="E46" s="53">
        <v>18</v>
      </c>
      <c r="F46" s="44">
        <v>9.9447513812154706E-2</v>
      </c>
      <c r="G46" s="53">
        <v>0</v>
      </c>
      <c r="H46" s="29">
        <v>1</v>
      </c>
      <c r="I46" s="53">
        <v>1680</v>
      </c>
      <c r="J46" s="53">
        <v>333.39699999999999</v>
      </c>
      <c r="K46" s="44">
        <v>0.198450595238095</v>
      </c>
      <c r="L46" s="53">
        <v>0</v>
      </c>
      <c r="M46" s="29">
        <v>1</v>
      </c>
      <c r="N46" s="53">
        <v>80</v>
      </c>
      <c r="O46" s="53">
        <v>3</v>
      </c>
      <c r="P46" s="44">
        <v>3.7499999999999999E-2</v>
      </c>
      <c r="Q46" s="53">
        <v>0</v>
      </c>
      <c r="R46" s="29">
        <v>1</v>
      </c>
      <c r="S46" s="53">
        <v>700</v>
      </c>
      <c r="T46" s="53">
        <v>24.950800000000001</v>
      </c>
      <c r="U46" s="44">
        <v>3.5644000000000002E-2</v>
      </c>
      <c r="V46" s="53">
        <v>0</v>
      </c>
      <c r="W46" s="29">
        <v>1</v>
      </c>
      <c r="X46" s="53">
        <v>80</v>
      </c>
      <c r="Y46" s="53">
        <v>0</v>
      </c>
      <c r="Z46" s="44">
        <v>0</v>
      </c>
      <c r="AA46" s="53">
        <v>0</v>
      </c>
      <c r="AB46" s="29" t="e">
        <v>#DIV/0!</v>
      </c>
      <c r="AC46" s="53">
        <v>700</v>
      </c>
      <c r="AD46" s="53">
        <v>0</v>
      </c>
      <c r="AE46" s="44">
        <v>0</v>
      </c>
      <c r="AF46" s="53">
        <v>0</v>
      </c>
      <c r="AG46" s="29" t="e">
        <f t="shared" si="49"/>
        <v>#DIV/0!</v>
      </c>
      <c r="AH46" s="54">
        <f>VLOOKUP(C46,'[2]5月汇总'!$C:$AE,24,0)</f>
        <v>4</v>
      </c>
      <c r="AI46" s="55">
        <f t="shared" si="55"/>
        <v>22</v>
      </c>
      <c r="AJ46" s="56">
        <f t="shared" si="56"/>
        <v>0.12154696132596685</v>
      </c>
      <c r="AK46" s="57">
        <f>VLOOKUP(C46,[1]两年对比终版!$A:$W,3,0)</f>
        <v>0</v>
      </c>
      <c r="AL46" s="57">
        <f t="shared" si="0"/>
        <v>22</v>
      </c>
      <c r="AM46" s="29" t="e">
        <f t="shared" si="50"/>
        <v>#DIV/0!</v>
      </c>
      <c r="AN46" s="54">
        <f>VLOOKUP(C46,'[2]5月汇总'!$C:$AE,25,0)</f>
        <v>30</v>
      </c>
      <c r="AO46" s="55">
        <f t="shared" si="57"/>
        <v>363.39699999999999</v>
      </c>
      <c r="AP46" s="56">
        <f t="shared" si="58"/>
        <v>0.21630773809523809</v>
      </c>
      <c r="AQ46" s="59">
        <f>VLOOKUP(C46,[1]两年对比终版!$A:$W,6,0)</f>
        <v>0</v>
      </c>
      <c r="AR46" s="29"/>
      <c r="AS46" s="54">
        <f>VLOOKUP(C46,'[2]5月汇总'!$C:$AE,26,0)</f>
        <v>4</v>
      </c>
      <c r="AT46" s="55">
        <f t="shared" si="59"/>
        <v>7</v>
      </c>
      <c r="AU46" s="56">
        <f t="shared" si="60"/>
        <v>8.7499999999999994E-2</v>
      </c>
      <c r="AV46" s="60">
        <f>VLOOKUP(C46,[1]两年对比终版!$A:$N,14,0)</f>
        <v>0</v>
      </c>
      <c r="AW46" s="55">
        <f t="shared" si="11"/>
        <v>7</v>
      </c>
      <c r="AX46" s="45"/>
      <c r="AY46" s="55">
        <f>VLOOKUP(C46,'[2]5月汇总'!$C:$AE,27,0)</f>
        <v>30</v>
      </c>
      <c r="AZ46" s="55">
        <f t="shared" si="61"/>
        <v>54.950800000000001</v>
      </c>
      <c r="BA46" s="62">
        <f t="shared" si="62"/>
        <v>7.8501142857142853E-2</v>
      </c>
      <c r="BB46" s="55">
        <f>VLOOKUP(C46,[1]两年对比终版!$A:$W,17,0)</f>
        <v>0</v>
      </c>
      <c r="BC46" s="61">
        <f t="shared" si="15"/>
        <v>54.950800000000001</v>
      </c>
      <c r="BD46" s="45"/>
      <c r="BE46" s="55">
        <f>VLOOKUP(C46,'[2]5月汇总'!$C:$AE,28,0)</f>
        <v>7</v>
      </c>
      <c r="BF46" s="55">
        <f t="shared" si="63"/>
        <v>7</v>
      </c>
      <c r="BG46" s="62">
        <f t="shared" si="64"/>
        <v>8.7499999999999994E-2</v>
      </c>
      <c r="BH46" s="55">
        <f>VLOOKUP(C46,[1]两年对比终版!$A:$T,20,0)</f>
        <v>0</v>
      </c>
      <c r="BI46" s="45"/>
      <c r="BJ46" s="55">
        <f>VLOOKUP(C46,'[2]5月汇总'!$C:$AE,29,0)</f>
        <v>55</v>
      </c>
      <c r="BK46" s="55">
        <f t="shared" si="20"/>
        <v>55</v>
      </c>
      <c r="BL46" s="62">
        <f t="shared" si="21"/>
        <v>7.857142857142857E-2</v>
      </c>
      <c r="BM46" s="55">
        <f>VLOOKUP(C46,[1]两年对比终版!$A:$W,23,0)</f>
        <v>0</v>
      </c>
      <c r="BN46" s="45"/>
    </row>
    <row r="47" spans="1:66">
      <c r="A47" s="52">
        <v>39</v>
      </c>
      <c r="B47" s="52" t="s">
        <v>34</v>
      </c>
      <c r="C47" s="52" t="s">
        <v>70</v>
      </c>
      <c r="D47" s="53">
        <v>59</v>
      </c>
      <c r="E47" s="53">
        <v>0</v>
      </c>
      <c r="F47" s="44">
        <v>0</v>
      </c>
      <c r="G47" s="53">
        <v>0</v>
      </c>
      <c r="H47" s="29" t="e">
        <v>#DIV/0!</v>
      </c>
      <c r="I47" s="53">
        <v>910</v>
      </c>
      <c r="J47" s="53">
        <v>0</v>
      </c>
      <c r="K47" s="44">
        <v>0</v>
      </c>
      <c r="L47" s="53">
        <v>0</v>
      </c>
      <c r="M47" s="29" t="e">
        <v>#DIV/0!</v>
      </c>
      <c r="N47" s="53">
        <v>44</v>
      </c>
      <c r="O47" s="53">
        <v>0</v>
      </c>
      <c r="P47" s="44">
        <v>0</v>
      </c>
      <c r="Q47" s="53">
        <v>0</v>
      </c>
      <c r="R47" s="29" t="e">
        <v>#DIV/0!</v>
      </c>
      <c r="S47" s="53">
        <v>600</v>
      </c>
      <c r="T47" s="53">
        <v>0</v>
      </c>
      <c r="U47" s="44">
        <v>0</v>
      </c>
      <c r="V47" s="53">
        <v>0</v>
      </c>
      <c r="W47" s="29" t="e">
        <v>#DIV/0!</v>
      </c>
      <c r="X47" s="53">
        <v>44</v>
      </c>
      <c r="Y47" s="53">
        <v>0</v>
      </c>
      <c r="Z47" s="44">
        <v>0</v>
      </c>
      <c r="AA47" s="53">
        <v>0</v>
      </c>
      <c r="AB47" s="29" t="e">
        <v>#DIV/0!</v>
      </c>
      <c r="AC47" s="53">
        <v>600</v>
      </c>
      <c r="AD47" s="53">
        <v>0</v>
      </c>
      <c r="AE47" s="44">
        <v>0</v>
      </c>
      <c r="AF47" s="53">
        <v>0</v>
      </c>
      <c r="AG47" s="29" t="e">
        <f t="shared" si="49"/>
        <v>#DIV/0!</v>
      </c>
      <c r="AH47" s="54">
        <f>VLOOKUP(C47,'[2]5月汇总'!$C:$AE,24,0)</f>
        <v>60</v>
      </c>
      <c r="AI47" s="55">
        <f t="shared" si="55"/>
        <v>60</v>
      </c>
      <c r="AJ47" s="56">
        <f t="shared" si="56"/>
        <v>1.0169491525423728</v>
      </c>
      <c r="AK47" s="57">
        <f>VLOOKUP(C47,[1]两年对比终版!$A:$W,3,0)</f>
        <v>0</v>
      </c>
      <c r="AL47" s="57">
        <f t="shared" si="0"/>
        <v>60</v>
      </c>
      <c r="AM47" s="29" t="e">
        <f t="shared" si="50"/>
        <v>#DIV/0!</v>
      </c>
      <c r="AN47" s="54">
        <f>VLOOKUP(C47,'[2]5月汇总'!$C:$AE,25,0)</f>
        <v>410</v>
      </c>
      <c r="AO47" s="55">
        <f t="shared" si="57"/>
        <v>410</v>
      </c>
      <c r="AP47" s="56">
        <f t="shared" si="58"/>
        <v>0.45054945054945056</v>
      </c>
      <c r="AQ47" s="59">
        <f>VLOOKUP(C47,[1]两年对比终版!$A:$W,6,0)</f>
        <v>0</v>
      </c>
      <c r="AR47" s="29"/>
      <c r="AS47" s="54">
        <f>VLOOKUP(C47,'[2]5月汇总'!$C:$AE,26,0)</f>
        <v>18</v>
      </c>
      <c r="AT47" s="55">
        <f t="shared" si="59"/>
        <v>18</v>
      </c>
      <c r="AU47" s="56">
        <f t="shared" si="60"/>
        <v>0.40909090909090912</v>
      </c>
      <c r="AV47" s="60">
        <f>VLOOKUP(C47,[1]两年对比终版!$A:$N,14,0)</f>
        <v>0</v>
      </c>
      <c r="AW47" s="55">
        <f t="shared" si="11"/>
        <v>18</v>
      </c>
      <c r="AX47" s="45"/>
      <c r="AY47" s="55">
        <f>VLOOKUP(C47,'[2]5月汇总'!$C:$AE,27,0)</f>
        <v>270</v>
      </c>
      <c r="AZ47" s="55">
        <f t="shared" si="61"/>
        <v>270</v>
      </c>
      <c r="BA47" s="62">
        <f t="shared" si="62"/>
        <v>0.45</v>
      </c>
      <c r="BB47" s="55">
        <f>VLOOKUP(C47,[1]两年对比终版!$A:$W,17,0)</f>
        <v>0</v>
      </c>
      <c r="BC47" s="61">
        <f t="shared" si="15"/>
        <v>270</v>
      </c>
      <c r="BD47" s="45"/>
      <c r="BE47" s="55">
        <f>VLOOKUP(C47,'[2]5月汇总'!$C:$AE,28,0)</f>
        <v>18</v>
      </c>
      <c r="BF47" s="55">
        <f t="shared" si="63"/>
        <v>18</v>
      </c>
      <c r="BG47" s="62">
        <f t="shared" si="64"/>
        <v>0.40909090909090912</v>
      </c>
      <c r="BH47" s="55">
        <f>VLOOKUP(C47,[1]两年对比终版!$A:$T,20,0)</f>
        <v>0</v>
      </c>
      <c r="BI47" s="45"/>
      <c r="BJ47" s="55">
        <f>VLOOKUP(C47,'[2]5月汇总'!$C:$AE,29,0)</f>
        <v>270</v>
      </c>
      <c r="BK47" s="55">
        <f t="shared" si="20"/>
        <v>270</v>
      </c>
      <c r="BL47" s="62">
        <f t="shared" si="21"/>
        <v>0.45</v>
      </c>
      <c r="BM47" s="55">
        <f>VLOOKUP(C47,[1]两年对比终版!$A:$W,23,0)</f>
        <v>0</v>
      </c>
      <c r="BN47" s="45"/>
    </row>
    <row r="48" spans="1:66">
      <c r="A48" s="52">
        <v>40</v>
      </c>
      <c r="B48" s="52" t="s">
        <v>39</v>
      </c>
      <c r="C48" s="52" t="s">
        <v>71</v>
      </c>
      <c r="D48" s="53">
        <v>45</v>
      </c>
      <c r="E48" s="53">
        <v>29</v>
      </c>
      <c r="F48" s="44">
        <v>0.64444444444444404</v>
      </c>
      <c r="G48" s="53">
        <v>34</v>
      </c>
      <c r="H48" s="29">
        <v>-0.17241379310344801</v>
      </c>
      <c r="I48" s="53">
        <v>700</v>
      </c>
      <c r="J48" s="53">
        <v>198.864</v>
      </c>
      <c r="K48" s="44">
        <v>0.28409142857142899</v>
      </c>
      <c r="L48" s="53">
        <v>259.53637099999997</v>
      </c>
      <c r="M48" s="29">
        <v>-0.30509479342666301</v>
      </c>
      <c r="N48" s="53">
        <v>25</v>
      </c>
      <c r="O48" s="53">
        <v>15</v>
      </c>
      <c r="P48" s="44">
        <v>0.6</v>
      </c>
      <c r="Q48" s="53">
        <v>10</v>
      </c>
      <c r="R48" s="29">
        <v>0.33333333333333298</v>
      </c>
      <c r="S48" s="53">
        <v>300</v>
      </c>
      <c r="T48" s="53">
        <v>95.056299999999993</v>
      </c>
      <c r="U48" s="44">
        <v>0.31685433333333302</v>
      </c>
      <c r="V48" s="53">
        <v>114.989859</v>
      </c>
      <c r="W48" s="29">
        <v>-0.20970266042334901</v>
      </c>
      <c r="X48" s="53">
        <v>25</v>
      </c>
      <c r="Y48" s="53">
        <v>2</v>
      </c>
      <c r="Z48" s="44">
        <v>0.08</v>
      </c>
      <c r="AA48" s="53">
        <v>8</v>
      </c>
      <c r="AB48" s="29">
        <v>-3</v>
      </c>
      <c r="AC48" s="53">
        <v>300</v>
      </c>
      <c r="AD48" s="53">
        <v>12.4017</v>
      </c>
      <c r="AE48" s="44">
        <v>4.1339000000000001E-2</v>
      </c>
      <c r="AF48" s="53">
        <v>48.080717</v>
      </c>
      <c r="AG48" s="29">
        <f t="shared" si="49"/>
        <v>-0.74206499457984376</v>
      </c>
      <c r="AH48" s="54">
        <f>VLOOKUP(C48,'[2]5月汇总'!$C:$AE,24,0)</f>
        <v>29</v>
      </c>
      <c r="AI48" s="55">
        <f t="shared" si="55"/>
        <v>58</v>
      </c>
      <c r="AJ48" s="56">
        <f t="shared" si="56"/>
        <v>1.288888888888889</v>
      </c>
      <c r="AK48" s="57">
        <f>VLOOKUP(C48,[1]两年对比终版!$A:$W,3,0)</f>
        <v>92</v>
      </c>
      <c r="AL48" s="57">
        <f t="shared" si="0"/>
        <v>-34</v>
      </c>
      <c r="AM48" s="29">
        <f t="shared" si="50"/>
        <v>-0.36956521739130432</v>
      </c>
      <c r="AN48" s="54">
        <f>VLOOKUP(C48,'[2]5月汇总'!$C:$AE,25,0)</f>
        <v>157</v>
      </c>
      <c r="AO48" s="55">
        <f t="shared" si="57"/>
        <v>355.86400000000003</v>
      </c>
      <c r="AP48" s="56">
        <f t="shared" si="58"/>
        <v>0.50837714285714286</v>
      </c>
      <c r="AQ48" s="59">
        <f>VLOOKUP(C48,[1]两年对比终版!$A:$W,6,0)</f>
        <v>1001.540992</v>
      </c>
      <c r="AR48" s="29">
        <f t="shared" si="51"/>
        <v>-0.64468353982260163</v>
      </c>
      <c r="AS48" s="54">
        <f>VLOOKUP(C48,'[2]5月汇总'!$C:$AE,26,0)</f>
        <v>11</v>
      </c>
      <c r="AT48" s="55">
        <f t="shared" si="59"/>
        <v>26</v>
      </c>
      <c r="AU48" s="56">
        <f t="shared" si="60"/>
        <v>1.04</v>
      </c>
      <c r="AV48" s="60">
        <f>VLOOKUP(C48,[1]两年对比终版!$A:$N,14,0)</f>
        <v>20</v>
      </c>
      <c r="AW48" s="55">
        <f t="shared" si="11"/>
        <v>6</v>
      </c>
      <c r="AX48" s="45">
        <f t="shared" si="52"/>
        <v>0.3</v>
      </c>
      <c r="AY48" s="55">
        <f>VLOOKUP(C48,'[2]5月汇总'!$C:$AE,27,0)</f>
        <v>58.3</v>
      </c>
      <c r="AZ48" s="55">
        <f t="shared" si="61"/>
        <v>153.35629999999998</v>
      </c>
      <c r="BA48" s="62">
        <f t="shared" si="62"/>
        <v>0.5111876666666666</v>
      </c>
      <c r="BB48" s="53">
        <f>VLOOKUP(C48,[1]两年对比终版!$A:$W,17,0)</f>
        <v>200.807132</v>
      </c>
      <c r="BC48" s="61">
        <f t="shared" si="15"/>
        <v>-47.45083200000002</v>
      </c>
      <c r="BD48" s="45">
        <f t="shared" si="53"/>
        <v>-0.23630053139746063</v>
      </c>
      <c r="BE48" s="55">
        <f>VLOOKUP(C48,'[2]5月汇总'!$C:$AE,28,0)</f>
        <v>22</v>
      </c>
      <c r="BF48" s="55">
        <f t="shared" si="63"/>
        <v>24</v>
      </c>
      <c r="BG48" s="62">
        <f t="shared" si="64"/>
        <v>0.96</v>
      </c>
      <c r="BH48" s="53">
        <f>VLOOKUP(C48,[1]两年对比终版!$A:$T,20,0)</f>
        <v>15</v>
      </c>
      <c r="BI48" s="45">
        <f t="shared" si="54"/>
        <v>0.6</v>
      </c>
      <c r="BJ48" s="55">
        <f>VLOOKUP(C48,'[2]5月汇总'!$C:$AE,29,0)</f>
        <v>130.084</v>
      </c>
      <c r="BK48" s="55">
        <f t="shared" si="20"/>
        <v>142.48570000000001</v>
      </c>
      <c r="BL48" s="62">
        <f t="shared" si="21"/>
        <v>0.47495233333333337</v>
      </c>
      <c r="BM48" s="53">
        <f>VLOOKUP(C48,[1]两年对比终版!$A:$W,23,0)</f>
        <v>137.57912400000001</v>
      </c>
      <c r="BN48" s="45">
        <f>(BK48-BM48)/BM48</f>
        <v>3.5663666531268227E-2</v>
      </c>
    </row>
    <row r="49" spans="1:66" s="77" customFormat="1">
      <c r="A49" s="78" t="s">
        <v>72</v>
      </c>
      <c r="B49" s="79"/>
      <c r="C49" s="79"/>
      <c r="D49" s="68">
        <v>2063</v>
      </c>
      <c r="E49" s="68">
        <v>541</v>
      </c>
      <c r="F49" s="69">
        <v>0.26223945710130903</v>
      </c>
      <c r="G49" s="68">
        <v>629</v>
      </c>
      <c r="H49" s="70">
        <v>-0.162661737523105</v>
      </c>
      <c r="I49" s="68">
        <v>23240</v>
      </c>
      <c r="J49" s="68">
        <v>5263.5969999999998</v>
      </c>
      <c r="K49" s="69">
        <v>0.226488683304647</v>
      </c>
      <c r="L49" s="68">
        <v>6203.792872</v>
      </c>
      <c r="M49" s="70">
        <v>-0.178622313220408</v>
      </c>
      <c r="N49" s="68">
        <v>817</v>
      </c>
      <c r="O49" s="68">
        <v>107</v>
      </c>
      <c r="P49" s="69">
        <v>0.13096695226438201</v>
      </c>
      <c r="Q49" s="68">
        <v>166</v>
      </c>
      <c r="R49" s="70">
        <v>-0.55140186915887801</v>
      </c>
      <c r="S49" s="68">
        <v>9392</v>
      </c>
      <c r="T49" s="68">
        <v>854.49779999999998</v>
      </c>
      <c r="U49" s="69">
        <v>9.0981452299829596E-2</v>
      </c>
      <c r="V49" s="68">
        <v>2194.4152020000001</v>
      </c>
      <c r="W49" s="70">
        <v>-1.5680758944025399</v>
      </c>
      <c r="X49" s="68">
        <v>817</v>
      </c>
      <c r="Y49" s="68">
        <v>99</v>
      </c>
      <c r="Z49" s="69">
        <v>0.121175030599755</v>
      </c>
      <c r="AA49" s="68">
        <v>129</v>
      </c>
      <c r="AB49" s="70">
        <v>-0.30303030303030298</v>
      </c>
      <c r="AC49" s="68">
        <v>9392</v>
      </c>
      <c r="AD49" s="68">
        <v>869.47860000000003</v>
      </c>
      <c r="AE49" s="69">
        <v>9.2576511925042598E-2</v>
      </c>
      <c r="AF49" s="68">
        <v>1465.181828</v>
      </c>
      <c r="AG49" s="70">
        <f t="shared" si="49"/>
        <v>-0.40657290215859815</v>
      </c>
      <c r="AH49" s="68">
        <f>SUM(AH38:AH48)</f>
        <v>537</v>
      </c>
      <c r="AI49" s="71">
        <f t="shared" si="55"/>
        <v>1078</v>
      </c>
      <c r="AJ49" s="41">
        <f t="shared" si="56"/>
        <v>0.52253999030538056</v>
      </c>
      <c r="AK49" s="68">
        <f>SUM(AK38:AK48)</f>
        <v>1908</v>
      </c>
      <c r="AL49" s="73">
        <f t="shared" si="0"/>
        <v>-830</v>
      </c>
      <c r="AM49" s="70">
        <f t="shared" si="50"/>
        <v>-0.43501048218029348</v>
      </c>
      <c r="AN49" s="68">
        <f>SUM(AN38:AN48)</f>
        <v>3924.92</v>
      </c>
      <c r="AO49" s="71">
        <f t="shared" si="57"/>
        <v>9188.5169999999998</v>
      </c>
      <c r="AP49" s="41">
        <f t="shared" si="58"/>
        <v>0.39537508605851979</v>
      </c>
      <c r="AQ49" s="68">
        <f>SUM(AQ38:AQ48)</f>
        <v>17767.77290499994</v>
      </c>
      <c r="AR49" s="70">
        <f t="shared" si="51"/>
        <v>-0.48285488287537121</v>
      </c>
      <c r="AS49" s="68">
        <f>SUM(AS38:AS48)</f>
        <v>354</v>
      </c>
      <c r="AT49" s="71">
        <f t="shared" si="59"/>
        <v>461</v>
      </c>
      <c r="AU49" s="41">
        <f t="shared" si="60"/>
        <v>0.56425948592411257</v>
      </c>
      <c r="AV49" s="68">
        <f t="shared" ref="AV49:BB49" si="65">SUM(AV38:AV48)</f>
        <v>289</v>
      </c>
      <c r="AW49" s="71">
        <f t="shared" si="11"/>
        <v>172</v>
      </c>
      <c r="AX49" s="74">
        <f t="shared" si="52"/>
        <v>0.59515570934256057</v>
      </c>
      <c r="AY49" s="71">
        <f t="shared" si="65"/>
        <v>3221.02</v>
      </c>
      <c r="AZ49" s="71">
        <f t="shared" si="61"/>
        <v>4075.5178000000001</v>
      </c>
      <c r="BA49" s="75">
        <f t="shared" si="62"/>
        <v>0.43393502981260651</v>
      </c>
      <c r="BB49" s="71">
        <f t="shared" si="65"/>
        <v>3961.3770519999998</v>
      </c>
      <c r="BC49" s="76">
        <f t="shared" si="15"/>
        <v>114.14074800000026</v>
      </c>
      <c r="BD49" s="74">
        <f t="shared" si="53"/>
        <v>2.8813401628197309E-2</v>
      </c>
      <c r="BE49" s="71">
        <f>SUM(BE38:BE48)</f>
        <v>296</v>
      </c>
      <c r="BF49" s="71">
        <f t="shared" si="63"/>
        <v>395</v>
      </c>
      <c r="BG49" s="75">
        <f t="shared" si="64"/>
        <v>0.48347613219094249</v>
      </c>
      <c r="BH49" s="71">
        <f t="shared" ref="BH49:BM49" si="66">SUM(BH38:BH48)</f>
        <v>293</v>
      </c>
      <c r="BI49" s="74">
        <f t="shared" si="54"/>
        <v>0.34812286689419797</v>
      </c>
      <c r="BJ49" s="71">
        <f t="shared" si="66"/>
        <v>2798.6239999999998</v>
      </c>
      <c r="BK49" s="71">
        <f t="shared" si="20"/>
        <v>3668.1025999999997</v>
      </c>
      <c r="BL49" s="75">
        <f t="shared" si="21"/>
        <v>0.39055606899488926</v>
      </c>
      <c r="BM49" s="71">
        <f t="shared" si="66"/>
        <v>3908.0874409999997</v>
      </c>
      <c r="BN49" s="74">
        <f>(BK49-BM49)/BM49</f>
        <v>-6.1407234260498725E-2</v>
      </c>
    </row>
    <row r="50" spans="1:66">
      <c r="A50" s="52">
        <v>41</v>
      </c>
      <c r="B50" s="52" t="s">
        <v>34</v>
      </c>
      <c r="C50" s="52" t="s">
        <v>73</v>
      </c>
      <c r="D50" s="53">
        <v>81</v>
      </c>
      <c r="E50" s="53">
        <v>36</v>
      </c>
      <c r="F50" s="44">
        <v>0.44444444444444398</v>
      </c>
      <c r="G50" s="53">
        <v>52</v>
      </c>
      <c r="H50" s="29">
        <v>-0.44444444444444398</v>
      </c>
      <c r="I50" s="53">
        <v>1260</v>
      </c>
      <c r="J50" s="53">
        <v>411.43700000000001</v>
      </c>
      <c r="K50" s="44">
        <v>0.32653730158730199</v>
      </c>
      <c r="L50" s="53">
        <v>552.75037799999996</v>
      </c>
      <c r="M50" s="29">
        <v>-0.34346297975145601</v>
      </c>
      <c r="N50" s="53">
        <v>32.4</v>
      </c>
      <c r="O50" s="53">
        <v>10</v>
      </c>
      <c r="P50" s="44">
        <v>0.30864197530864201</v>
      </c>
      <c r="Q50" s="53">
        <v>8</v>
      </c>
      <c r="R50" s="29">
        <v>0.2</v>
      </c>
      <c r="S50" s="53">
        <v>500</v>
      </c>
      <c r="T50" s="53">
        <v>110.11799999999999</v>
      </c>
      <c r="U50" s="44">
        <v>0.22023599999999999</v>
      </c>
      <c r="V50" s="53">
        <v>101.21029799999999</v>
      </c>
      <c r="W50" s="29">
        <v>8.0892333678417694E-2</v>
      </c>
      <c r="X50" s="53">
        <v>32.4</v>
      </c>
      <c r="Y50" s="53">
        <v>2</v>
      </c>
      <c r="Z50" s="44">
        <v>6.1728395061728399E-2</v>
      </c>
      <c r="AA50" s="53">
        <v>3</v>
      </c>
      <c r="AB50" s="29">
        <v>-0.5</v>
      </c>
      <c r="AC50" s="53">
        <v>500</v>
      </c>
      <c r="AD50" s="53">
        <v>33.6813</v>
      </c>
      <c r="AE50" s="44">
        <v>6.7362599999999995E-2</v>
      </c>
      <c r="AF50" s="53">
        <v>68.495232999999999</v>
      </c>
      <c r="AG50" s="29">
        <f t="shared" si="49"/>
        <v>-0.50826796953884368</v>
      </c>
      <c r="AH50" s="54">
        <f>VLOOKUP(C50,'[2]5月汇总'!$C:$AE,24,0)</f>
        <v>25</v>
      </c>
      <c r="AI50" s="55">
        <f t="shared" si="55"/>
        <v>61</v>
      </c>
      <c r="AJ50" s="56">
        <f t="shared" si="56"/>
        <v>0.75308641975308643</v>
      </c>
      <c r="AK50" s="57">
        <f>VLOOKUP(C50,[1]两年对比终版!$A:$C,3,0)</f>
        <v>73</v>
      </c>
      <c r="AL50" s="57">
        <f t="shared" si="0"/>
        <v>-12</v>
      </c>
      <c r="AM50" s="29">
        <f t="shared" si="50"/>
        <v>-0.16438356164383561</v>
      </c>
      <c r="AN50" s="54">
        <f>VLOOKUP(C50,'[2]5月汇总'!$C:$AE,25,0)</f>
        <v>275</v>
      </c>
      <c r="AO50" s="55">
        <f t="shared" si="57"/>
        <v>686.43700000000001</v>
      </c>
      <c r="AP50" s="56">
        <f t="shared" si="58"/>
        <v>0.5447912698412698</v>
      </c>
      <c r="AQ50" s="59">
        <f>VLOOKUP(C50,[1]两年对比终版!$A:$W,6,0)</f>
        <v>800.21296800000005</v>
      </c>
      <c r="AR50" s="29">
        <f t="shared" si="51"/>
        <v>-0.14218210970057665</v>
      </c>
      <c r="AS50" s="54">
        <f>VLOOKUP(C50,'[2]5月汇总'!$C:$AE,26,0)</f>
        <v>8</v>
      </c>
      <c r="AT50" s="55">
        <f t="shared" si="59"/>
        <v>18</v>
      </c>
      <c r="AU50" s="56">
        <f t="shared" si="60"/>
        <v>0.55555555555555558</v>
      </c>
      <c r="AV50" s="60">
        <f>VLOOKUP(C50,[1]两年对比终版!$A:$N,14,0)</f>
        <v>15</v>
      </c>
      <c r="AW50" s="55">
        <f t="shared" si="11"/>
        <v>3</v>
      </c>
      <c r="AX50" s="45">
        <f t="shared" si="52"/>
        <v>0.2</v>
      </c>
      <c r="AY50" s="55">
        <f>VLOOKUP(C50,'[2]5月汇总'!$C:$AE,27,0)</f>
        <v>91</v>
      </c>
      <c r="AZ50" s="55">
        <f t="shared" si="61"/>
        <v>201.11799999999999</v>
      </c>
      <c r="BA50" s="62">
        <f t="shared" si="62"/>
        <v>0.40223599999999998</v>
      </c>
      <c r="BB50" s="55">
        <f>VLOOKUP(C50,[1]两年对比终版!$A:$W,17,0)</f>
        <v>187.86055999999999</v>
      </c>
      <c r="BC50" s="61">
        <f t="shared" si="15"/>
        <v>13.257440000000003</v>
      </c>
      <c r="BD50" s="45">
        <f t="shared" si="53"/>
        <v>7.0570640266376314E-2</v>
      </c>
      <c r="BE50" s="55">
        <f>VLOOKUP(C50,'[2]5月汇总'!$C:$AE,28,0)</f>
        <v>3</v>
      </c>
      <c r="BF50" s="55">
        <f t="shared" si="63"/>
        <v>5</v>
      </c>
      <c r="BG50" s="62">
        <f t="shared" si="64"/>
        <v>0.15432098765432101</v>
      </c>
      <c r="BH50" s="55">
        <f>VLOOKUP(C50,[1]两年对比终版!$A:$T,20,0)</f>
        <v>10</v>
      </c>
      <c r="BI50" s="45">
        <f t="shared" si="54"/>
        <v>-0.5</v>
      </c>
      <c r="BJ50" s="55">
        <f>VLOOKUP(C50,'[2]5月汇总'!$C:$AE,29,0)</f>
        <v>35</v>
      </c>
      <c r="BK50" s="55">
        <f t="shared" si="20"/>
        <v>68.681299999999993</v>
      </c>
      <c r="BL50" s="62">
        <f t="shared" si="21"/>
        <v>0.13736259999999997</v>
      </c>
      <c r="BM50" s="55">
        <f>VLOOKUP(C50,[1]两年对比终版!$A:$W,23,0)</f>
        <v>152.329161</v>
      </c>
      <c r="BN50" s="45">
        <f>(BK50-BM50)/BM50</f>
        <v>-0.54912572517877922</v>
      </c>
    </row>
    <row r="51" spans="1:66">
      <c r="A51" s="52">
        <v>42</v>
      </c>
      <c r="B51" s="52" t="s">
        <v>25</v>
      </c>
      <c r="C51" s="52" t="s">
        <v>74</v>
      </c>
      <c r="D51" s="53">
        <v>581</v>
      </c>
      <c r="E51" s="53">
        <v>143</v>
      </c>
      <c r="F51" s="44">
        <v>0.24612736660929399</v>
      </c>
      <c r="G51" s="53">
        <v>99</v>
      </c>
      <c r="H51" s="29">
        <v>0.30769230769230799</v>
      </c>
      <c r="I51" s="53">
        <v>5575.68</v>
      </c>
      <c r="J51" s="53">
        <v>1185.1400000000001</v>
      </c>
      <c r="K51" s="44">
        <v>0.21255523989899</v>
      </c>
      <c r="L51" s="53">
        <v>839.67044499999895</v>
      </c>
      <c r="M51" s="29">
        <v>0.29150105050880198</v>
      </c>
      <c r="N51" s="53">
        <v>239.4</v>
      </c>
      <c r="O51" s="53">
        <v>66</v>
      </c>
      <c r="P51" s="44">
        <v>0.27568922305764398</v>
      </c>
      <c r="Q51" s="53">
        <v>38</v>
      </c>
      <c r="R51" s="29">
        <v>0.42424242424242398</v>
      </c>
      <c r="S51" s="53">
        <v>2304</v>
      </c>
      <c r="T51" s="53">
        <v>585.58600000000001</v>
      </c>
      <c r="U51" s="44">
        <v>0.25416059027777799</v>
      </c>
      <c r="V51" s="53">
        <v>395.34701799999999</v>
      </c>
      <c r="W51" s="29">
        <v>0.32486941627702898</v>
      </c>
      <c r="X51" s="53">
        <v>239.4</v>
      </c>
      <c r="Y51" s="53">
        <v>24</v>
      </c>
      <c r="Z51" s="44">
        <v>0.10025062656641601</v>
      </c>
      <c r="AA51" s="53">
        <v>36</v>
      </c>
      <c r="AB51" s="29">
        <v>-0.5</v>
      </c>
      <c r="AC51" s="53">
        <v>2304</v>
      </c>
      <c r="AD51" s="53">
        <v>208.989</v>
      </c>
      <c r="AE51" s="44">
        <v>9.070703125E-2</v>
      </c>
      <c r="AF51" s="53">
        <v>410.04933199999999</v>
      </c>
      <c r="AG51" s="29">
        <f t="shared" si="49"/>
        <v>-0.49033205594881935</v>
      </c>
      <c r="AH51" s="54">
        <v>117</v>
      </c>
      <c r="AI51" s="55">
        <f t="shared" ref="AI51:AI60" si="67">AH51+E51</f>
        <v>260</v>
      </c>
      <c r="AJ51" s="56">
        <f t="shared" ref="AJ51:AJ59" si="68">AI51/D51</f>
        <v>0.44750430292598969</v>
      </c>
      <c r="AK51" s="57">
        <f>VLOOKUP(C51,[1]两年对比终版!$A:$W,3,0)</f>
        <v>155</v>
      </c>
      <c r="AL51" s="57">
        <f t="shared" si="0"/>
        <v>105</v>
      </c>
      <c r="AM51" s="29">
        <f t="shared" si="50"/>
        <v>0.67741935483870963</v>
      </c>
      <c r="AN51" s="54">
        <f>VLOOKUP(C51,'[2]5月汇总'!$C:$AE,25,0)+20*10</f>
        <v>1100</v>
      </c>
      <c r="AO51" s="55">
        <f t="shared" ref="AO51:AO59" si="69">AN51+J51</f>
        <v>2285.1400000000003</v>
      </c>
      <c r="AP51" s="56">
        <f t="shared" ref="AP51:AP59" si="70">AO51/I51</f>
        <v>0.40984059343434348</v>
      </c>
      <c r="AQ51" s="59">
        <f>VLOOKUP(C51,[1]两年对比终版!$A:$W,6,0)</f>
        <v>1270.468435</v>
      </c>
      <c r="AR51" s="29">
        <f t="shared" si="51"/>
        <v>0.79865940549715453</v>
      </c>
      <c r="AS51" s="54">
        <f>VLOOKUP(C51,'[2]5月汇总'!$C:$AE,26,0)+20</f>
        <v>65</v>
      </c>
      <c r="AT51" s="55">
        <f>AS51+O51</f>
        <v>131</v>
      </c>
      <c r="AU51" s="56">
        <f t="shared" ref="AU51:AU59" si="71">AT51/N51</f>
        <v>0.54720133667502091</v>
      </c>
      <c r="AV51" s="60">
        <f>VLOOKUP(C51,[1]两年对比终版!$A:$N,14,0)</f>
        <v>55</v>
      </c>
      <c r="AW51" s="55">
        <f t="shared" si="11"/>
        <v>76</v>
      </c>
      <c r="AX51" s="45">
        <f t="shared" si="52"/>
        <v>1.3818181818181818</v>
      </c>
      <c r="AY51" s="55">
        <f>VLOOKUP(C51,'[2]5月汇总'!$C:$AE,27,0)+20*10</f>
        <v>650</v>
      </c>
      <c r="AZ51" s="55">
        <f t="shared" ref="AZ51:AZ59" si="72">AY51+T51</f>
        <v>1235.586</v>
      </c>
      <c r="BA51" s="62">
        <f t="shared" ref="BA51:BA59" si="73">AZ51/S51</f>
        <v>0.53627864583333329</v>
      </c>
      <c r="BB51" s="55">
        <f>VLOOKUP(C51,[1]两年对比终版!$A:$W,17,0)</f>
        <v>530.29769199999998</v>
      </c>
      <c r="BC51" s="61">
        <f t="shared" si="15"/>
        <v>705.28830800000003</v>
      </c>
      <c r="BD51" s="45">
        <f t="shared" si="53"/>
        <v>1.3299856262621639</v>
      </c>
      <c r="BE51" s="55">
        <f>VLOOKUP(C51,'[2]5月汇总'!$C:$AE,28,0)+20</f>
        <v>83</v>
      </c>
      <c r="BF51" s="55">
        <f>BE51+Y51</f>
        <v>107</v>
      </c>
      <c r="BG51" s="62">
        <f t="shared" ref="BG51:BG59" si="74">BF51/X51</f>
        <v>0.44695071010860482</v>
      </c>
      <c r="BH51" s="55">
        <f>VLOOKUP(C51,[1]两年对比终版!$A:$T,20,0)</f>
        <v>48</v>
      </c>
      <c r="BI51" s="45">
        <f t="shared" si="54"/>
        <v>1.2291666666666667</v>
      </c>
      <c r="BJ51" s="55">
        <f>VLOOKUP(C51,'[2]5月汇总'!$C:$AE,29,0)+20*10</f>
        <v>800</v>
      </c>
      <c r="BK51" s="55">
        <f t="shared" si="20"/>
        <v>1008.989</v>
      </c>
      <c r="BL51" s="62">
        <f t="shared" si="21"/>
        <v>0.43792925347222222</v>
      </c>
      <c r="BM51" s="55">
        <f>VLOOKUP(C51,[1]两年对比终版!$A:$W,23,0)</f>
        <v>502.43066499999998</v>
      </c>
      <c r="BN51" s="45">
        <f>(BK51-BM51)/BM51</f>
        <v>1.0082154022187322</v>
      </c>
    </row>
    <row r="52" spans="1:66">
      <c r="A52" s="52">
        <v>43</v>
      </c>
      <c r="B52" s="52" t="s">
        <v>31</v>
      </c>
      <c r="C52" s="52" t="s">
        <v>75</v>
      </c>
      <c r="D52" s="53">
        <v>207</v>
      </c>
      <c r="E52" s="53">
        <v>59</v>
      </c>
      <c r="F52" s="44">
        <v>0.28502415458937203</v>
      </c>
      <c r="G52" s="53">
        <v>129</v>
      </c>
      <c r="H52" s="29">
        <v>-1.1864406779661001</v>
      </c>
      <c r="I52" s="53">
        <v>2082.5</v>
      </c>
      <c r="J52" s="53">
        <v>482.47199999999998</v>
      </c>
      <c r="K52" s="44">
        <v>0.23167923169267701</v>
      </c>
      <c r="L52" s="53">
        <v>1185.6855430000001</v>
      </c>
      <c r="M52" s="29">
        <v>-1.4575219764048499</v>
      </c>
      <c r="N52" s="53">
        <v>84.6</v>
      </c>
      <c r="O52" s="53">
        <v>25</v>
      </c>
      <c r="P52" s="44">
        <v>0.29550827423167902</v>
      </c>
      <c r="Q52" s="53">
        <v>22</v>
      </c>
      <c r="R52" s="29">
        <v>0.12</v>
      </c>
      <c r="S52" s="53">
        <v>850</v>
      </c>
      <c r="T52" s="53">
        <v>169.881</v>
      </c>
      <c r="U52" s="44">
        <v>0.19986000000000001</v>
      </c>
      <c r="V52" s="53">
        <v>200.811781</v>
      </c>
      <c r="W52" s="29">
        <v>-0.18207322184352601</v>
      </c>
      <c r="X52" s="53">
        <v>84.6</v>
      </c>
      <c r="Y52" s="53">
        <v>5</v>
      </c>
      <c r="Z52" s="44">
        <v>5.9101654846335699E-2</v>
      </c>
      <c r="AA52" s="53">
        <v>15</v>
      </c>
      <c r="AB52" s="29">
        <v>-2</v>
      </c>
      <c r="AC52" s="53">
        <v>850</v>
      </c>
      <c r="AD52" s="53">
        <v>46.000599999999999</v>
      </c>
      <c r="AE52" s="44">
        <v>5.4118352941176499E-2</v>
      </c>
      <c r="AF52" s="53">
        <v>177.32531</v>
      </c>
      <c r="AG52" s="29">
        <f t="shared" si="49"/>
        <v>-0.74058638329745485</v>
      </c>
      <c r="AH52" s="54">
        <f>VLOOKUP(C52,'[2]5月汇总'!$C:$AE,24,0)</f>
        <v>60</v>
      </c>
      <c r="AI52" s="55">
        <f t="shared" si="67"/>
        <v>119</v>
      </c>
      <c r="AJ52" s="56">
        <f t="shared" si="68"/>
        <v>0.5748792270531401</v>
      </c>
      <c r="AK52" s="57">
        <f>VLOOKUP(C52,[1]两年对比终版!$A:$W,3,0)</f>
        <v>210</v>
      </c>
      <c r="AL52" s="57">
        <f t="shared" si="0"/>
        <v>-91</v>
      </c>
      <c r="AM52" s="29">
        <f t="shared" si="50"/>
        <v>-0.43333333333333335</v>
      </c>
      <c r="AN52" s="54">
        <f>VLOOKUP(C52,'[2]5月汇总'!$C:$AE,25,0)</f>
        <v>363</v>
      </c>
      <c r="AO52" s="55">
        <f t="shared" si="69"/>
        <v>845.47199999999998</v>
      </c>
      <c r="AP52" s="56">
        <f t="shared" si="70"/>
        <v>0.40598895558223286</v>
      </c>
      <c r="AQ52" s="59">
        <f>VLOOKUP(C52,[1]两年对比终版!$A:$W,6,0)</f>
        <v>2098.8549979999998</v>
      </c>
      <c r="AR52" s="29">
        <f t="shared" si="51"/>
        <v>-0.59717464960387889</v>
      </c>
      <c r="AS52" s="54">
        <f>VLOOKUP(C52,'[2]5月汇总'!$C:$AE,26,0)</f>
        <v>35</v>
      </c>
      <c r="AT52" s="55">
        <f t="shared" ref="AT52:AT59" si="75">AS52+O52</f>
        <v>60</v>
      </c>
      <c r="AU52" s="56">
        <f t="shared" si="71"/>
        <v>0.70921985815602839</v>
      </c>
      <c r="AV52" s="60">
        <f>VLOOKUP(C52,[1]两年对比终版!$A:$N,14,0)</f>
        <v>36</v>
      </c>
      <c r="AW52" s="55">
        <f t="shared" si="11"/>
        <v>24</v>
      </c>
      <c r="AX52" s="45">
        <f t="shared" si="52"/>
        <v>0.66666666666666663</v>
      </c>
      <c r="AY52" s="55">
        <f>VLOOKUP(C52,'[2]5月汇总'!$C:$AE,27,0)</f>
        <v>210</v>
      </c>
      <c r="AZ52" s="55">
        <f t="shared" si="72"/>
        <v>379.88099999999997</v>
      </c>
      <c r="BA52" s="62">
        <f t="shared" si="73"/>
        <v>0.44691882352941176</v>
      </c>
      <c r="BB52" s="55">
        <f>VLOOKUP(C52,[1]两年对比终版!$A:$W,17,0)</f>
        <v>317.42713099999997</v>
      </c>
      <c r="BC52" s="61">
        <f t="shared" si="15"/>
        <v>62.453868999999997</v>
      </c>
      <c r="BD52" s="45">
        <f t="shared" si="53"/>
        <v>0.19675025510028002</v>
      </c>
      <c r="BE52" s="55">
        <f>VLOOKUP(C52,'[2]5月汇总'!$C:$AE,28,0)</f>
        <v>36</v>
      </c>
      <c r="BF52" s="55">
        <f t="shared" ref="BF52:BF59" si="76">BE52+Y52</f>
        <v>41</v>
      </c>
      <c r="BG52" s="62">
        <f t="shared" si="74"/>
        <v>0.48463356973995275</v>
      </c>
      <c r="BH52" s="55">
        <f>VLOOKUP(C52,[1]两年对比终版!$A:$T,20,0)</f>
        <v>29</v>
      </c>
      <c r="BI52" s="45">
        <f t="shared" si="54"/>
        <v>0.41379310344827586</v>
      </c>
      <c r="BJ52" s="55">
        <f>VLOOKUP(C52,'[2]5月汇总'!$C:$AE,29,0)</f>
        <v>215</v>
      </c>
      <c r="BK52" s="55">
        <f t="shared" si="20"/>
        <v>261.00060000000002</v>
      </c>
      <c r="BL52" s="62">
        <f t="shared" si="21"/>
        <v>0.30705952941176473</v>
      </c>
      <c r="BM52" s="55">
        <f>VLOOKUP(C52,[1]两年对比终版!$A:$W,23,0)</f>
        <v>276.05057599999998</v>
      </c>
      <c r="BN52" s="45">
        <f>(BK52-BM52)/BM52</f>
        <v>-5.4518908158336751E-2</v>
      </c>
    </row>
    <row r="53" spans="1:66">
      <c r="A53" s="52">
        <v>44</v>
      </c>
      <c r="B53" s="52" t="s">
        <v>34</v>
      </c>
      <c r="C53" s="52" t="s">
        <v>76</v>
      </c>
      <c r="D53" s="53">
        <v>145</v>
      </c>
      <c r="E53" s="53">
        <v>54</v>
      </c>
      <c r="F53" s="44">
        <v>0.37241379310344802</v>
      </c>
      <c r="G53" s="53">
        <v>0</v>
      </c>
      <c r="H53" s="29">
        <v>1</v>
      </c>
      <c r="I53" s="53">
        <v>1500</v>
      </c>
      <c r="J53" s="53">
        <v>376.35399999999998</v>
      </c>
      <c r="K53" s="44">
        <v>0.250902666666667</v>
      </c>
      <c r="L53" s="53">
        <v>0</v>
      </c>
      <c r="M53" s="29">
        <v>1</v>
      </c>
      <c r="N53" s="53">
        <v>60.3</v>
      </c>
      <c r="O53" s="53">
        <v>23</v>
      </c>
      <c r="P53" s="44">
        <v>0.38142620232172503</v>
      </c>
      <c r="Q53" s="53">
        <v>0</v>
      </c>
      <c r="R53" s="29">
        <v>1</v>
      </c>
      <c r="S53" s="53">
        <v>600</v>
      </c>
      <c r="T53" s="53">
        <v>157.29499999999999</v>
      </c>
      <c r="U53" s="44">
        <v>0.26215833333333299</v>
      </c>
      <c r="V53" s="53">
        <v>0</v>
      </c>
      <c r="W53" s="29">
        <v>1</v>
      </c>
      <c r="X53" s="53">
        <v>60.3</v>
      </c>
      <c r="Y53" s="53">
        <v>2</v>
      </c>
      <c r="Z53" s="44">
        <v>3.3167495854062999E-2</v>
      </c>
      <c r="AA53" s="53">
        <v>0</v>
      </c>
      <c r="AB53" s="29">
        <v>1</v>
      </c>
      <c r="AC53" s="53">
        <v>600</v>
      </c>
      <c r="AD53" s="53">
        <v>11.338100000000001</v>
      </c>
      <c r="AE53" s="44">
        <v>1.88968333333333E-2</v>
      </c>
      <c r="AF53" s="53">
        <v>0</v>
      </c>
      <c r="AG53" s="29" t="e">
        <f t="shared" si="49"/>
        <v>#DIV/0!</v>
      </c>
      <c r="AH53" s="54">
        <f>VLOOKUP(C53,'[2]5月汇总'!$C:$AE,24,0)</f>
        <v>16</v>
      </c>
      <c r="AI53" s="55">
        <f t="shared" si="67"/>
        <v>70</v>
      </c>
      <c r="AJ53" s="56">
        <f t="shared" si="68"/>
        <v>0.48275862068965519</v>
      </c>
      <c r="AK53" s="57">
        <f>VLOOKUP(C53,[1]两年对比终版!$A:$W,3,0)</f>
        <v>0</v>
      </c>
      <c r="AL53" s="57">
        <f t="shared" si="0"/>
        <v>70</v>
      </c>
      <c r="AM53" s="29" t="e">
        <f t="shared" si="50"/>
        <v>#DIV/0!</v>
      </c>
      <c r="AN53" s="54">
        <f>VLOOKUP(C53,'[2]5月汇总'!$C:$AE,25,0)</f>
        <v>96</v>
      </c>
      <c r="AO53" s="55">
        <f t="shared" si="69"/>
        <v>472.35399999999998</v>
      </c>
      <c r="AP53" s="56">
        <f t="shared" si="70"/>
        <v>0.31490266666666666</v>
      </c>
      <c r="AQ53" s="59">
        <f>VLOOKUP(C53,[1]两年对比终版!$A:$W,6,0)</f>
        <v>0</v>
      </c>
      <c r="AR53" s="29"/>
      <c r="AS53" s="54">
        <f>VLOOKUP(C53,'[2]5月汇总'!$C:$AE,26,0)</f>
        <v>29</v>
      </c>
      <c r="AT53" s="55">
        <f t="shared" si="75"/>
        <v>52</v>
      </c>
      <c r="AU53" s="56">
        <f t="shared" si="71"/>
        <v>0.86235489220563855</v>
      </c>
      <c r="AV53" s="60">
        <f>VLOOKUP(C53,[1]两年对比终版!$A:$N,14,0)</f>
        <v>0</v>
      </c>
      <c r="AW53" s="55">
        <f t="shared" si="11"/>
        <v>52</v>
      </c>
      <c r="AX53" s="45"/>
      <c r="AY53" s="55">
        <f>VLOOKUP(C53,'[2]5月汇总'!$C:$AE,27,0)</f>
        <v>202</v>
      </c>
      <c r="AZ53" s="55">
        <f t="shared" si="72"/>
        <v>359.29499999999996</v>
      </c>
      <c r="BA53" s="62">
        <f t="shared" si="73"/>
        <v>0.59882499999999994</v>
      </c>
      <c r="BB53" s="55">
        <f>VLOOKUP(C53,[1]两年对比终版!$A:$W,17,0)</f>
        <v>0</v>
      </c>
      <c r="BC53" s="61">
        <f t="shared" si="15"/>
        <v>359.29499999999996</v>
      </c>
      <c r="BD53" s="45"/>
      <c r="BE53" s="55">
        <f>VLOOKUP(C53,'[2]5月汇总'!$C:$AE,28,0)</f>
        <v>29</v>
      </c>
      <c r="BF53" s="55">
        <f t="shared" si="76"/>
        <v>31</v>
      </c>
      <c r="BG53" s="62">
        <f t="shared" si="74"/>
        <v>0.51409618573797677</v>
      </c>
      <c r="BH53" s="55">
        <f>VLOOKUP(C53,[1]两年对比终版!$A:$T,20,0)</f>
        <v>0</v>
      </c>
      <c r="BI53" s="45"/>
      <c r="BJ53" s="55">
        <f>VLOOKUP(C53,'[2]5月汇总'!$C:$AE,29,0)</f>
        <v>202</v>
      </c>
      <c r="BK53" s="55">
        <f t="shared" si="20"/>
        <v>213.3381</v>
      </c>
      <c r="BL53" s="62">
        <f t="shared" si="21"/>
        <v>0.35556349999999998</v>
      </c>
      <c r="BM53" s="55">
        <f>VLOOKUP(C53,[1]两年对比终版!$A:$W,23,0)</f>
        <v>0</v>
      </c>
      <c r="BN53" s="45"/>
    </row>
    <row r="54" spans="1:66">
      <c r="A54" s="52">
        <v>45</v>
      </c>
      <c r="B54" s="52" t="s">
        <v>39</v>
      </c>
      <c r="C54" s="52" t="s">
        <v>77</v>
      </c>
      <c r="D54" s="53">
        <v>81</v>
      </c>
      <c r="E54" s="53">
        <v>12</v>
      </c>
      <c r="F54" s="44">
        <v>0.148148148148148</v>
      </c>
      <c r="G54" s="53">
        <v>48</v>
      </c>
      <c r="H54" s="29">
        <v>-3</v>
      </c>
      <c r="I54" s="53">
        <v>735</v>
      </c>
      <c r="J54" s="53">
        <v>103.843</v>
      </c>
      <c r="K54" s="44">
        <v>0.14128299319727899</v>
      </c>
      <c r="L54" s="53">
        <v>701.94773499999997</v>
      </c>
      <c r="M54" s="29">
        <v>-5.7597020020608003</v>
      </c>
      <c r="N54" s="53">
        <v>33.299999999999997</v>
      </c>
      <c r="O54" s="53">
        <v>7</v>
      </c>
      <c r="P54" s="44">
        <v>0.21021021021021</v>
      </c>
      <c r="Q54" s="53">
        <v>1</v>
      </c>
      <c r="R54" s="29">
        <v>0.85714285714285698</v>
      </c>
      <c r="S54" s="53">
        <v>300</v>
      </c>
      <c r="T54" s="53">
        <v>50.092799999999997</v>
      </c>
      <c r="U54" s="44">
        <v>0.16697600000000001</v>
      </c>
      <c r="V54" s="53">
        <v>6.7391420000000002</v>
      </c>
      <c r="W54" s="29">
        <v>0.86546685351986696</v>
      </c>
      <c r="X54" s="53">
        <v>33.299999999999997</v>
      </c>
      <c r="Y54" s="53">
        <v>8</v>
      </c>
      <c r="Z54" s="44">
        <v>0.24024024024023999</v>
      </c>
      <c r="AA54" s="53">
        <v>1</v>
      </c>
      <c r="AB54" s="29">
        <v>0.875</v>
      </c>
      <c r="AC54" s="53">
        <v>300</v>
      </c>
      <c r="AD54" s="53">
        <v>74.325900000000004</v>
      </c>
      <c r="AE54" s="44">
        <v>0.247753</v>
      </c>
      <c r="AF54" s="53">
        <v>6.7391420000000002</v>
      </c>
      <c r="AG54" s="29">
        <f t="shared" si="49"/>
        <v>10.028985588966666</v>
      </c>
      <c r="AH54" s="54">
        <f>VLOOKUP(C54,'[2]5月汇总'!$C:$AE,24,0)</f>
        <v>14</v>
      </c>
      <c r="AI54" s="55">
        <f t="shared" si="67"/>
        <v>26</v>
      </c>
      <c r="AJ54" s="56">
        <f t="shared" si="68"/>
        <v>0.32098765432098764</v>
      </c>
      <c r="AK54" s="57">
        <f>VLOOKUP(C54,[1]两年对比终版!$A:$W,3,0)</f>
        <v>138</v>
      </c>
      <c r="AL54" s="57">
        <f t="shared" si="0"/>
        <v>-112</v>
      </c>
      <c r="AM54" s="29">
        <f t="shared" si="50"/>
        <v>-0.81159420289855078</v>
      </c>
      <c r="AN54" s="54">
        <f>VLOOKUP(C54,'[2]5月汇总'!$C:$AE,25,0)</f>
        <v>143.49979999999999</v>
      </c>
      <c r="AO54" s="55">
        <f t="shared" si="69"/>
        <v>247.34280000000001</v>
      </c>
      <c r="AP54" s="56">
        <f t="shared" si="70"/>
        <v>0.33652081632653064</v>
      </c>
      <c r="AQ54" s="59">
        <f>VLOOKUP(C54,[1]两年对比终版!$A:$W,6,0)</f>
        <v>1844.2106389999999</v>
      </c>
      <c r="AR54" s="29">
        <f t="shared" si="51"/>
        <v>-0.86588148079759564</v>
      </c>
      <c r="AS54" s="54">
        <f>VLOOKUP(C54,'[2]5月汇总'!$C:$AE,26,0)</f>
        <v>12</v>
      </c>
      <c r="AT54" s="55">
        <f t="shared" si="75"/>
        <v>19</v>
      </c>
      <c r="AU54" s="56">
        <f t="shared" si="71"/>
        <v>0.57057057057057059</v>
      </c>
      <c r="AV54" s="60">
        <f>VLOOKUP(C54,[1]两年对比终版!$A:$N,14,0)</f>
        <v>2</v>
      </c>
      <c r="AW54" s="55">
        <f t="shared" si="11"/>
        <v>17</v>
      </c>
      <c r="AX54" s="45">
        <f t="shared" si="52"/>
        <v>8.5</v>
      </c>
      <c r="AY54" s="55">
        <f>VLOOKUP(C54,'[2]5月汇总'!$C:$AE,27,0)</f>
        <v>89.204499999999996</v>
      </c>
      <c r="AZ54" s="55">
        <f t="shared" si="72"/>
        <v>139.29730000000001</v>
      </c>
      <c r="BA54" s="62">
        <f t="shared" si="73"/>
        <v>0.46432433333333334</v>
      </c>
      <c r="BB54" s="55">
        <f>VLOOKUP(C54,[1]两年对比终版!$A:$W,17,0)</f>
        <v>14.660022</v>
      </c>
      <c r="BC54" s="61">
        <f t="shared" si="15"/>
        <v>124.63727800000001</v>
      </c>
      <c r="BD54" s="45">
        <f t="shared" si="53"/>
        <v>8.5018479508420945</v>
      </c>
      <c r="BE54" s="55">
        <f>VLOOKUP(C54,'[2]5月汇总'!$C:$AE,28,0)</f>
        <v>12</v>
      </c>
      <c r="BF54" s="55">
        <f t="shared" si="76"/>
        <v>20</v>
      </c>
      <c r="BG54" s="62">
        <f t="shared" si="74"/>
        <v>0.60060060060060061</v>
      </c>
      <c r="BH54" s="55">
        <f>VLOOKUP(C54,[1]两年对比终版!$A:$T,20,0)</f>
        <v>1</v>
      </c>
      <c r="BI54" s="45">
        <f t="shared" si="54"/>
        <v>19</v>
      </c>
      <c r="BJ54" s="55">
        <f>VLOOKUP(C54,'[2]5月汇总'!$C:$AE,29,0)</f>
        <v>89.204499999999996</v>
      </c>
      <c r="BK54" s="55">
        <f t="shared" si="20"/>
        <v>163.53039999999999</v>
      </c>
      <c r="BL54" s="62">
        <f t="shared" si="21"/>
        <v>0.54510133333333333</v>
      </c>
      <c r="BM54" s="55">
        <f>VLOOKUP(C54,[1]两年对比终版!$A:$W,23,0)</f>
        <v>6.7391420000000002</v>
      </c>
      <c r="BN54" s="45">
        <f>(BK54-BM54)/BM54</f>
        <v>23.265759647147959</v>
      </c>
    </row>
    <row r="55" spans="1:66">
      <c r="A55" s="52">
        <v>46</v>
      </c>
      <c r="B55" s="52" t="s">
        <v>39</v>
      </c>
      <c r="C55" s="52" t="s">
        <v>78</v>
      </c>
      <c r="D55" s="53">
        <v>127</v>
      </c>
      <c r="E55" s="53">
        <v>39</v>
      </c>
      <c r="F55" s="44">
        <v>0.30708661417322802</v>
      </c>
      <c r="G55" s="53">
        <v>0</v>
      </c>
      <c r="H55" s="29">
        <v>1</v>
      </c>
      <c r="I55" s="53">
        <v>980</v>
      </c>
      <c r="J55" s="53">
        <v>287.40300000000002</v>
      </c>
      <c r="K55" s="44">
        <v>0.29326836734693901</v>
      </c>
      <c r="L55" s="53">
        <v>0</v>
      </c>
      <c r="M55" s="29">
        <v>1</v>
      </c>
      <c r="N55" s="53">
        <v>52.2</v>
      </c>
      <c r="O55" s="53">
        <v>26</v>
      </c>
      <c r="P55" s="44">
        <v>0.498084291187739</v>
      </c>
      <c r="Q55" s="53">
        <v>0</v>
      </c>
      <c r="R55" s="29">
        <v>1</v>
      </c>
      <c r="S55" s="53">
        <v>400</v>
      </c>
      <c r="T55" s="53">
        <v>144.143</v>
      </c>
      <c r="U55" s="44">
        <v>0.3603575</v>
      </c>
      <c r="V55" s="53">
        <v>0</v>
      </c>
      <c r="W55" s="29">
        <v>1</v>
      </c>
      <c r="X55" s="53">
        <v>52.2</v>
      </c>
      <c r="Y55" s="53">
        <v>6</v>
      </c>
      <c r="Z55" s="44">
        <v>0.114942528735632</v>
      </c>
      <c r="AA55" s="53">
        <v>0</v>
      </c>
      <c r="AB55" s="29">
        <v>1</v>
      </c>
      <c r="AC55" s="53">
        <v>400</v>
      </c>
      <c r="AD55" s="53">
        <v>41.435699999999997</v>
      </c>
      <c r="AE55" s="44">
        <v>0.10358924999999999</v>
      </c>
      <c r="AF55" s="53">
        <v>0</v>
      </c>
      <c r="AG55" s="29" t="e">
        <f t="shared" si="49"/>
        <v>#DIV/0!</v>
      </c>
      <c r="AH55" s="54">
        <f>VLOOKUP(C55,'[2]5月汇总'!$C:$AE,24,0)</f>
        <v>41</v>
      </c>
      <c r="AI55" s="55">
        <f t="shared" si="67"/>
        <v>80</v>
      </c>
      <c r="AJ55" s="56">
        <f t="shared" si="68"/>
        <v>0.62992125984251968</v>
      </c>
      <c r="AK55" s="57">
        <f>VLOOKUP(C55,[1]两年对比终版!$A:$W,3,0)</f>
        <v>0</v>
      </c>
      <c r="AL55" s="57">
        <f t="shared" si="0"/>
        <v>80</v>
      </c>
      <c r="AM55" s="29" t="e">
        <f t="shared" si="50"/>
        <v>#DIV/0!</v>
      </c>
      <c r="AN55" s="54">
        <f>VLOOKUP(C55,'[2]5月汇总'!$C:$AE,25,0)</f>
        <v>269</v>
      </c>
      <c r="AO55" s="55">
        <f t="shared" si="69"/>
        <v>556.40300000000002</v>
      </c>
      <c r="AP55" s="56">
        <f t="shared" si="70"/>
        <v>0.56775816326530615</v>
      </c>
      <c r="AQ55" s="59">
        <f>VLOOKUP(C55,[1]两年对比终版!$A:$W,6,0)</f>
        <v>0</v>
      </c>
      <c r="AR55" s="29"/>
      <c r="AS55" s="54">
        <f>VLOOKUP(C55,'[2]5月汇总'!$C:$AE,26,0)</f>
        <v>41</v>
      </c>
      <c r="AT55" s="55">
        <f t="shared" si="75"/>
        <v>67</v>
      </c>
      <c r="AU55" s="56">
        <f t="shared" si="71"/>
        <v>1.2835249042145593</v>
      </c>
      <c r="AV55" s="60">
        <f>VLOOKUP(C55,[1]两年对比终版!$A:$N,14,0)</f>
        <v>0</v>
      </c>
      <c r="AW55" s="55">
        <f t="shared" si="11"/>
        <v>67</v>
      </c>
      <c r="AX55" s="45"/>
      <c r="AY55" s="55">
        <f>VLOOKUP(C55,'[2]5月汇总'!$C:$AE,27,0)</f>
        <v>269</v>
      </c>
      <c r="AZ55" s="55">
        <f t="shared" si="72"/>
        <v>413.14300000000003</v>
      </c>
      <c r="BA55" s="62">
        <f t="shared" si="73"/>
        <v>1.0328575</v>
      </c>
      <c r="BB55" s="53">
        <f>VLOOKUP(C55,[1]两年对比终版!$A:$W,17,0)</f>
        <v>0</v>
      </c>
      <c r="BC55" s="61">
        <f t="shared" si="15"/>
        <v>413.14300000000003</v>
      </c>
      <c r="BD55" s="45"/>
      <c r="BE55" s="55">
        <f>VLOOKUP(C55,'[2]5月汇总'!$C:$AE,28,0)</f>
        <v>41</v>
      </c>
      <c r="BF55" s="55">
        <f t="shared" si="76"/>
        <v>47</v>
      </c>
      <c r="BG55" s="62">
        <f t="shared" si="74"/>
        <v>0.90038314176245204</v>
      </c>
      <c r="BH55" s="53">
        <f>VLOOKUP(C55,[1]两年对比终版!$A:$T,20,0)</f>
        <v>0</v>
      </c>
      <c r="BI55" s="45"/>
      <c r="BJ55" s="55">
        <f>VLOOKUP(C55,'[2]5月汇总'!$C:$AE,29,0)</f>
        <v>269</v>
      </c>
      <c r="BK55" s="55">
        <f t="shared" si="20"/>
        <v>310.4357</v>
      </c>
      <c r="BL55" s="62">
        <f t="shared" si="21"/>
        <v>0.77608924999999995</v>
      </c>
      <c r="BM55" s="53">
        <f>VLOOKUP(C55,[1]两年对比终版!$A:$W,23,0)</f>
        <v>0</v>
      </c>
      <c r="BN55" s="45"/>
    </row>
    <row r="56" spans="1:66">
      <c r="A56" s="52">
        <v>47</v>
      </c>
      <c r="B56" s="52" t="s">
        <v>34</v>
      </c>
      <c r="C56" s="52" t="s">
        <v>79</v>
      </c>
      <c r="D56" s="53">
        <v>73</v>
      </c>
      <c r="E56" s="53">
        <v>45</v>
      </c>
      <c r="F56" s="44">
        <v>0.61643835616438403</v>
      </c>
      <c r="G56" s="53">
        <v>12</v>
      </c>
      <c r="H56" s="29">
        <v>0.73333333333333295</v>
      </c>
      <c r="I56" s="53">
        <v>816.66700000000003</v>
      </c>
      <c r="J56" s="53">
        <v>324.15600000000001</v>
      </c>
      <c r="K56" s="44">
        <v>0.39692555227528498</v>
      </c>
      <c r="L56" s="53">
        <v>98.328126999999995</v>
      </c>
      <c r="M56" s="29">
        <v>0.69666417712459405</v>
      </c>
      <c r="N56" s="53">
        <v>31.5</v>
      </c>
      <c r="O56" s="53">
        <v>17</v>
      </c>
      <c r="P56" s="44">
        <v>0.53968253968253999</v>
      </c>
      <c r="Q56" s="53">
        <v>0</v>
      </c>
      <c r="R56" s="29">
        <v>1</v>
      </c>
      <c r="S56" s="53">
        <v>350</v>
      </c>
      <c r="T56" s="53">
        <v>103.976</v>
      </c>
      <c r="U56" s="44">
        <v>0.29707428571428601</v>
      </c>
      <c r="V56" s="53">
        <v>0</v>
      </c>
      <c r="W56" s="29">
        <v>1</v>
      </c>
      <c r="X56" s="53">
        <v>31.5</v>
      </c>
      <c r="Y56" s="53">
        <v>22</v>
      </c>
      <c r="Z56" s="44">
        <v>0.69841269841269804</v>
      </c>
      <c r="AA56" s="53">
        <v>0</v>
      </c>
      <c r="AB56" s="29">
        <v>1</v>
      </c>
      <c r="AC56" s="53">
        <v>350</v>
      </c>
      <c r="AD56" s="53">
        <v>142.196</v>
      </c>
      <c r="AE56" s="44">
        <v>0.40627428571428598</v>
      </c>
      <c r="AF56" s="53">
        <v>0</v>
      </c>
      <c r="AG56" s="29" t="e">
        <f t="shared" si="49"/>
        <v>#DIV/0!</v>
      </c>
      <c r="AH56" s="54">
        <f>VLOOKUP(C56,'[2]5月汇总'!$C:$AE,24,0)</f>
        <v>25</v>
      </c>
      <c r="AI56" s="55">
        <f t="shared" si="67"/>
        <v>70</v>
      </c>
      <c r="AJ56" s="56">
        <f t="shared" si="68"/>
        <v>0.95890410958904104</v>
      </c>
      <c r="AK56" s="57">
        <f>VLOOKUP(C56,[1]两年对比终版!$A:$W,3,0)</f>
        <v>57</v>
      </c>
      <c r="AL56" s="57">
        <f t="shared" si="0"/>
        <v>13</v>
      </c>
      <c r="AM56" s="29">
        <f t="shared" si="50"/>
        <v>0.22807017543859648</v>
      </c>
      <c r="AN56" s="54">
        <f>VLOOKUP(C56,'[2]5月汇总'!$C:$AE,25,0)</f>
        <v>128</v>
      </c>
      <c r="AO56" s="55">
        <f t="shared" si="69"/>
        <v>452.15600000000001</v>
      </c>
      <c r="AP56" s="56">
        <f t="shared" si="70"/>
        <v>0.55366018217951751</v>
      </c>
      <c r="AQ56" s="59">
        <f>VLOOKUP(C56,[1]两年对比终版!$A:$W,6,0)</f>
        <v>430.01145500000001</v>
      </c>
      <c r="AR56" s="29">
        <f t="shared" si="51"/>
        <v>5.1497569989152947E-2</v>
      </c>
      <c r="AS56" s="54">
        <f>VLOOKUP(C56,'[2]5月汇总'!$C:$AE,26,0)</f>
        <v>27</v>
      </c>
      <c r="AT56" s="55">
        <f t="shared" si="75"/>
        <v>44</v>
      </c>
      <c r="AU56" s="56">
        <f t="shared" si="71"/>
        <v>1.3968253968253967</v>
      </c>
      <c r="AV56" s="60">
        <f>VLOOKUP(C56,[1]两年对比终版!$A:$N,14,0)</f>
        <v>2</v>
      </c>
      <c r="AW56" s="55">
        <f t="shared" si="11"/>
        <v>42</v>
      </c>
      <c r="AX56" s="45">
        <f t="shared" si="52"/>
        <v>21</v>
      </c>
      <c r="AY56" s="55">
        <f>VLOOKUP(C56,'[2]5月汇总'!$C:$AE,27,0)</f>
        <v>141</v>
      </c>
      <c r="AZ56" s="55">
        <f t="shared" si="72"/>
        <v>244.976</v>
      </c>
      <c r="BA56" s="62">
        <f t="shared" si="73"/>
        <v>0.69993142857142854</v>
      </c>
      <c r="BB56" s="55">
        <f>VLOOKUP(C56,[1]两年对比终版!$A:$W,17,0)</f>
        <v>19.154128</v>
      </c>
      <c r="BC56" s="61">
        <f t="shared" si="15"/>
        <v>225.82187199999998</v>
      </c>
      <c r="BD56" s="45">
        <f t="shared" si="53"/>
        <v>11.789723447603565</v>
      </c>
      <c r="BE56" s="55">
        <f>VLOOKUP(C56,'[2]5月汇总'!$C:$AE,28,0)</f>
        <v>11</v>
      </c>
      <c r="BF56" s="55">
        <f t="shared" si="76"/>
        <v>33</v>
      </c>
      <c r="BG56" s="62">
        <f t="shared" si="74"/>
        <v>1.0476190476190477</v>
      </c>
      <c r="BH56" s="55">
        <f>VLOOKUP(C56,[1]两年对比终版!$A:$T,20,0)</f>
        <v>0</v>
      </c>
      <c r="BI56" s="45" t="e">
        <f t="shared" si="54"/>
        <v>#DIV/0!</v>
      </c>
      <c r="BJ56" s="55">
        <f>VLOOKUP(C56,'[2]5月汇总'!$C:$AE,29,0)</f>
        <v>72</v>
      </c>
      <c r="BK56" s="55">
        <f t="shared" si="20"/>
        <v>214.196</v>
      </c>
      <c r="BL56" s="62">
        <f t="shared" si="21"/>
        <v>0.61198857142857144</v>
      </c>
      <c r="BM56" s="55">
        <f>VLOOKUP(C56,[1]两年对比终版!$A:$W,23,0)</f>
        <v>0</v>
      </c>
      <c r="BN56" s="45" t="e">
        <f>(BK56-BM56)/BM56</f>
        <v>#DIV/0!</v>
      </c>
    </row>
    <row r="57" spans="1:66">
      <c r="A57" s="52">
        <v>48</v>
      </c>
      <c r="B57" s="52" t="s">
        <v>39</v>
      </c>
      <c r="C57" s="52" t="s">
        <v>80</v>
      </c>
      <c r="D57" s="53">
        <v>44</v>
      </c>
      <c r="E57" s="53">
        <v>0</v>
      </c>
      <c r="F57" s="44">
        <v>0</v>
      </c>
      <c r="G57" s="53">
        <v>0</v>
      </c>
      <c r="H57" s="29" t="e">
        <v>#DIV/0!</v>
      </c>
      <c r="I57" s="53">
        <v>490</v>
      </c>
      <c r="J57" s="53">
        <v>0</v>
      </c>
      <c r="K57" s="44">
        <v>0</v>
      </c>
      <c r="L57" s="53">
        <v>0</v>
      </c>
      <c r="M57" s="29" t="e">
        <v>#DIV/0!</v>
      </c>
      <c r="N57" s="53">
        <v>20</v>
      </c>
      <c r="O57" s="53">
        <v>0</v>
      </c>
      <c r="P57" s="44">
        <v>0</v>
      </c>
      <c r="Q57" s="53">
        <v>0</v>
      </c>
      <c r="R57" s="29" t="e">
        <v>#DIV/0!</v>
      </c>
      <c r="S57" s="53">
        <v>200</v>
      </c>
      <c r="T57" s="53">
        <v>0</v>
      </c>
      <c r="U57" s="44">
        <v>0</v>
      </c>
      <c r="V57" s="53">
        <v>0</v>
      </c>
      <c r="W57" s="29" t="e">
        <v>#DIV/0!</v>
      </c>
      <c r="X57" s="53">
        <v>20</v>
      </c>
      <c r="Y57" s="53">
        <v>0</v>
      </c>
      <c r="Z57" s="44">
        <v>0</v>
      </c>
      <c r="AA57" s="53">
        <v>0</v>
      </c>
      <c r="AB57" s="29" t="e">
        <v>#DIV/0!</v>
      </c>
      <c r="AC57" s="53">
        <v>200</v>
      </c>
      <c r="AD57" s="53">
        <v>0</v>
      </c>
      <c r="AE57" s="44">
        <v>0</v>
      </c>
      <c r="AF57" s="53">
        <v>0</v>
      </c>
      <c r="AG57" s="29" t="e">
        <f t="shared" si="49"/>
        <v>#DIV/0!</v>
      </c>
      <c r="AH57" s="54">
        <f>VLOOKUP(C57,'[2]5月汇总'!$C:$AE,24,0)</f>
        <v>0</v>
      </c>
      <c r="AI57" s="55">
        <f t="shared" si="67"/>
        <v>0</v>
      </c>
      <c r="AJ57" s="56">
        <f t="shared" si="68"/>
        <v>0</v>
      </c>
      <c r="AK57" s="57">
        <f>VLOOKUP(C57,[1]两年对比终版!$A:$W,3,0)</f>
        <v>0</v>
      </c>
      <c r="AL57" s="57">
        <f t="shared" si="0"/>
        <v>0</v>
      </c>
      <c r="AM57" s="29" t="e">
        <f t="shared" si="50"/>
        <v>#DIV/0!</v>
      </c>
      <c r="AN57" s="54">
        <f>VLOOKUP(C57,'[2]5月汇总'!$C:$AE,25,0)</f>
        <v>0</v>
      </c>
      <c r="AO57" s="55">
        <f t="shared" si="69"/>
        <v>0</v>
      </c>
      <c r="AP57" s="56">
        <f t="shared" si="70"/>
        <v>0</v>
      </c>
      <c r="AQ57" s="59">
        <f>VLOOKUP(C57,[1]两年对比终版!$A:$W,6,0)</f>
        <v>0</v>
      </c>
      <c r="AR57" s="29"/>
      <c r="AS57" s="54">
        <f>VLOOKUP(C57,'[2]5月汇总'!$C:$AE,26,0)</f>
        <v>0</v>
      </c>
      <c r="AT57" s="55">
        <f t="shared" si="75"/>
        <v>0</v>
      </c>
      <c r="AU57" s="56">
        <f t="shared" si="71"/>
        <v>0</v>
      </c>
      <c r="AV57" s="60">
        <f>VLOOKUP(C57,[1]两年对比终版!$A:$N,14,0)</f>
        <v>0</v>
      </c>
      <c r="AW57" s="55">
        <f t="shared" si="11"/>
        <v>0</v>
      </c>
      <c r="AX57" s="45"/>
      <c r="AY57" s="55">
        <f>VLOOKUP(C57,'[2]5月汇总'!$C:$AE,27,0)</f>
        <v>0</v>
      </c>
      <c r="AZ57" s="55">
        <f t="shared" si="72"/>
        <v>0</v>
      </c>
      <c r="BA57" s="62">
        <f t="shared" si="73"/>
        <v>0</v>
      </c>
      <c r="BB57" s="55">
        <f>VLOOKUP(C57,[1]两年对比终版!$A:$W,17,0)</f>
        <v>0</v>
      </c>
      <c r="BC57" s="61">
        <f t="shared" si="15"/>
        <v>0</v>
      </c>
      <c r="BD57" s="45"/>
      <c r="BE57" s="55">
        <f>VLOOKUP(C57,'[2]5月汇总'!$C:$AE,28,0)</f>
        <v>0</v>
      </c>
      <c r="BF57" s="55">
        <f t="shared" si="76"/>
        <v>0</v>
      </c>
      <c r="BG57" s="62">
        <f t="shared" si="74"/>
        <v>0</v>
      </c>
      <c r="BH57" s="55">
        <f>VLOOKUP(C57,[1]两年对比终版!$A:$T,20,0)</f>
        <v>0</v>
      </c>
      <c r="BI57" s="45"/>
      <c r="BJ57" s="55">
        <f>VLOOKUP(C57,'[2]5月汇总'!$C:$AE,29,0)</f>
        <v>0</v>
      </c>
      <c r="BK57" s="55">
        <f t="shared" si="20"/>
        <v>0</v>
      </c>
      <c r="BL57" s="62">
        <f t="shared" si="21"/>
        <v>0</v>
      </c>
      <c r="BM57" s="55">
        <f>VLOOKUP(C57,[1]两年对比终版!$A:$W,23,0)</f>
        <v>0</v>
      </c>
      <c r="BN57" s="45"/>
    </row>
    <row r="58" spans="1:66" s="77" customFormat="1">
      <c r="A58" s="78" t="s">
        <v>81</v>
      </c>
      <c r="B58" s="79"/>
      <c r="C58" s="79"/>
      <c r="D58" s="68">
        <v>1339</v>
      </c>
      <c r="E58" s="68">
        <v>388</v>
      </c>
      <c r="F58" s="69">
        <v>0.28976848394324101</v>
      </c>
      <c r="G58" s="68">
        <v>340</v>
      </c>
      <c r="H58" s="70">
        <v>0.123711340206186</v>
      </c>
      <c r="I58" s="68">
        <v>13439.847</v>
      </c>
      <c r="J58" s="68">
        <v>3170.8049999999998</v>
      </c>
      <c r="K58" s="69">
        <v>0.235925676832482</v>
      </c>
      <c r="L58" s="68">
        <v>3378.3822279999999</v>
      </c>
      <c r="M58" s="70">
        <v>-6.5465150963241195E-2</v>
      </c>
      <c r="N58" s="68">
        <v>553.70000000000005</v>
      </c>
      <c r="O58" s="68">
        <v>174</v>
      </c>
      <c r="P58" s="69">
        <v>0.314249593642767</v>
      </c>
      <c r="Q58" s="68">
        <v>69</v>
      </c>
      <c r="R58" s="70">
        <v>0.60344827586206895</v>
      </c>
      <c r="S58" s="68">
        <v>5504</v>
      </c>
      <c r="T58" s="68">
        <v>1321.0917999999999</v>
      </c>
      <c r="U58" s="69">
        <v>0.24002394622093001</v>
      </c>
      <c r="V58" s="68">
        <v>704.10823900000003</v>
      </c>
      <c r="W58" s="70">
        <v>0.46702550193711001</v>
      </c>
      <c r="X58" s="68">
        <v>553.70000000000005</v>
      </c>
      <c r="Y58" s="68">
        <v>69</v>
      </c>
      <c r="Z58" s="69">
        <v>0.124616218168683</v>
      </c>
      <c r="AA58" s="68">
        <v>55</v>
      </c>
      <c r="AB58" s="70">
        <v>0.202898550724638</v>
      </c>
      <c r="AC58" s="68">
        <v>5504</v>
      </c>
      <c r="AD58" s="68">
        <v>557.96659999999997</v>
      </c>
      <c r="AE58" s="69">
        <v>0.101374745639535</v>
      </c>
      <c r="AF58" s="68">
        <v>662.60901699999999</v>
      </c>
      <c r="AG58" s="70">
        <f t="shared" si="49"/>
        <v>-0.15792483095653378</v>
      </c>
      <c r="AH58" s="68">
        <f>SUM(AH50:AH57)</f>
        <v>298</v>
      </c>
      <c r="AI58" s="71">
        <f t="shared" si="67"/>
        <v>686</v>
      </c>
      <c r="AJ58" s="41">
        <f t="shared" si="68"/>
        <v>0.51232262882748325</v>
      </c>
      <c r="AK58" s="68">
        <f>SUM(AK50:AK57)</f>
        <v>633</v>
      </c>
      <c r="AL58" s="73">
        <f t="shared" si="0"/>
        <v>53</v>
      </c>
      <c r="AM58" s="70">
        <f t="shared" si="50"/>
        <v>8.3728278041074244E-2</v>
      </c>
      <c r="AN58" s="68">
        <f>SUM(AN50:AN57)</f>
        <v>2374.4998000000001</v>
      </c>
      <c r="AO58" s="71">
        <f t="shared" si="69"/>
        <v>5545.3047999999999</v>
      </c>
      <c r="AP58" s="41">
        <f t="shared" si="70"/>
        <v>0.41260178036252942</v>
      </c>
      <c r="AQ58" s="68">
        <f>SUM(AQ50:AQ57)</f>
        <v>6443.7584949999991</v>
      </c>
      <c r="AR58" s="70">
        <f t="shared" si="51"/>
        <v>-0.13943006953118273</v>
      </c>
      <c r="AS58" s="68">
        <f>SUM(AS50:AS57)</f>
        <v>217</v>
      </c>
      <c r="AT58" s="71">
        <f t="shared" si="75"/>
        <v>391</v>
      </c>
      <c r="AU58" s="41">
        <f t="shared" si="71"/>
        <v>0.7061585696225392</v>
      </c>
      <c r="AV58" s="68">
        <f t="shared" ref="AV58:BB58" si="77">SUM(AV50:AV57)</f>
        <v>110</v>
      </c>
      <c r="AW58" s="71">
        <f t="shared" si="11"/>
        <v>281</v>
      </c>
      <c r="AX58" s="74">
        <f t="shared" si="52"/>
        <v>2.5545454545454547</v>
      </c>
      <c r="AY58" s="71">
        <f t="shared" si="77"/>
        <v>1652.2045000000001</v>
      </c>
      <c r="AZ58" s="71">
        <f t="shared" si="72"/>
        <v>2973.2963</v>
      </c>
      <c r="BA58" s="75">
        <f t="shared" si="73"/>
        <v>0.54020644985465116</v>
      </c>
      <c r="BB58" s="71">
        <f t="shared" si="77"/>
        <v>1069.3995329999998</v>
      </c>
      <c r="BC58" s="76">
        <f t="shared" si="15"/>
        <v>1903.8967670000002</v>
      </c>
      <c r="BD58" s="74">
        <f t="shared" si="53"/>
        <v>1.7803418724702216</v>
      </c>
      <c r="BE58" s="71">
        <f>SUM(BE50:BE57)</f>
        <v>215</v>
      </c>
      <c r="BF58" s="71">
        <f t="shared" si="76"/>
        <v>284</v>
      </c>
      <c r="BG58" s="75">
        <f t="shared" si="74"/>
        <v>0.5129131298537114</v>
      </c>
      <c r="BH58" s="71">
        <f t="shared" ref="BH58:BM58" si="78">SUM(BH50:BH57)</f>
        <v>88</v>
      </c>
      <c r="BI58" s="74">
        <f t="shared" si="54"/>
        <v>2.2272727272727271</v>
      </c>
      <c r="BJ58" s="71">
        <f t="shared" si="78"/>
        <v>1682.2045000000001</v>
      </c>
      <c r="BK58" s="71">
        <f t="shared" si="20"/>
        <v>2240.1711</v>
      </c>
      <c r="BL58" s="75">
        <f t="shared" si="21"/>
        <v>0.40700783066860463</v>
      </c>
      <c r="BM58" s="71">
        <f t="shared" si="78"/>
        <v>937.54954399999997</v>
      </c>
      <c r="BN58" s="74">
        <f t="shared" ref="BN58:BN63" si="79">(BK58-BM58)/BM58</f>
        <v>1.389389568088788</v>
      </c>
    </row>
    <row r="59" spans="1:66">
      <c r="A59" s="52">
        <v>49</v>
      </c>
      <c r="B59" s="52" t="s">
        <v>25</v>
      </c>
      <c r="C59" s="52" t="s">
        <v>82</v>
      </c>
      <c r="D59" s="53">
        <v>450</v>
      </c>
      <c r="E59" s="53">
        <v>127</v>
      </c>
      <c r="F59" s="44">
        <v>0.28222222222222199</v>
      </c>
      <c r="G59" s="53">
        <v>155</v>
      </c>
      <c r="H59" s="29">
        <v>-0.220472440944882</v>
      </c>
      <c r="I59" s="53">
        <v>6270</v>
      </c>
      <c r="J59" s="53">
        <v>2436.06</v>
      </c>
      <c r="K59" s="44">
        <v>0.388526315789474</v>
      </c>
      <c r="L59" s="53">
        <v>2339.779462</v>
      </c>
      <c r="M59" s="29">
        <v>3.9523056903360297E-2</v>
      </c>
      <c r="N59" s="53">
        <v>210</v>
      </c>
      <c r="O59" s="53">
        <v>85</v>
      </c>
      <c r="P59" s="44">
        <v>0.40476190476190499</v>
      </c>
      <c r="Q59" s="53">
        <v>36</v>
      </c>
      <c r="R59" s="29">
        <v>0.57647058823529396</v>
      </c>
      <c r="S59" s="53">
        <v>3050</v>
      </c>
      <c r="T59" s="53">
        <v>1224.1199999999999</v>
      </c>
      <c r="U59" s="44">
        <v>0.40135081967213099</v>
      </c>
      <c r="V59" s="53">
        <v>459.62634600000001</v>
      </c>
      <c r="W59" s="29">
        <v>0.62452509067738404</v>
      </c>
      <c r="X59" s="53">
        <v>210</v>
      </c>
      <c r="Y59" s="53">
        <v>79</v>
      </c>
      <c r="Z59" s="44">
        <v>0.37619047619047602</v>
      </c>
      <c r="AA59" s="53">
        <v>34</v>
      </c>
      <c r="AB59" s="29">
        <v>0.569620253164557</v>
      </c>
      <c r="AC59" s="53">
        <v>3050</v>
      </c>
      <c r="AD59" s="53">
        <v>1152.56</v>
      </c>
      <c r="AE59" s="44">
        <v>0.37788852459016398</v>
      </c>
      <c r="AF59" s="53">
        <v>436.42347999999998</v>
      </c>
      <c r="AG59" s="29">
        <f t="shared" si="49"/>
        <v>1.6409211530048751</v>
      </c>
      <c r="AH59" s="54">
        <f>VLOOKUP(C59,'[2]5月汇总'!$C:$AE,24,0)</f>
        <v>36</v>
      </c>
      <c r="AI59" s="63">
        <f t="shared" si="67"/>
        <v>163</v>
      </c>
      <c r="AJ59" s="65">
        <f t="shared" si="68"/>
        <v>0.36222222222222222</v>
      </c>
      <c r="AK59" s="57">
        <f>VLOOKUP(C59,[1]两年对比终版!$A:$C,3,0)</f>
        <v>205</v>
      </c>
      <c r="AL59" s="57">
        <f t="shared" si="0"/>
        <v>-42</v>
      </c>
      <c r="AM59" s="29">
        <f t="shared" si="50"/>
        <v>-0.20487804878048779</v>
      </c>
      <c r="AN59" s="54">
        <f>VLOOKUP(C59,'[2]5月汇总'!$C:$AE,25,0)</f>
        <v>722</v>
      </c>
      <c r="AO59" s="63">
        <f t="shared" si="69"/>
        <v>3158.06</v>
      </c>
      <c r="AP59" s="65">
        <f t="shared" si="70"/>
        <v>0.50367783094098884</v>
      </c>
      <c r="AQ59" s="66">
        <f>VLOOKUP(C59,[1]两年对比终版!$A:$W,6,0)</f>
        <v>3027.8659160000002</v>
      </c>
      <c r="AR59" s="29">
        <f t="shared" si="51"/>
        <v>4.2998629269553078E-2</v>
      </c>
      <c r="AS59" s="54">
        <f>VLOOKUP(C59,'[2]5月汇总'!$C:$AE,26,0)</f>
        <v>27</v>
      </c>
      <c r="AT59" s="63">
        <f t="shared" si="75"/>
        <v>112</v>
      </c>
      <c r="AU59" s="65">
        <f t="shared" si="71"/>
        <v>0.53333333333333333</v>
      </c>
      <c r="AV59" s="60">
        <f>VLOOKUP(C59,[1]两年对比终版!$A:$N,14,0)</f>
        <v>61</v>
      </c>
      <c r="AW59" s="55">
        <f t="shared" si="11"/>
        <v>51</v>
      </c>
      <c r="AX59" s="45">
        <f t="shared" si="52"/>
        <v>0.83606557377049184</v>
      </c>
      <c r="AY59" s="55">
        <f>VLOOKUP(C59,'[2]5月汇总'!$C:$AE,27,0)</f>
        <v>389.16</v>
      </c>
      <c r="AZ59" s="55">
        <f t="shared" si="72"/>
        <v>1613.28</v>
      </c>
      <c r="BA59" s="62">
        <f t="shared" si="73"/>
        <v>0.52894426229508196</v>
      </c>
      <c r="BB59" s="53">
        <f>VLOOKUP(C59,[1]两年对比终版!$A:$W,17,0)</f>
        <v>919.33171900000002</v>
      </c>
      <c r="BC59" s="61">
        <f t="shared" si="15"/>
        <v>693.94828099999995</v>
      </c>
      <c r="BD59" s="45">
        <f t="shared" si="53"/>
        <v>0.75483991975697284</v>
      </c>
      <c r="BE59" s="63">
        <f>VLOOKUP(C59,'[2]5月汇总'!$C:$AE,28,0)</f>
        <v>26.5</v>
      </c>
      <c r="BF59" s="63">
        <f t="shared" si="76"/>
        <v>105.5</v>
      </c>
      <c r="BG59" s="62">
        <f t="shared" si="74"/>
        <v>0.50238095238095237</v>
      </c>
      <c r="BH59" s="53">
        <f>VLOOKUP(C59,[1]两年对比终版!$A:$T,20,0)</f>
        <v>38</v>
      </c>
      <c r="BI59" s="45">
        <f t="shared" si="54"/>
        <v>1.7763157894736843</v>
      </c>
      <c r="BJ59" s="63">
        <f>VLOOKUP(C59,'[2]5月汇总'!$C:$AE,29,0)</f>
        <v>335.29500000000002</v>
      </c>
      <c r="BK59" s="55">
        <f t="shared" si="20"/>
        <v>1487.855</v>
      </c>
      <c r="BL59" s="62">
        <f t="shared" si="21"/>
        <v>0.48782131147540986</v>
      </c>
      <c r="BM59" s="53">
        <f>VLOOKUP(C59,[1]两年对比终版!$A:$W,23,0)</f>
        <v>490.77310799999998</v>
      </c>
      <c r="BN59" s="45">
        <f t="shared" si="79"/>
        <v>2.0316555160557006</v>
      </c>
    </row>
    <row r="60" spans="1:66">
      <c r="A60" s="52">
        <v>50</v>
      </c>
      <c r="B60" s="52" t="s">
        <v>25</v>
      </c>
      <c r="C60" s="52" t="s">
        <v>83</v>
      </c>
      <c r="D60" s="53">
        <v>450</v>
      </c>
      <c r="E60" s="53">
        <v>142</v>
      </c>
      <c r="F60" s="44">
        <v>0.31555555555555498</v>
      </c>
      <c r="G60" s="53">
        <v>103</v>
      </c>
      <c r="H60" s="29">
        <v>0.27464788732394402</v>
      </c>
      <c r="I60" s="53">
        <v>6270</v>
      </c>
      <c r="J60" s="53">
        <v>2699.57</v>
      </c>
      <c r="K60" s="44">
        <v>0.43055342902711302</v>
      </c>
      <c r="L60" s="53">
        <v>1822.4759409999999</v>
      </c>
      <c r="M60" s="29">
        <v>0.32490139503698701</v>
      </c>
      <c r="N60" s="53">
        <v>210</v>
      </c>
      <c r="O60" s="53">
        <v>74</v>
      </c>
      <c r="P60" s="44">
        <v>0.35238095238095202</v>
      </c>
      <c r="Q60" s="53">
        <v>62</v>
      </c>
      <c r="R60" s="29">
        <v>0.162162162162162</v>
      </c>
      <c r="S60" s="53">
        <v>3050</v>
      </c>
      <c r="T60" s="53">
        <v>1054.17</v>
      </c>
      <c r="U60" s="44">
        <v>0.345629508196721</v>
      </c>
      <c r="V60" s="53">
        <v>884.78560200000004</v>
      </c>
      <c r="W60" s="29">
        <v>0.16068034377756901</v>
      </c>
      <c r="X60" s="53">
        <v>210</v>
      </c>
      <c r="Y60" s="53">
        <v>60</v>
      </c>
      <c r="Z60" s="44">
        <v>0.28571428571428598</v>
      </c>
      <c r="AA60" s="53">
        <v>51</v>
      </c>
      <c r="AB60" s="29">
        <v>0.15</v>
      </c>
      <c r="AC60" s="53">
        <v>3050</v>
      </c>
      <c r="AD60" s="53">
        <v>762.80399999999997</v>
      </c>
      <c r="AE60" s="44">
        <v>0.25009967213114698</v>
      </c>
      <c r="AF60" s="53">
        <v>729.53355499999998</v>
      </c>
      <c r="AG60" s="29">
        <f t="shared" si="49"/>
        <v>4.5605092146858137E-2</v>
      </c>
      <c r="AH60" s="54">
        <f>VLOOKUP(C60,'[2]5月汇总'!$C:$AE,24,0)</f>
        <v>36</v>
      </c>
      <c r="AI60" s="63">
        <f t="shared" si="67"/>
        <v>178</v>
      </c>
      <c r="AJ60" s="65">
        <f t="shared" ref="AJ60:AJ74" si="80">AI60/D60</f>
        <v>0.39555555555555555</v>
      </c>
      <c r="AK60" s="67">
        <f>VLOOKUP(C60,[1]两年对比终版!$A:$W,3,0)</f>
        <v>210</v>
      </c>
      <c r="AL60" s="57">
        <f t="shared" si="0"/>
        <v>-32</v>
      </c>
      <c r="AM60" s="29">
        <f t="shared" si="50"/>
        <v>-0.15238095238095239</v>
      </c>
      <c r="AN60" s="54">
        <f>VLOOKUP(C60,'[2]5月汇总'!$C:$AE,25,0)</f>
        <v>722</v>
      </c>
      <c r="AO60" s="63">
        <f t="shared" ref="AO60:AO74" si="81">AN60+J60</f>
        <v>3421.57</v>
      </c>
      <c r="AP60" s="65">
        <f t="shared" ref="AP60:AP74" si="82">AO60/I60</f>
        <v>0.54570494417862847</v>
      </c>
      <c r="AQ60" s="66">
        <f>VLOOKUP(C60,[1]两年对比终版!$A:$W,6,0)</f>
        <v>4168.0500819999997</v>
      </c>
      <c r="AR60" s="29">
        <f t="shared" si="51"/>
        <v>-0.17909575636428249</v>
      </c>
      <c r="AS60" s="54">
        <f>VLOOKUP(C60,'[2]5月汇总'!$C:$AE,26,0)</f>
        <v>27</v>
      </c>
      <c r="AT60" s="63">
        <f t="shared" ref="AT60:AT74" si="83">AS60+O60</f>
        <v>101</v>
      </c>
      <c r="AU60" s="65">
        <f t="shared" ref="AU60:AU74" si="84">AT60/N60</f>
        <v>0.48095238095238096</v>
      </c>
      <c r="AV60" s="60">
        <f>VLOOKUP(C60,[1]两年对比终版!$A:$N,14,0)</f>
        <v>90</v>
      </c>
      <c r="AW60" s="55">
        <f t="shared" si="11"/>
        <v>11</v>
      </c>
      <c r="AX60" s="45">
        <f t="shared" si="52"/>
        <v>0.12222222222222222</v>
      </c>
      <c r="AY60" s="55">
        <f>VLOOKUP(C60,'[2]5月汇总'!$C:$AE,27,0)</f>
        <v>389.16</v>
      </c>
      <c r="AZ60" s="55">
        <f t="shared" ref="AZ60:AZ74" si="85">AY60+T60</f>
        <v>1443.3300000000002</v>
      </c>
      <c r="BA60" s="62">
        <f t="shared" ref="BA60:BA74" si="86">AZ60/S60</f>
        <v>0.47322295081967219</v>
      </c>
      <c r="BB60" s="55">
        <f>VLOOKUP(C60,[1]两年对比终版!$A:$W,17,0)</f>
        <v>1491.4457580000001</v>
      </c>
      <c r="BC60" s="61">
        <f t="shared" si="15"/>
        <v>-48.115757999999914</v>
      </c>
      <c r="BD60" s="45">
        <f t="shared" si="53"/>
        <v>-3.2261151799796071E-2</v>
      </c>
      <c r="BE60" s="63">
        <f>VLOOKUP(C60,'[2]5月汇总'!$C:$AE,28,0)</f>
        <v>26.5</v>
      </c>
      <c r="BF60" s="63">
        <f t="shared" ref="BF60:BF74" si="87">BE60+Y60</f>
        <v>86.5</v>
      </c>
      <c r="BG60" s="62">
        <f t="shared" ref="BG60:BG74" si="88">BF60/X60</f>
        <v>0.41190476190476188</v>
      </c>
      <c r="BH60" s="55">
        <f>VLOOKUP(C60,[1]两年对比终版!$A:$T,20,0)</f>
        <v>67</v>
      </c>
      <c r="BI60" s="45">
        <f t="shared" si="54"/>
        <v>0.29104477611940299</v>
      </c>
      <c r="BJ60" s="63">
        <f>VLOOKUP(C60,'[2]5月汇总'!$C:$AE,29,0)</f>
        <v>335.29500000000002</v>
      </c>
      <c r="BK60" s="55">
        <f t="shared" si="20"/>
        <v>1098.0989999999999</v>
      </c>
      <c r="BL60" s="62">
        <f t="shared" si="21"/>
        <v>0.36003245901639341</v>
      </c>
      <c r="BM60" s="55">
        <f>VLOOKUP(C60,[1]两年对比终版!$A:$W,23,0)</f>
        <v>931.40596400000004</v>
      </c>
      <c r="BN60" s="45">
        <f t="shared" si="79"/>
        <v>0.17896925985326834</v>
      </c>
    </row>
    <row r="61" spans="1:66">
      <c r="A61" s="52">
        <v>51</v>
      </c>
      <c r="B61" s="52" t="s">
        <v>34</v>
      </c>
      <c r="C61" s="52" t="s">
        <v>84</v>
      </c>
      <c r="D61" s="53">
        <v>100</v>
      </c>
      <c r="E61" s="53">
        <v>24</v>
      </c>
      <c r="F61" s="44">
        <v>0.24</v>
      </c>
      <c r="G61" s="53">
        <v>14</v>
      </c>
      <c r="H61" s="29">
        <v>0.41666666666666702</v>
      </c>
      <c r="I61" s="53">
        <v>1390</v>
      </c>
      <c r="J61" s="53">
        <v>300.29700000000003</v>
      </c>
      <c r="K61" s="44">
        <v>0.21604100719424499</v>
      </c>
      <c r="L61" s="53">
        <v>193.90317899999999</v>
      </c>
      <c r="M61" s="29">
        <v>0.35429531763554101</v>
      </c>
      <c r="N61" s="53">
        <v>35</v>
      </c>
      <c r="O61" s="53">
        <v>8</v>
      </c>
      <c r="P61" s="44">
        <v>0.22857142857142901</v>
      </c>
      <c r="Q61" s="53">
        <v>0</v>
      </c>
      <c r="R61" s="29">
        <v>1</v>
      </c>
      <c r="S61" s="53">
        <v>410</v>
      </c>
      <c r="T61" s="53">
        <v>99.284800000000004</v>
      </c>
      <c r="U61" s="44">
        <v>0.24215804878048799</v>
      </c>
      <c r="V61" s="53">
        <v>0</v>
      </c>
      <c r="W61" s="29">
        <v>1</v>
      </c>
      <c r="X61" s="53">
        <v>35</v>
      </c>
      <c r="Y61" s="53">
        <v>2</v>
      </c>
      <c r="Z61" s="44">
        <v>5.7142857142857099E-2</v>
      </c>
      <c r="AA61" s="53">
        <v>0</v>
      </c>
      <c r="AB61" s="29">
        <v>1</v>
      </c>
      <c r="AC61" s="53">
        <v>410</v>
      </c>
      <c r="AD61" s="53">
        <v>26.889600000000002</v>
      </c>
      <c r="AE61" s="44">
        <v>6.5584390243902405E-2</v>
      </c>
      <c r="AF61" s="53">
        <v>0</v>
      </c>
      <c r="AG61" s="29" t="e">
        <f t="shared" si="49"/>
        <v>#DIV/0!</v>
      </c>
      <c r="AH61" s="54">
        <f>VLOOKUP(C61,'[2]5月汇总'!$C:$AE,24,0)</f>
        <v>25</v>
      </c>
      <c r="AI61" s="55">
        <f t="shared" ref="AI61:AI74" si="89">AH61+E61</f>
        <v>49</v>
      </c>
      <c r="AJ61" s="56">
        <f t="shared" si="80"/>
        <v>0.49</v>
      </c>
      <c r="AK61" s="57">
        <f>VLOOKUP(C61,[1]两年对比终版!$A:$W,3,0)</f>
        <v>40</v>
      </c>
      <c r="AL61" s="57">
        <f t="shared" si="0"/>
        <v>9</v>
      </c>
      <c r="AM61" s="29">
        <f t="shared" si="50"/>
        <v>0.22500000000000001</v>
      </c>
      <c r="AN61" s="54">
        <f>VLOOKUP(C61,'[2]5月汇总'!$C:$AE,25,0)</f>
        <v>325</v>
      </c>
      <c r="AO61" s="55">
        <f t="shared" si="81"/>
        <v>625.29700000000003</v>
      </c>
      <c r="AP61" s="56">
        <f t="shared" si="82"/>
        <v>0.44985395683453239</v>
      </c>
      <c r="AQ61" s="59">
        <f>VLOOKUP(C61,[1]两年对比终版!$A:$W,6,0)</f>
        <v>715.240905</v>
      </c>
      <c r="AR61" s="29">
        <f t="shared" si="51"/>
        <v>-0.1257533012600838</v>
      </c>
      <c r="AS61" s="54">
        <f>VLOOKUP(C61,'[2]5月汇总'!$C:$AE,26,0)</f>
        <v>8</v>
      </c>
      <c r="AT61" s="55">
        <f t="shared" si="83"/>
        <v>16</v>
      </c>
      <c r="AU61" s="56">
        <f t="shared" si="84"/>
        <v>0.45714285714285713</v>
      </c>
      <c r="AV61" s="60">
        <f>VLOOKUP(C61,[1]两年对比终版!$A:$N,14,0)</f>
        <v>1</v>
      </c>
      <c r="AW61" s="55">
        <f t="shared" si="11"/>
        <v>15</v>
      </c>
      <c r="AX61" s="45">
        <f t="shared" si="52"/>
        <v>15</v>
      </c>
      <c r="AY61" s="55">
        <f>VLOOKUP(C61,'[2]5月汇总'!$C:$AE,27,0)</f>
        <v>96</v>
      </c>
      <c r="AZ61" s="55">
        <f t="shared" si="85"/>
        <v>195.28480000000002</v>
      </c>
      <c r="BA61" s="62">
        <f t="shared" si="86"/>
        <v>0.47630439024390248</v>
      </c>
      <c r="BB61" s="55">
        <f>VLOOKUP(C61,[1]两年对比终版!$A:$W,17,0)</f>
        <v>9.1833600000000004</v>
      </c>
      <c r="BC61" s="61">
        <f t="shared" si="15"/>
        <v>186.10144000000003</v>
      </c>
      <c r="BD61" s="45">
        <f t="shared" si="53"/>
        <v>20.265070736636702</v>
      </c>
      <c r="BE61" s="55">
        <f>VLOOKUP(C61,'[2]5月汇总'!$C:$AE,28,0)</f>
        <v>10</v>
      </c>
      <c r="BF61" s="55">
        <f t="shared" si="87"/>
        <v>12</v>
      </c>
      <c r="BG61" s="62">
        <f t="shared" si="88"/>
        <v>0.34285714285714286</v>
      </c>
      <c r="BH61" s="55">
        <f>VLOOKUP(C61,[1]两年对比终版!$A:$T,20,0)</f>
        <v>1</v>
      </c>
      <c r="BI61" s="45">
        <f t="shared" si="54"/>
        <v>11</v>
      </c>
      <c r="BJ61" s="55">
        <f>VLOOKUP(C61,'[2]5月汇总'!$C:$AE,29,0)</f>
        <v>130</v>
      </c>
      <c r="BK61" s="55">
        <f t="shared" si="20"/>
        <v>156.8896</v>
      </c>
      <c r="BL61" s="62">
        <f t="shared" si="21"/>
        <v>0.38265756097560977</v>
      </c>
      <c r="BM61" s="55">
        <f>VLOOKUP(C61,[1]两年对比终版!$A:$W,23,0)</f>
        <v>16.065435999999998</v>
      </c>
      <c r="BN61" s="45">
        <f t="shared" si="79"/>
        <v>8.765660888381742</v>
      </c>
    </row>
    <row r="62" spans="1:66">
      <c r="A62" s="52">
        <v>52</v>
      </c>
      <c r="B62" s="52" t="s">
        <v>34</v>
      </c>
      <c r="C62" s="52" t="s">
        <v>85</v>
      </c>
      <c r="D62" s="53">
        <v>120</v>
      </c>
      <c r="E62" s="53">
        <v>38</v>
      </c>
      <c r="F62" s="44">
        <v>0.31666666666666698</v>
      </c>
      <c r="G62" s="53">
        <v>30</v>
      </c>
      <c r="H62" s="29">
        <v>0.21052631578947401</v>
      </c>
      <c r="I62" s="53">
        <v>1670</v>
      </c>
      <c r="J62" s="53">
        <v>529.26199999999994</v>
      </c>
      <c r="K62" s="44">
        <v>0.31692335329341298</v>
      </c>
      <c r="L62" s="53">
        <v>295.485749</v>
      </c>
      <c r="M62" s="29">
        <v>0.441702315677302</v>
      </c>
      <c r="N62" s="53">
        <v>40</v>
      </c>
      <c r="O62" s="53">
        <v>13</v>
      </c>
      <c r="P62" s="44">
        <v>0.32500000000000001</v>
      </c>
      <c r="Q62" s="53">
        <v>5</v>
      </c>
      <c r="R62" s="29">
        <v>0.61538461538461497</v>
      </c>
      <c r="S62" s="53">
        <v>480</v>
      </c>
      <c r="T62" s="53">
        <v>172.88</v>
      </c>
      <c r="U62" s="44">
        <v>0.36016666666666702</v>
      </c>
      <c r="V62" s="53">
        <v>50.763553999999999</v>
      </c>
      <c r="W62" s="29">
        <v>0.70636537482646899</v>
      </c>
      <c r="X62" s="53">
        <v>40</v>
      </c>
      <c r="Y62" s="53">
        <v>7</v>
      </c>
      <c r="Z62" s="44">
        <v>0.17499999999999999</v>
      </c>
      <c r="AA62" s="53">
        <v>2</v>
      </c>
      <c r="AB62" s="29">
        <v>0.71428571428571397</v>
      </c>
      <c r="AC62" s="53">
        <v>480</v>
      </c>
      <c r="AD62" s="53">
        <v>121.627</v>
      </c>
      <c r="AE62" s="44">
        <v>0.253389583333333</v>
      </c>
      <c r="AF62" s="53">
        <v>23.000250000000001</v>
      </c>
      <c r="AG62" s="29">
        <f t="shared" si="49"/>
        <v>4.2880729557287411</v>
      </c>
      <c r="AH62" s="54">
        <f>VLOOKUP(C62,'[2]5月汇总'!$C:$AE,24,0)</f>
        <v>18</v>
      </c>
      <c r="AI62" s="55">
        <f t="shared" si="89"/>
        <v>56</v>
      </c>
      <c r="AJ62" s="56">
        <f t="shared" si="80"/>
        <v>0.46666666666666667</v>
      </c>
      <c r="AK62" s="57">
        <f>VLOOKUP(C62,[1]两年对比终版!$A:$W,3,0)</f>
        <v>60</v>
      </c>
      <c r="AL62" s="57">
        <f t="shared" si="0"/>
        <v>-4</v>
      </c>
      <c r="AM62" s="29">
        <f t="shared" si="50"/>
        <v>-6.6666666666666666E-2</v>
      </c>
      <c r="AN62" s="54">
        <f>VLOOKUP(C62,'[2]5月汇总'!$C:$AE,25,0)</f>
        <v>252</v>
      </c>
      <c r="AO62" s="55">
        <f t="shared" si="81"/>
        <v>781.26199999999994</v>
      </c>
      <c r="AP62" s="56">
        <f t="shared" si="82"/>
        <v>0.46782155688622751</v>
      </c>
      <c r="AQ62" s="59">
        <f>VLOOKUP(C62,[1]两年对比终版!$A:$W,6,0)</f>
        <v>872.93738499999995</v>
      </c>
      <c r="AR62" s="29">
        <f t="shared" si="51"/>
        <v>-0.10501942816895167</v>
      </c>
      <c r="AS62" s="54">
        <f>VLOOKUP(C62,'[2]5月汇总'!$C:$AE,26,0)</f>
        <v>7</v>
      </c>
      <c r="AT62" s="55">
        <f t="shared" si="83"/>
        <v>20</v>
      </c>
      <c r="AU62" s="56">
        <f t="shared" si="84"/>
        <v>0.5</v>
      </c>
      <c r="AV62" s="60">
        <f>VLOOKUP(C62,[1]两年对比终版!$A:$N,14,0)</f>
        <v>5</v>
      </c>
      <c r="AW62" s="55">
        <f t="shared" si="11"/>
        <v>15</v>
      </c>
      <c r="AX62" s="45">
        <f t="shared" si="52"/>
        <v>3</v>
      </c>
      <c r="AY62" s="55">
        <f>VLOOKUP(C62,'[2]5月汇总'!$C:$AE,27,0)</f>
        <v>89.1</v>
      </c>
      <c r="AZ62" s="55">
        <f t="shared" si="85"/>
        <v>261.98</v>
      </c>
      <c r="BA62" s="62">
        <f t="shared" si="86"/>
        <v>0.54579166666666667</v>
      </c>
      <c r="BB62" s="55">
        <f>VLOOKUP(C62,[1]两年对比终版!$A:$W,17,0)</f>
        <v>50.763553999999999</v>
      </c>
      <c r="BC62" s="61">
        <f t="shared" si="15"/>
        <v>211.21644600000002</v>
      </c>
      <c r="BD62" s="45">
        <f t="shared" si="53"/>
        <v>4.1607891756357329</v>
      </c>
      <c r="BE62" s="55">
        <f>VLOOKUP(C62,'[2]5月汇总'!$C:$AE,28,0)</f>
        <v>8</v>
      </c>
      <c r="BF62" s="55">
        <f t="shared" si="87"/>
        <v>15</v>
      </c>
      <c r="BG62" s="62">
        <f t="shared" si="88"/>
        <v>0.375</v>
      </c>
      <c r="BH62" s="55">
        <f>VLOOKUP(C62,[1]两年对比终版!$A:$T,20,0)</f>
        <v>7</v>
      </c>
      <c r="BI62" s="45">
        <f t="shared" si="54"/>
        <v>1.1428571428571428</v>
      </c>
      <c r="BJ62" s="55">
        <f>VLOOKUP(C62,'[2]5月汇总'!$C:$AE,29,0)</f>
        <v>111.8</v>
      </c>
      <c r="BK62" s="55">
        <f t="shared" si="20"/>
        <v>233.42699999999999</v>
      </c>
      <c r="BL62" s="62">
        <f t="shared" si="21"/>
        <v>0.48630625</v>
      </c>
      <c r="BM62" s="55">
        <f>VLOOKUP(C62,[1]两年对比终版!$A:$W,23,0)</f>
        <v>73.763803999999993</v>
      </c>
      <c r="BN62" s="45">
        <f t="shared" si="79"/>
        <v>2.1645195521640943</v>
      </c>
    </row>
    <row r="63" spans="1:66">
      <c r="A63" s="52">
        <v>53</v>
      </c>
      <c r="B63" s="52" t="s">
        <v>25</v>
      </c>
      <c r="C63" s="52" t="s">
        <v>86</v>
      </c>
      <c r="D63" s="53">
        <v>520</v>
      </c>
      <c r="E63" s="53">
        <v>252</v>
      </c>
      <c r="F63" s="44">
        <v>0.484615384615385</v>
      </c>
      <c r="G63" s="53">
        <v>183</v>
      </c>
      <c r="H63" s="29">
        <v>0.273809523809524</v>
      </c>
      <c r="I63" s="53">
        <v>7248.8</v>
      </c>
      <c r="J63" s="53">
        <v>3096.69</v>
      </c>
      <c r="K63" s="44">
        <v>0.427200364198212</v>
      </c>
      <c r="L63" s="53">
        <v>2377.1822619999998</v>
      </c>
      <c r="M63" s="29">
        <v>0.23234735733961101</v>
      </c>
      <c r="N63" s="53">
        <v>200</v>
      </c>
      <c r="O63" s="53">
        <v>56</v>
      </c>
      <c r="P63" s="44">
        <v>0.28000000000000003</v>
      </c>
      <c r="Q63" s="53">
        <v>59</v>
      </c>
      <c r="R63" s="29">
        <v>-5.3571428571428603E-2</v>
      </c>
      <c r="S63" s="53">
        <v>2634</v>
      </c>
      <c r="T63" s="53">
        <v>538.03499999999997</v>
      </c>
      <c r="U63" s="44">
        <v>0.204265375854214</v>
      </c>
      <c r="V63" s="53">
        <v>644.39020900000003</v>
      </c>
      <c r="W63" s="29">
        <v>-0.19767340228795499</v>
      </c>
      <c r="X63" s="53">
        <v>200</v>
      </c>
      <c r="Y63" s="53">
        <v>28</v>
      </c>
      <c r="Z63" s="44">
        <v>0.14000000000000001</v>
      </c>
      <c r="AA63" s="53">
        <v>22</v>
      </c>
      <c r="AB63" s="29">
        <v>0.214285714285714</v>
      </c>
      <c r="AC63" s="53">
        <v>2634</v>
      </c>
      <c r="AD63" s="53">
        <v>260.363</v>
      </c>
      <c r="AE63" s="44">
        <v>9.8847000759301404E-2</v>
      </c>
      <c r="AF63" s="53">
        <v>262.06611299999997</v>
      </c>
      <c r="AG63" s="29">
        <f t="shared" si="49"/>
        <v>-6.4987913946736552E-3</v>
      </c>
      <c r="AH63" s="54">
        <f>VLOOKUP(C63,'[2]5月汇总'!$C:$AE,24,0)</f>
        <v>100</v>
      </c>
      <c r="AI63" s="55">
        <f t="shared" si="89"/>
        <v>352</v>
      </c>
      <c r="AJ63" s="56">
        <f t="shared" si="80"/>
        <v>0.67692307692307696</v>
      </c>
      <c r="AK63" s="57">
        <f>VLOOKUP(C63,[1]两年对比终版!$A:$W,3,0)</f>
        <v>271</v>
      </c>
      <c r="AL63" s="57">
        <f t="shared" si="0"/>
        <v>81</v>
      </c>
      <c r="AM63" s="29">
        <f t="shared" si="50"/>
        <v>0.2988929889298893</v>
      </c>
      <c r="AN63" s="54">
        <f>VLOOKUP(C63,'[2]5月汇总'!$C:$AE,25,0)</f>
        <v>770</v>
      </c>
      <c r="AO63" s="55">
        <f t="shared" si="81"/>
        <v>3866.69</v>
      </c>
      <c r="AP63" s="56">
        <f t="shared" si="82"/>
        <v>0.53342484273259017</v>
      </c>
      <c r="AQ63" s="59">
        <f>VLOOKUP(C63,[1]两年对比终版!$A:$W,6,0)</f>
        <v>3201.1956659999901</v>
      </c>
      <c r="AR63" s="29">
        <f t="shared" si="51"/>
        <v>0.20788930244666026</v>
      </c>
      <c r="AS63" s="54">
        <f>VLOOKUP(C63,'[2]5月汇总'!$C:$AE,26,0)</f>
        <v>100</v>
      </c>
      <c r="AT63" s="55">
        <f t="shared" si="83"/>
        <v>156</v>
      </c>
      <c r="AU63" s="56">
        <f t="shared" si="84"/>
        <v>0.78</v>
      </c>
      <c r="AV63" s="60">
        <f>VLOOKUP(C63,[1]两年对比终版!$A:$N,14,0)</f>
        <v>85</v>
      </c>
      <c r="AW63" s="55">
        <f t="shared" si="11"/>
        <v>71</v>
      </c>
      <c r="AX63" s="45">
        <f t="shared" si="52"/>
        <v>0.83529411764705885</v>
      </c>
      <c r="AY63" s="55">
        <f>VLOOKUP(C63,'[2]5月汇总'!$C:$AE,27,0)</f>
        <v>770</v>
      </c>
      <c r="AZ63" s="55">
        <f t="shared" si="85"/>
        <v>1308.0349999999999</v>
      </c>
      <c r="BA63" s="62">
        <f t="shared" si="86"/>
        <v>0.4965964312832194</v>
      </c>
      <c r="BB63" s="55">
        <f>VLOOKUP(C63,[1]两年对比终版!$A:$W,17,0)</f>
        <v>925.64737300000002</v>
      </c>
      <c r="BC63" s="61">
        <f t="shared" si="15"/>
        <v>382.38762699999984</v>
      </c>
      <c r="BD63" s="45">
        <f t="shared" si="53"/>
        <v>0.41310291386739539</v>
      </c>
      <c r="BE63" s="55">
        <f>VLOOKUP(C63,'[2]5月汇总'!$C:$AE,28,0)</f>
        <v>47</v>
      </c>
      <c r="BF63" s="55">
        <f t="shared" si="87"/>
        <v>75</v>
      </c>
      <c r="BG63" s="62">
        <f t="shared" si="88"/>
        <v>0.375</v>
      </c>
      <c r="BH63" s="55">
        <f>VLOOKUP(C63,[1]两年对比终版!$A:$T,20,0)</f>
        <v>75</v>
      </c>
      <c r="BI63" s="45">
        <f t="shared" si="54"/>
        <v>0</v>
      </c>
      <c r="BJ63" s="55">
        <f>VLOOKUP(C63,'[2]5月汇总'!$C:$AE,29,0)</f>
        <v>490.56</v>
      </c>
      <c r="BK63" s="55">
        <f t="shared" si="20"/>
        <v>750.923</v>
      </c>
      <c r="BL63" s="62">
        <f t="shared" si="21"/>
        <v>0.28508845861807136</v>
      </c>
      <c r="BM63" s="55">
        <f>VLOOKUP(C63,[1]两年对比终版!$A:$W,23,0)</f>
        <v>819.69526499999995</v>
      </c>
      <c r="BN63" s="45">
        <f t="shared" si="79"/>
        <v>-8.389979537090525E-2</v>
      </c>
    </row>
    <row r="64" spans="1:66">
      <c r="A64" s="52">
        <v>54</v>
      </c>
      <c r="B64" s="52" t="s">
        <v>34</v>
      </c>
      <c r="C64" s="52" t="s">
        <v>87</v>
      </c>
      <c r="D64" s="53">
        <v>72</v>
      </c>
      <c r="E64" s="53">
        <v>12</v>
      </c>
      <c r="F64" s="44">
        <v>0.16666666666666699</v>
      </c>
      <c r="G64" s="53">
        <v>0</v>
      </c>
      <c r="H64" s="29">
        <v>1</v>
      </c>
      <c r="I64" s="53">
        <v>1000</v>
      </c>
      <c r="J64" s="53">
        <v>101.98</v>
      </c>
      <c r="K64" s="44">
        <v>0.10198</v>
      </c>
      <c r="L64" s="53">
        <v>0</v>
      </c>
      <c r="M64" s="29">
        <v>1</v>
      </c>
      <c r="N64" s="53">
        <v>40</v>
      </c>
      <c r="O64" s="53">
        <v>0</v>
      </c>
      <c r="P64" s="44">
        <v>0</v>
      </c>
      <c r="Q64" s="53">
        <v>0</v>
      </c>
      <c r="R64" s="29" t="e">
        <v>#DIV/0!</v>
      </c>
      <c r="S64" s="53">
        <v>400</v>
      </c>
      <c r="T64" s="53">
        <v>0</v>
      </c>
      <c r="U64" s="44">
        <v>0</v>
      </c>
      <c r="V64" s="53">
        <v>0</v>
      </c>
      <c r="W64" s="29" t="e">
        <v>#DIV/0!</v>
      </c>
      <c r="X64" s="53">
        <v>40</v>
      </c>
      <c r="Y64" s="53">
        <v>0</v>
      </c>
      <c r="Z64" s="44">
        <v>0</v>
      </c>
      <c r="AA64" s="53">
        <v>0</v>
      </c>
      <c r="AB64" s="29" t="e">
        <v>#DIV/0!</v>
      </c>
      <c r="AC64" s="53">
        <v>400</v>
      </c>
      <c r="AD64" s="53">
        <v>0</v>
      </c>
      <c r="AE64" s="44">
        <v>0</v>
      </c>
      <c r="AF64" s="53">
        <v>0</v>
      </c>
      <c r="AG64" s="29" t="e">
        <f t="shared" si="49"/>
        <v>#DIV/0!</v>
      </c>
      <c r="AH64" s="54">
        <f>VLOOKUP(C64,'[2]5月汇总'!$C:$AE,24,0)</f>
        <v>0</v>
      </c>
      <c r="AI64" s="55">
        <f t="shared" si="89"/>
        <v>12</v>
      </c>
      <c r="AJ64" s="56">
        <f t="shared" si="80"/>
        <v>0.16666666666666666</v>
      </c>
      <c r="AK64" s="57">
        <f>VLOOKUP(C64,[1]两年对比终版!$A:$W,3,0)</f>
        <v>0</v>
      </c>
      <c r="AL64" s="57">
        <f t="shared" si="0"/>
        <v>12</v>
      </c>
      <c r="AM64" s="29" t="e">
        <f t="shared" si="50"/>
        <v>#DIV/0!</v>
      </c>
      <c r="AN64" s="54">
        <f>VLOOKUP(C64,'[2]5月汇总'!$C:$AE,25,0)</f>
        <v>0</v>
      </c>
      <c r="AO64" s="55">
        <f t="shared" si="81"/>
        <v>101.98</v>
      </c>
      <c r="AP64" s="56">
        <f t="shared" si="82"/>
        <v>0.10198</v>
      </c>
      <c r="AQ64" s="59">
        <f>VLOOKUP(C64,[1]两年对比终版!$A:$W,6,0)</f>
        <v>0</v>
      </c>
      <c r="AR64" s="29"/>
      <c r="AS64" s="54">
        <f>VLOOKUP(C64,'[2]5月汇总'!$C:$AE,26,0)</f>
        <v>0</v>
      </c>
      <c r="AT64" s="55">
        <f t="shared" si="83"/>
        <v>0</v>
      </c>
      <c r="AU64" s="56">
        <f t="shared" si="84"/>
        <v>0</v>
      </c>
      <c r="AV64" s="60">
        <f>VLOOKUP(C64,[1]两年对比终版!$A:$N,14,0)</f>
        <v>0</v>
      </c>
      <c r="AW64" s="55">
        <f t="shared" si="11"/>
        <v>0</v>
      </c>
      <c r="AX64" s="45"/>
      <c r="AY64" s="55">
        <f>VLOOKUP(C64,'[2]5月汇总'!$C:$AE,27,0)</f>
        <v>0</v>
      </c>
      <c r="AZ64" s="55">
        <f t="shared" si="85"/>
        <v>0</v>
      </c>
      <c r="BA64" s="62">
        <f t="shared" si="86"/>
        <v>0</v>
      </c>
      <c r="BB64" s="55">
        <f>VLOOKUP(C64,[1]两年对比终版!$A:$W,17,0)</f>
        <v>0</v>
      </c>
      <c r="BC64" s="61">
        <f t="shared" si="15"/>
        <v>0</v>
      </c>
      <c r="BD64" s="45"/>
      <c r="BE64" s="55">
        <f>VLOOKUP(C64,'[2]5月汇总'!$C:$AE,28,0)</f>
        <v>0</v>
      </c>
      <c r="BF64" s="55">
        <f t="shared" si="87"/>
        <v>0</v>
      </c>
      <c r="BG64" s="62">
        <f t="shared" si="88"/>
        <v>0</v>
      </c>
      <c r="BH64" s="55">
        <f>VLOOKUP(C64,[1]两年对比终版!$A:$T,20,0)</f>
        <v>0</v>
      </c>
      <c r="BI64" s="45"/>
      <c r="BJ64" s="55">
        <f>VLOOKUP(C64,'[2]5月汇总'!$C:$AE,29,0)</f>
        <v>0</v>
      </c>
      <c r="BK64" s="55">
        <f t="shared" si="20"/>
        <v>0</v>
      </c>
      <c r="BL64" s="62">
        <f t="shared" si="21"/>
        <v>0</v>
      </c>
      <c r="BM64" s="55">
        <f>VLOOKUP(C64,[1]两年对比终版!$A:$W,23,0)</f>
        <v>0</v>
      </c>
      <c r="BN64" s="45"/>
    </row>
    <row r="65" spans="1:68">
      <c r="A65" s="52">
        <v>55</v>
      </c>
      <c r="B65" s="52" t="s">
        <v>25</v>
      </c>
      <c r="C65" s="52" t="s">
        <v>88</v>
      </c>
      <c r="D65" s="53">
        <v>800</v>
      </c>
      <c r="E65" s="53">
        <v>151</v>
      </c>
      <c r="F65" s="44">
        <v>0.18875</v>
      </c>
      <c r="G65" s="53">
        <v>150</v>
      </c>
      <c r="H65" s="29">
        <v>6.6225165562913899E-3</v>
      </c>
      <c r="I65" s="53">
        <v>11151</v>
      </c>
      <c r="J65" s="53">
        <v>2986.25</v>
      </c>
      <c r="K65" s="44">
        <v>0.26780109407227998</v>
      </c>
      <c r="L65" s="53">
        <v>1678.329823</v>
      </c>
      <c r="M65" s="29">
        <v>0.43798080435328601</v>
      </c>
      <c r="N65" s="53">
        <v>360</v>
      </c>
      <c r="O65" s="53">
        <v>57</v>
      </c>
      <c r="P65" s="44">
        <v>0.15833333333333299</v>
      </c>
      <c r="Q65" s="53">
        <v>63</v>
      </c>
      <c r="R65" s="29">
        <v>-0.105263157894737</v>
      </c>
      <c r="S65" s="53">
        <v>4350</v>
      </c>
      <c r="T65" s="53">
        <v>526.91300000000001</v>
      </c>
      <c r="U65" s="44">
        <v>0.121129425287356</v>
      </c>
      <c r="V65" s="53">
        <v>708.74234200000001</v>
      </c>
      <c r="W65" s="29">
        <v>-0.34508418277780201</v>
      </c>
      <c r="X65" s="53">
        <v>360</v>
      </c>
      <c r="Y65" s="53">
        <v>70</v>
      </c>
      <c r="Z65" s="44">
        <v>0.194444444444444</v>
      </c>
      <c r="AA65" s="53">
        <v>84</v>
      </c>
      <c r="AB65" s="29">
        <v>-0.2</v>
      </c>
      <c r="AC65" s="53">
        <v>4350</v>
      </c>
      <c r="AD65" s="53">
        <v>863.28899999999999</v>
      </c>
      <c r="AE65" s="44">
        <v>0.19845724137931001</v>
      </c>
      <c r="AF65" s="53">
        <v>895.08405600000003</v>
      </c>
      <c r="AG65" s="29">
        <f t="shared" si="49"/>
        <v>-3.5521866116225452E-2</v>
      </c>
      <c r="AH65" s="54">
        <f>VLOOKUP(C65,'[2]5月汇总'!$C:$AE,24,0)</f>
        <v>210</v>
      </c>
      <c r="AI65" s="55">
        <f t="shared" si="89"/>
        <v>361</v>
      </c>
      <c r="AJ65" s="56">
        <f t="shared" si="80"/>
        <v>0.45124999999999998</v>
      </c>
      <c r="AK65" s="57">
        <f>VLOOKUP(C65,[1]两年对比终版!$A:$W,3,0)</f>
        <v>326</v>
      </c>
      <c r="AL65" s="57">
        <f t="shared" si="0"/>
        <v>35</v>
      </c>
      <c r="AM65" s="29">
        <f t="shared" si="50"/>
        <v>0.10736196319018405</v>
      </c>
      <c r="AN65" s="54">
        <f>VLOOKUP(C65,'[2]5月汇总'!$C:$AE,25,0)</f>
        <v>3200</v>
      </c>
      <c r="AO65" s="55">
        <f t="shared" si="81"/>
        <v>6186.25</v>
      </c>
      <c r="AP65" s="56">
        <f t="shared" si="82"/>
        <v>0.5547708725674827</v>
      </c>
      <c r="AQ65" s="59">
        <f>VLOOKUP(C65,[1]两年对比终版!$A:$W,6,0)</f>
        <v>3941.709069</v>
      </c>
      <c r="AR65" s="29">
        <f t="shared" si="51"/>
        <v>0.56943343400263513</v>
      </c>
      <c r="AS65" s="54">
        <f>VLOOKUP(C65,'[2]5月汇总'!$C:$AE,26,0)</f>
        <v>85</v>
      </c>
      <c r="AT65" s="55">
        <f t="shared" si="83"/>
        <v>142</v>
      </c>
      <c r="AU65" s="56">
        <f t="shared" si="84"/>
        <v>0.39444444444444443</v>
      </c>
      <c r="AV65" s="60">
        <f>VLOOKUP(C65,[1]两年对比终版!$A:$N,14,0)</f>
        <v>135</v>
      </c>
      <c r="AW65" s="55">
        <f t="shared" si="11"/>
        <v>7</v>
      </c>
      <c r="AX65" s="45">
        <f t="shared" si="52"/>
        <v>5.185185185185185E-2</v>
      </c>
      <c r="AY65" s="55">
        <f>VLOOKUP(C65,'[2]5月汇总'!$C:$AE,27,0)</f>
        <v>950</v>
      </c>
      <c r="AZ65" s="55">
        <f t="shared" si="85"/>
        <v>1476.913</v>
      </c>
      <c r="BA65" s="62">
        <f t="shared" si="86"/>
        <v>0.33952022988505748</v>
      </c>
      <c r="BB65" s="55">
        <f>VLOOKUP(C65,[1]两年对比终版!$A:$W,17,0)</f>
        <v>1488.884333</v>
      </c>
      <c r="BC65" s="61">
        <f t="shared" si="15"/>
        <v>-11.971332999999959</v>
      </c>
      <c r="BD65" s="45">
        <f t="shared" si="53"/>
        <v>-8.0404721405581206E-3</v>
      </c>
      <c r="BE65" s="55">
        <f>VLOOKUP(C65,'[2]5月汇总'!$C:$AE,28,0)</f>
        <v>60</v>
      </c>
      <c r="BF65" s="55">
        <f t="shared" si="87"/>
        <v>130</v>
      </c>
      <c r="BG65" s="62">
        <f t="shared" si="88"/>
        <v>0.3611111111111111</v>
      </c>
      <c r="BH65" s="55">
        <f>VLOOKUP(C65,[1]两年对比终版!$A:$T,20,0)</f>
        <v>110</v>
      </c>
      <c r="BI65" s="45">
        <f t="shared" si="54"/>
        <v>0.18181818181818182</v>
      </c>
      <c r="BJ65" s="55">
        <f>VLOOKUP(C65,'[2]5月汇总'!$C:$AE,29,0)</f>
        <v>666</v>
      </c>
      <c r="BK65" s="55">
        <f t="shared" si="20"/>
        <v>1529.289</v>
      </c>
      <c r="BL65" s="62">
        <f t="shared" si="21"/>
        <v>0.3515606896551724</v>
      </c>
      <c r="BM65" s="55">
        <f>VLOOKUP(C65,[1]两年对比终版!$A:$W,23,0)</f>
        <v>1188.587968</v>
      </c>
      <c r="BN65" s="45">
        <f>(BK65-BM65)/BM65</f>
        <v>0.28664351412986872</v>
      </c>
    </row>
    <row r="66" spans="1:68">
      <c r="A66" s="52">
        <v>56</v>
      </c>
      <c r="B66" s="52" t="s">
        <v>39</v>
      </c>
      <c r="C66" s="52" t="s">
        <v>89</v>
      </c>
      <c r="D66" s="53">
        <v>50</v>
      </c>
      <c r="E66" s="53">
        <v>0</v>
      </c>
      <c r="F66" s="44">
        <v>0</v>
      </c>
      <c r="G66" s="53">
        <v>0</v>
      </c>
      <c r="H66" s="29" t="e">
        <v>#DIV/0!</v>
      </c>
      <c r="I66" s="53">
        <v>700</v>
      </c>
      <c r="J66" s="53">
        <v>0</v>
      </c>
      <c r="K66" s="44">
        <v>0</v>
      </c>
      <c r="L66" s="53">
        <v>0</v>
      </c>
      <c r="M66" s="29" t="e">
        <v>#DIV/0!</v>
      </c>
      <c r="N66" s="53">
        <v>30</v>
      </c>
      <c r="O66" s="53">
        <v>0</v>
      </c>
      <c r="P66" s="44">
        <v>0</v>
      </c>
      <c r="Q66" s="53">
        <v>0</v>
      </c>
      <c r="R66" s="29" t="e">
        <v>#DIV/0!</v>
      </c>
      <c r="S66" s="53">
        <v>300</v>
      </c>
      <c r="T66" s="53">
        <v>0</v>
      </c>
      <c r="U66" s="44">
        <v>0</v>
      </c>
      <c r="V66" s="53">
        <v>0</v>
      </c>
      <c r="W66" s="29" t="e">
        <v>#DIV/0!</v>
      </c>
      <c r="X66" s="53">
        <v>30</v>
      </c>
      <c r="Y66" s="53">
        <v>0</v>
      </c>
      <c r="Z66" s="44">
        <v>0</v>
      </c>
      <c r="AA66" s="53">
        <v>0</v>
      </c>
      <c r="AB66" s="29" t="e">
        <v>#DIV/0!</v>
      </c>
      <c r="AC66" s="53">
        <v>300</v>
      </c>
      <c r="AD66" s="53">
        <v>0</v>
      </c>
      <c r="AE66" s="44">
        <v>0</v>
      </c>
      <c r="AF66" s="53">
        <v>0</v>
      </c>
      <c r="AG66" s="29" t="e">
        <f t="shared" si="49"/>
        <v>#DIV/0!</v>
      </c>
      <c r="AH66" s="54">
        <f>VLOOKUP(C66,'[2]5月汇总'!$C:$AE,24,0)</f>
        <v>7</v>
      </c>
      <c r="AI66" s="55">
        <f t="shared" si="89"/>
        <v>7</v>
      </c>
      <c r="AJ66" s="56">
        <f t="shared" si="80"/>
        <v>0.14000000000000001</v>
      </c>
      <c r="AK66" s="57">
        <f>VLOOKUP(C66,[1]两年对比终版!$A:$W,3,0)</f>
        <v>0</v>
      </c>
      <c r="AL66" s="57">
        <f t="shared" si="0"/>
        <v>7</v>
      </c>
      <c r="AM66" s="29" t="e">
        <f t="shared" si="50"/>
        <v>#DIV/0!</v>
      </c>
      <c r="AN66" s="54">
        <f>VLOOKUP(C66,'[2]5月汇总'!$C:$AE,25,0)</f>
        <v>67</v>
      </c>
      <c r="AO66" s="55">
        <f t="shared" si="81"/>
        <v>67</v>
      </c>
      <c r="AP66" s="56">
        <f t="shared" si="82"/>
        <v>9.571428571428571E-2</v>
      </c>
      <c r="AQ66" s="59">
        <f>VLOOKUP(C66,[1]两年对比终版!$A:$W,6,0)</f>
        <v>0</v>
      </c>
      <c r="AR66" s="29"/>
      <c r="AS66" s="54">
        <f>VLOOKUP(C66,'[2]5月汇总'!$C:$AE,26,0)</f>
        <v>4</v>
      </c>
      <c r="AT66" s="55">
        <f t="shared" si="83"/>
        <v>4</v>
      </c>
      <c r="AU66" s="56">
        <f t="shared" si="84"/>
        <v>0.13333333333333333</v>
      </c>
      <c r="AV66" s="60">
        <f>VLOOKUP(C66,[1]两年对比终版!$A:$N,14,0)</f>
        <v>0</v>
      </c>
      <c r="AW66" s="55">
        <f t="shared" si="11"/>
        <v>4</v>
      </c>
      <c r="AX66" s="45"/>
      <c r="AY66" s="55">
        <f>VLOOKUP(C66,'[2]5月汇总'!$C:$AE,27,0)</f>
        <v>29</v>
      </c>
      <c r="AZ66" s="55">
        <f t="shared" si="85"/>
        <v>29</v>
      </c>
      <c r="BA66" s="55">
        <f t="shared" si="86"/>
        <v>9.6666666666666665E-2</v>
      </c>
      <c r="BB66" s="53">
        <f>VLOOKUP(C66,[1]两年对比终版!$A:$W,17,0)</f>
        <v>0</v>
      </c>
      <c r="BC66" s="61">
        <f t="shared" si="15"/>
        <v>29</v>
      </c>
      <c r="BD66" s="45"/>
      <c r="BE66" s="55">
        <f>VLOOKUP(C66,'[2]5月汇总'!$C:$AE,28,0)</f>
        <v>0</v>
      </c>
      <c r="BF66" s="55">
        <f t="shared" si="87"/>
        <v>0</v>
      </c>
      <c r="BG66" s="55">
        <f t="shared" si="88"/>
        <v>0</v>
      </c>
      <c r="BH66" s="53">
        <f>VLOOKUP(C66,[1]两年对比终版!$A:$T,20,0)</f>
        <v>0</v>
      </c>
      <c r="BI66" s="45"/>
      <c r="BJ66" s="55">
        <f>VLOOKUP(C66,'[2]5月汇总'!$C:$AE,29,0)</f>
        <v>0</v>
      </c>
      <c r="BK66" s="55">
        <f t="shared" si="20"/>
        <v>0</v>
      </c>
      <c r="BL66" s="55">
        <f t="shared" si="21"/>
        <v>0</v>
      </c>
      <c r="BM66" s="53">
        <f>VLOOKUP(C66,[1]两年对比终版!$A:$W,23,0)</f>
        <v>0</v>
      </c>
      <c r="BN66" s="45"/>
    </row>
    <row r="67" spans="1:68">
      <c r="A67" s="52">
        <v>57</v>
      </c>
      <c r="B67" s="52" t="s">
        <v>39</v>
      </c>
      <c r="C67" s="52" t="s">
        <v>90</v>
      </c>
      <c r="D67" s="53">
        <v>60</v>
      </c>
      <c r="E67" s="53">
        <v>0</v>
      </c>
      <c r="F67" s="44">
        <v>0</v>
      </c>
      <c r="G67" s="53">
        <v>0</v>
      </c>
      <c r="H67" s="29" t="e">
        <v>#DIV/0!</v>
      </c>
      <c r="I67" s="53">
        <v>840</v>
      </c>
      <c r="J67" s="53">
        <v>0</v>
      </c>
      <c r="K67" s="44">
        <v>0</v>
      </c>
      <c r="L67" s="53">
        <v>0</v>
      </c>
      <c r="M67" s="29" t="e">
        <v>#DIV/0!</v>
      </c>
      <c r="N67" s="53">
        <v>20</v>
      </c>
      <c r="O67" s="53">
        <v>0</v>
      </c>
      <c r="P67" s="44">
        <v>0</v>
      </c>
      <c r="Q67" s="53">
        <v>0</v>
      </c>
      <c r="R67" s="29" t="e">
        <v>#DIV/0!</v>
      </c>
      <c r="S67" s="53">
        <v>200</v>
      </c>
      <c r="T67" s="53">
        <v>0</v>
      </c>
      <c r="U67" s="44">
        <v>0</v>
      </c>
      <c r="V67" s="53">
        <v>0</v>
      </c>
      <c r="W67" s="29" t="e">
        <v>#DIV/0!</v>
      </c>
      <c r="X67" s="53">
        <v>20</v>
      </c>
      <c r="Y67" s="53">
        <v>0</v>
      </c>
      <c r="Z67" s="44">
        <v>0</v>
      </c>
      <c r="AA67" s="53">
        <v>0</v>
      </c>
      <c r="AB67" s="29" t="e">
        <v>#DIV/0!</v>
      </c>
      <c r="AC67" s="53">
        <v>200</v>
      </c>
      <c r="AD67" s="53">
        <v>0</v>
      </c>
      <c r="AE67" s="44">
        <v>0</v>
      </c>
      <c r="AF67" s="53">
        <v>0</v>
      </c>
      <c r="AG67" s="29" t="e">
        <f t="shared" si="49"/>
        <v>#DIV/0!</v>
      </c>
      <c r="AH67" s="54">
        <f>VLOOKUP(C67,'[2]5月汇总'!$C:$AE,24,0)</f>
        <v>0</v>
      </c>
      <c r="AI67" s="55">
        <f t="shared" si="89"/>
        <v>0</v>
      </c>
      <c r="AJ67" s="56">
        <f t="shared" si="80"/>
        <v>0</v>
      </c>
      <c r="AK67" s="57">
        <f>VLOOKUP(C67,[1]两年对比终版!$A:$W,3,0)</f>
        <v>0</v>
      </c>
      <c r="AL67" s="57">
        <f t="shared" si="0"/>
        <v>0</v>
      </c>
      <c r="AM67" s="29" t="e">
        <f t="shared" si="50"/>
        <v>#DIV/0!</v>
      </c>
      <c r="AN67" s="54">
        <f>VLOOKUP(C67,'[2]5月汇总'!$C:$AE,25,0)</f>
        <v>0</v>
      </c>
      <c r="AO67" s="55">
        <f t="shared" si="81"/>
        <v>0</v>
      </c>
      <c r="AP67" s="56">
        <f t="shared" si="82"/>
        <v>0</v>
      </c>
      <c r="AQ67" s="59">
        <f>VLOOKUP(C67,[1]两年对比终版!$A:$W,6,0)</f>
        <v>0</v>
      </c>
      <c r="AR67" s="29"/>
      <c r="AS67" s="54">
        <f>VLOOKUP(C67,'[2]5月汇总'!$C:$AE,26,0)</f>
        <v>0</v>
      </c>
      <c r="AT67" s="55">
        <f t="shared" si="83"/>
        <v>0</v>
      </c>
      <c r="AU67" s="56">
        <f t="shared" si="84"/>
        <v>0</v>
      </c>
      <c r="AV67" s="60">
        <f>VLOOKUP(C67,[1]两年对比终版!$A:$N,14,0)</f>
        <v>0</v>
      </c>
      <c r="AW67" s="55">
        <f t="shared" si="11"/>
        <v>0</v>
      </c>
      <c r="AX67" s="45"/>
      <c r="AY67" s="55">
        <f>VLOOKUP(C67,'[2]5月汇总'!$C:$AE,27,0)</f>
        <v>0</v>
      </c>
      <c r="AZ67" s="55">
        <f t="shared" si="85"/>
        <v>0</v>
      </c>
      <c r="BA67" s="62">
        <f t="shared" si="86"/>
        <v>0</v>
      </c>
      <c r="BB67" s="53">
        <f>VLOOKUP(C67,[1]两年对比终版!$A:$W,17,0)</f>
        <v>0</v>
      </c>
      <c r="BC67" s="61">
        <f t="shared" si="15"/>
        <v>0</v>
      </c>
      <c r="BD67" s="45"/>
      <c r="BE67" s="55">
        <f>VLOOKUP(C67,'[2]5月汇总'!$C:$AE,28,0)</f>
        <v>0</v>
      </c>
      <c r="BF67" s="55">
        <f t="shared" si="87"/>
        <v>0</v>
      </c>
      <c r="BG67" s="62">
        <f t="shared" si="88"/>
        <v>0</v>
      </c>
      <c r="BH67" s="53">
        <f>VLOOKUP(C67,[1]两年对比终版!$A:$T,20,0)</f>
        <v>0</v>
      </c>
      <c r="BI67" s="45"/>
      <c r="BJ67" s="55">
        <f>VLOOKUP(C67,'[2]5月汇总'!$C:$AE,29,0)</f>
        <v>0</v>
      </c>
      <c r="BK67" s="55">
        <f t="shared" si="20"/>
        <v>0</v>
      </c>
      <c r="BL67" s="62">
        <f t="shared" si="21"/>
        <v>0</v>
      </c>
      <c r="BM67" s="53">
        <f>VLOOKUP(C67,[1]两年对比终版!$A:$W,23,0)</f>
        <v>0</v>
      </c>
      <c r="BN67" s="45"/>
    </row>
    <row r="68" spans="1:68" s="77" customFormat="1">
      <c r="A68" s="78" t="s">
        <v>91</v>
      </c>
      <c r="B68" s="79"/>
      <c r="C68" s="79"/>
      <c r="D68" s="68">
        <v>2622</v>
      </c>
      <c r="E68" s="68">
        <v>746</v>
      </c>
      <c r="F68" s="69">
        <v>0.284515636918383</v>
      </c>
      <c r="G68" s="68">
        <v>635</v>
      </c>
      <c r="H68" s="70">
        <v>0.14879356568364599</v>
      </c>
      <c r="I68" s="68">
        <v>36539.800000000003</v>
      </c>
      <c r="J68" s="68">
        <v>12150.109</v>
      </c>
      <c r="K68" s="69">
        <v>0.33251711832029701</v>
      </c>
      <c r="L68" s="68">
        <v>8707.1564159999998</v>
      </c>
      <c r="M68" s="70">
        <v>0.28336804089576501</v>
      </c>
      <c r="N68" s="68">
        <v>1145</v>
      </c>
      <c r="O68" s="68">
        <v>293</v>
      </c>
      <c r="P68" s="69">
        <v>0.25589519650655002</v>
      </c>
      <c r="Q68" s="68">
        <v>225</v>
      </c>
      <c r="R68" s="70">
        <v>0.23208191126279901</v>
      </c>
      <c r="S68" s="68">
        <v>14874</v>
      </c>
      <c r="T68" s="68">
        <v>3615.4027999999998</v>
      </c>
      <c r="U68" s="69">
        <v>0.24306862982385399</v>
      </c>
      <c r="V68" s="68">
        <v>2748.3080530000002</v>
      </c>
      <c r="W68" s="70">
        <v>0.23983351094378699</v>
      </c>
      <c r="X68" s="68">
        <v>1145</v>
      </c>
      <c r="Y68" s="68">
        <v>246</v>
      </c>
      <c r="Z68" s="69">
        <v>0.214847161572052</v>
      </c>
      <c r="AA68" s="68">
        <v>193</v>
      </c>
      <c r="AB68" s="70">
        <v>0.215447154471545</v>
      </c>
      <c r="AC68" s="68">
        <v>14874</v>
      </c>
      <c r="AD68" s="68">
        <v>3187.5326</v>
      </c>
      <c r="AE68" s="69">
        <v>0.214302312760522</v>
      </c>
      <c r="AF68" s="68">
        <v>2346.107454</v>
      </c>
      <c r="AG68" s="70">
        <f t="shared" si="49"/>
        <v>0.35864731795016924</v>
      </c>
      <c r="AH68" s="68">
        <f>SUM(AH59:AH67)</f>
        <v>432</v>
      </c>
      <c r="AI68" s="71">
        <f t="shared" si="89"/>
        <v>1178</v>
      </c>
      <c r="AJ68" s="41">
        <f t="shared" si="80"/>
        <v>0.44927536231884058</v>
      </c>
      <c r="AK68" s="68">
        <f>SUM(AK59:AK67)</f>
        <v>1112</v>
      </c>
      <c r="AL68" s="73">
        <f t="shared" si="0"/>
        <v>66</v>
      </c>
      <c r="AM68" s="70">
        <f t="shared" si="50"/>
        <v>5.935251798561151E-2</v>
      </c>
      <c r="AN68" s="68">
        <f>SUM(AN59:AN67)</f>
        <v>6058</v>
      </c>
      <c r="AO68" s="71">
        <f t="shared" si="81"/>
        <v>18208.109</v>
      </c>
      <c r="AP68" s="41">
        <f t="shared" si="82"/>
        <v>0.49830893984094055</v>
      </c>
      <c r="AQ68" s="68">
        <f>SUM(AQ59:AQ67)</f>
        <v>15926.999022999991</v>
      </c>
      <c r="AR68" s="70">
        <f t="shared" si="51"/>
        <v>0.1432228364995744</v>
      </c>
      <c r="AS68" s="68">
        <f>SUM(AS59:AS67)</f>
        <v>258</v>
      </c>
      <c r="AT68" s="71">
        <f t="shared" si="83"/>
        <v>551</v>
      </c>
      <c r="AU68" s="41">
        <f t="shared" si="84"/>
        <v>0.48122270742358081</v>
      </c>
      <c r="AV68" s="68">
        <f t="shared" ref="AV68:BB68" si="90">SUM(AV59:AV67)</f>
        <v>377</v>
      </c>
      <c r="AW68" s="71">
        <f t="shared" si="11"/>
        <v>174</v>
      </c>
      <c r="AX68" s="74">
        <f t="shared" si="52"/>
        <v>0.46153846153846156</v>
      </c>
      <c r="AY68" s="71">
        <f t="shared" si="90"/>
        <v>2712.42</v>
      </c>
      <c r="AZ68" s="71">
        <f t="shared" si="85"/>
        <v>6327.8227999999999</v>
      </c>
      <c r="BA68" s="75">
        <f t="shared" si="86"/>
        <v>0.42542845233292992</v>
      </c>
      <c r="BB68" s="68">
        <f t="shared" si="90"/>
        <v>4885.2560970000004</v>
      </c>
      <c r="BC68" s="76">
        <f t="shared" si="15"/>
        <v>1442.5667029999995</v>
      </c>
      <c r="BD68" s="74">
        <f t="shared" si="53"/>
        <v>0.29528988334631401</v>
      </c>
      <c r="BE68" s="71">
        <f>SUM(BE59:BE67)</f>
        <v>178</v>
      </c>
      <c r="BF68" s="71">
        <f t="shared" si="87"/>
        <v>424</v>
      </c>
      <c r="BG68" s="75">
        <f t="shared" si="88"/>
        <v>0.37030567685589522</v>
      </c>
      <c r="BH68" s="68">
        <f t="shared" ref="BH68:BM68" si="91">SUM(BH59:BH67)</f>
        <v>298</v>
      </c>
      <c r="BI68" s="74">
        <f t="shared" si="54"/>
        <v>0.42281879194630873</v>
      </c>
      <c r="BJ68" s="71">
        <f t="shared" si="91"/>
        <v>2068.9499999999998</v>
      </c>
      <c r="BK68" s="71">
        <f t="shared" si="20"/>
        <v>5256.4825999999994</v>
      </c>
      <c r="BL68" s="75">
        <f t="shared" si="21"/>
        <v>0.3534007395455156</v>
      </c>
      <c r="BM68" s="68">
        <f t="shared" si="91"/>
        <v>3520.291545</v>
      </c>
      <c r="BN68" s="74">
        <f t="shared" ref="BN68:BN73" si="92">(BK68-BM68)/BM68</f>
        <v>0.493195246134081</v>
      </c>
    </row>
    <row r="69" spans="1:68">
      <c r="A69" s="52">
        <v>58</v>
      </c>
      <c r="B69" s="52" t="s">
        <v>25</v>
      </c>
      <c r="C69" s="52" t="s">
        <v>92</v>
      </c>
      <c r="D69" s="53">
        <v>900</v>
      </c>
      <c r="E69" s="53">
        <v>210</v>
      </c>
      <c r="F69" s="44">
        <v>0.233333333333333</v>
      </c>
      <c r="G69" s="53">
        <v>255</v>
      </c>
      <c r="H69" s="29">
        <v>-0.214285714285714</v>
      </c>
      <c r="I69" s="53">
        <v>6000</v>
      </c>
      <c r="J69" s="53">
        <v>1334.2</v>
      </c>
      <c r="K69" s="44">
        <v>0.22236666666666699</v>
      </c>
      <c r="L69" s="53">
        <v>2624.8011489999999</v>
      </c>
      <c r="M69" s="29">
        <v>-0.96732210238345095</v>
      </c>
      <c r="N69" s="53">
        <v>400</v>
      </c>
      <c r="O69" s="53">
        <v>2</v>
      </c>
      <c r="P69" s="44">
        <v>5.0000000000000001E-3</v>
      </c>
      <c r="Q69" s="53">
        <v>6</v>
      </c>
      <c r="R69" s="29">
        <v>-2</v>
      </c>
      <c r="S69" s="53">
        <v>2600</v>
      </c>
      <c r="T69" s="53">
        <v>16.293399999999998</v>
      </c>
      <c r="U69" s="44">
        <v>6.2666923076923099E-3</v>
      </c>
      <c r="V69" s="53">
        <v>58.501488000000002</v>
      </c>
      <c r="W69" s="29">
        <v>-2.5905021665214099</v>
      </c>
      <c r="X69" s="53">
        <v>400</v>
      </c>
      <c r="Y69" s="53">
        <v>0</v>
      </c>
      <c r="Z69" s="44">
        <v>0</v>
      </c>
      <c r="AA69" s="53">
        <v>6</v>
      </c>
      <c r="AB69" s="29" t="e">
        <v>#DIV/0!</v>
      </c>
      <c r="AC69" s="53">
        <v>2600</v>
      </c>
      <c r="AD69" s="53">
        <v>0</v>
      </c>
      <c r="AE69" s="44">
        <v>0</v>
      </c>
      <c r="AF69" s="53">
        <v>57.934756</v>
      </c>
      <c r="AG69" s="29">
        <f t="shared" si="49"/>
        <v>-1</v>
      </c>
      <c r="AH69" s="54">
        <f>VLOOKUP(C69,'[2]5月汇总'!$C:$AE,24,0)</f>
        <v>211</v>
      </c>
      <c r="AI69" s="55">
        <f t="shared" si="89"/>
        <v>421</v>
      </c>
      <c r="AJ69" s="56">
        <f t="shared" si="80"/>
        <v>0.46777777777777779</v>
      </c>
      <c r="AK69" s="57">
        <f>VLOOKUP(C69,[1]两年对比终版!$A:$C,3,0)</f>
        <v>469</v>
      </c>
      <c r="AL69" s="57">
        <f t="shared" si="0"/>
        <v>-48</v>
      </c>
      <c r="AM69" s="29">
        <f t="shared" si="50"/>
        <v>-0.1023454157782516</v>
      </c>
      <c r="AN69" s="54">
        <f>VLOOKUP(C69,'[2]5月汇总'!$C:$AE,25,0)</f>
        <v>1477</v>
      </c>
      <c r="AO69" s="55">
        <f t="shared" si="81"/>
        <v>2811.2</v>
      </c>
      <c r="AP69" s="56">
        <f t="shared" si="82"/>
        <v>0.4685333333333333</v>
      </c>
      <c r="AQ69" s="59">
        <f>VLOOKUP(C69,[1]两年对比终版!$A:$W,6,0)</f>
        <v>6870.23698899998</v>
      </c>
      <c r="AR69" s="29">
        <f t="shared" si="51"/>
        <v>-0.59081469758597172</v>
      </c>
      <c r="AS69" s="54">
        <f>VLOOKUP(C69,'[2]5月汇总'!$C:$AE,26,0)</f>
        <v>102</v>
      </c>
      <c r="AT69" s="55">
        <f t="shared" si="83"/>
        <v>104</v>
      </c>
      <c r="AU69" s="56">
        <f t="shared" si="84"/>
        <v>0.26</v>
      </c>
      <c r="AV69" s="60">
        <f>VLOOKUP(C69,[1]两年对比终版!$A:$N,14,0)</f>
        <v>406</v>
      </c>
      <c r="AW69" s="55">
        <f t="shared" si="11"/>
        <v>-302</v>
      </c>
      <c r="AX69" s="45">
        <f t="shared" si="52"/>
        <v>-0.74384236453201968</v>
      </c>
      <c r="AY69" s="55">
        <f>VLOOKUP(C69,'[2]5月汇总'!$C:$AE,27,0)</f>
        <v>516.79999999999995</v>
      </c>
      <c r="AZ69" s="55">
        <f t="shared" si="85"/>
        <v>533.09339999999997</v>
      </c>
      <c r="BA69" s="62">
        <f t="shared" si="86"/>
        <v>0.20503592307692306</v>
      </c>
      <c r="BB69" s="55">
        <f>VLOOKUP(C69,[1]两年对比终版!$A:$W,17,0)</f>
        <v>2397.89588799999</v>
      </c>
      <c r="BC69" s="61">
        <f t="shared" si="15"/>
        <v>-1864.80248799999</v>
      </c>
      <c r="BD69" s="45">
        <f t="shared" si="53"/>
        <v>-0.77768284158298606</v>
      </c>
      <c r="BE69" s="55">
        <f>VLOOKUP(C69,'[2]5月汇总'!$C:$AE,28,0)</f>
        <v>3</v>
      </c>
      <c r="BF69" s="55">
        <f t="shared" si="87"/>
        <v>3</v>
      </c>
      <c r="BG69" s="62">
        <f t="shared" si="88"/>
        <v>7.4999999999999997E-3</v>
      </c>
      <c r="BH69" s="55">
        <f>VLOOKUP(C69,[1]两年对比终版!$A:$T,20,0)+160</f>
        <v>166</v>
      </c>
      <c r="BI69" s="45">
        <f t="shared" si="54"/>
        <v>-0.98192771084337349</v>
      </c>
      <c r="BJ69" s="55">
        <f>VLOOKUP(C69,'[2]5月汇总'!$C:$AE,29,0)</f>
        <v>24.8</v>
      </c>
      <c r="BK69" s="55">
        <f t="shared" si="20"/>
        <v>24.8</v>
      </c>
      <c r="BL69" s="62">
        <f t="shared" si="21"/>
        <v>9.5384615384615391E-3</v>
      </c>
      <c r="BM69" s="55">
        <f>VLOOKUP(C69,[1]两年对比终版!$A:$W,23,0)+701.81832+177</f>
        <v>936.75307599999996</v>
      </c>
      <c r="BN69" s="45">
        <f t="shared" si="92"/>
        <v>-0.97352557399021555</v>
      </c>
    </row>
    <row r="70" spans="1:68">
      <c r="A70" s="52">
        <v>59</v>
      </c>
      <c r="B70" s="52" t="s">
        <v>39</v>
      </c>
      <c r="C70" s="52" t="s">
        <v>93</v>
      </c>
      <c r="D70" s="53">
        <v>100</v>
      </c>
      <c r="E70" s="53">
        <v>28</v>
      </c>
      <c r="F70" s="44">
        <v>0.28000000000000003</v>
      </c>
      <c r="G70" s="53">
        <v>22</v>
      </c>
      <c r="H70" s="29">
        <v>0.214285714285714</v>
      </c>
      <c r="I70" s="53">
        <v>800</v>
      </c>
      <c r="J70" s="53">
        <v>227.35400000000001</v>
      </c>
      <c r="K70" s="44">
        <v>0.28419250000000001</v>
      </c>
      <c r="L70" s="53">
        <v>202.744236</v>
      </c>
      <c r="M70" s="29">
        <v>0.10824425345496499</v>
      </c>
      <c r="N70" s="53">
        <v>30</v>
      </c>
      <c r="O70" s="53">
        <v>1</v>
      </c>
      <c r="P70" s="44">
        <v>3.3333333333333298E-2</v>
      </c>
      <c r="Q70" s="53">
        <v>7</v>
      </c>
      <c r="R70" s="29">
        <v>-6</v>
      </c>
      <c r="S70" s="53">
        <v>300</v>
      </c>
      <c r="T70" s="53">
        <v>8.2169100000000004</v>
      </c>
      <c r="U70" s="44">
        <v>2.7389699999999999E-2</v>
      </c>
      <c r="V70" s="53">
        <v>57.436799999999998</v>
      </c>
      <c r="W70" s="29">
        <v>-5.9900729106196904</v>
      </c>
      <c r="X70" s="53">
        <v>30</v>
      </c>
      <c r="Y70" s="53">
        <v>11</v>
      </c>
      <c r="Z70" s="44">
        <v>0.36666666666666697</v>
      </c>
      <c r="AA70" s="53">
        <v>7</v>
      </c>
      <c r="AB70" s="29">
        <v>0.36363636363636398</v>
      </c>
      <c r="AC70" s="53">
        <v>300</v>
      </c>
      <c r="AD70" s="53">
        <v>121.303</v>
      </c>
      <c r="AE70" s="44">
        <v>0.404343333333333</v>
      </c>
      <c r="AF70" s="53">
        <v>55.708143999999997</v>
      </c>
      <c r="AG70" s="29">
        <f t="shared" si="49"/>
        <v>1.1774733690643149</v>
      </c>
      <c r="AH70" s="54">
        <f>VLOOKUP(C70,'[2]5月汇总'!$C:$AE,24,0)</f>
        <v>30</v>
      </c>
      <c r="AI70" s="55">
        <f t="shared" si="89"/>
        <v>58</v>
      </c>
      <c r="AJ70" s="56">
        <f t="shared" si="80"/>
        <v>0.57999999999999996</v>
      </c>
      <c r="AK70" s="57">
        <f>VLOOKUP(C70,[1]两年对比终版!$A:$W,3,0)</f>
        <v>22</v>
      </c>
      <c r="AL70" s="57">
        <f t="shared" ref="AL70:AL71" si="93">AI70-AK70</f>
        <v>36</v>
      </c>
      <c r="AM70" s="29">
        <f t="shared" si="50"/>
        <v>1.6363636363636365</v>
      </c>
      <c r="AN70" s="54">
        <f>VLOOKUP(C70,'[2]5月汇总'!$C:$AE,25,0)</f>
        <v>253</v>
      </c>
      <c r="AO70" s="55">
        <f t="shared" si="81"/>
        <v>480.35400000000004</v>
      </c>
      <c r="AP70" s="56">
        <f t="shared" si="82"/>
        <v>0.6004425000000001</v>
      </c>
      <c r="AQ70" s="59">
        <f>VLOOKUP(C70,[1]两年对比终版!$A:$W,6,0)</f>
        <v>202.744236</v>
      </c>
      <c r="AR70" s="29">
        <f t="shared" si="51"/>
        <v>1.3692609441187766</v>
      </c>
      <c r="AS70" s="54">
        <f>VLOOKUP(C70,'[2]5月汇总'!$C:$AE,26,0)</f>
        <v>24</v>
      </c>
      <c r="AT70" s="55">
        <f t="shared" si="83"/>
        <v>25</v>
      </c>
      <c r="AU70" s="56">
        <f t="shared" si="84"/>
        <v>0.83333333333333337</v>
      </c>
      <c r="AV70" s="60">
        <f>VLOOKUP(C70,[1]两年对比终版!$A:$N,14,0)</f>
        <v>7</v>
      </c>
      <c r="AW70" s="55">
        <f t="shared" si="11"/>
        <v>18</v>
      </c>
      <c r="AX70" s="45">
        <f t="shared" si="52"/>
        <v>2.5714285714285716</v>
      </c>
      <c r="AY70" s="55">
        <f>VLOOKUP(C70,'[2]5月汇总'!$C:$AE,27,0)</f>
        <v>160</v>
      </c>
      <c r="AZ70" s="55">
        <f t="shared" si="85"/>
        <v>168.21691000000001</v>
      </c>
      <c r="BA70" s="62">
        <f t="shared" si="86"/>
        <v>0.5607230333333334</v>
      </c>
      <c r="BB70" s="55">
        <f>VLOOKUP(C70,[1]两年对比终版!$A:$W,17,0)</f>
        <v>57.436799999999998</v>
      </c>
      <c r="BC70" s="61">
        <f t="shared" si="15"/>
        <v>110.78011000000001</v>
      </c>
      <c r="BD70" s="45">
        <f t="shared" si="53"/>
        <v>1.9287305351273054</v>
      </c>
      <c r="BE70" s="55">
        <f>VLOOKUP(C70,'[2]5月汇总'!$C:$AE,28,0)</f>
        <v>14</v>
      </c>
      <c r="BF70" s="55">
        <f t="shared" si="87"/>
        <v>25</v>
      </c>
      <c r="BG70" s="62">
        <f t="shared" si="88"/>
        <v>0.83333333333333337</v>
      </c>
      <c r="BH70" s="55">
        <f>VLOOKUP(C70,[1]两年对比终版!$A:$T,20,0)</f>
        <v>21</v>
      </c>
      <c r="BI70" s="45">
        <f t="shared" si="54"/>
        <v>0.19047619047619047</v>
      </c>
      <c r="BJ70" s="55">
        <f>VLOOKUP(C70,'[2]5月汇总'!$C:$AE,29,0)</f>
        <v>95</v>
      </c>
      <c r="BK70" s="55">
        <f t="shared" si="20"/>
        <v>216.303</v>
      </c>
      <c r="BL70" s="62">
        <f t="shared" si="21"/>
        <v>0.72101000000000004</v>
      </c>
      <c r="BM70" s="55">
        <f>VLOOKUP(C70,[1]两年对比终版!$A:$W,23,0)</f>
        <v>165.82313400000001</v>
      </c>
      <c r="BN70" s="45">
        <f t="shared" si="92"/>
        <v>0.30441992490625575</v>
      </c>
    </row>
    <row r="71" spans="1:68">
      <c r="A71" s="52">
        <v>60</v>
      </c>
      <c r="B71" s="52" t="s">
        <v>34</v>
      </c>
      <c r="C71" s="52" t="s">
        <v>94</v>
      </c>
      <c r="D71" s="53">
        <v>101</v>
      </c>
      <c r="E71" s="53">
        <v>31</v>
      </c>
      <c r="F71" s="44">
        <v>0.30693069306930698</v>
      </c>
      <c r="G71" s="53">
        <v>28</v>
      </c>
      <c r="H71" s="29">
        <v>9.6774193548387094E-2</v>
      </c>
      <c r="I71" s="53">
        <v>980</v>
      </c>
      <c r="J71" s="53">
        <v>282.66699999999997</v>
      </c>
      <c r="K71" s="44">
        <v>0.28843571428571402</v>
      </c>
      <c r="L71" s="53">
        <v>316.07469800000001</v>
      </c>
      <c r="M71" s="29">
        <v>-0.11818747147703899</v>
      </c>
      <c r="N71" s="53">
        <v>32.803400000000003</v>
      </c>
      <c r="O71" s="53">
        <v>0</v>
      </c>
      <c r="P71" s="44">
        <v>0</v>
      </c>
      <c r="Q71" s="53">
        <v>0</v>
      </c>
      <c r="R71" s="29" t="e">
        <v>#DIV/0!</v>
      </c>
      <c r="S71" s="53">
        <v>401.84199999999998</v>
      </c>
      <c r="T71" s="53">
        <v>0</v>
      </c>
      <c r="U71" s="44">
        <v>0</v>
      </c>
      <c r="V71" s="53">
        <v>0</v>
      </c>
      <c r="W71" s="29" t="e">
        <v>#DIV/0!</v>
      </c>
      <c r="X71" s="53">
        <v>32.803400000000003</v>
      </c>
      <c r="Y71" s="53">
        <v>0</v>
      </c>
      <c r="Z71" s="44">
        <v>0</v>
      </c>
      <c r="AA71" s="53">
        <v>1</v>
      </c>
      <c r="AB71" s="29" t="e">
        <v>#DIV/0!</v>
      </c>
      <c r="AC71" s="53">
        <v>401.84199999999998</v>
      </c>
      <c r="AD71" s="53">
        <v>0</v>
      </c>
      <c r="AE71" s="44">
        <v>0</v>
      </c>
      <c r="AF71" s="53">
        <v>13.231109999999999</v>
      </c>
      <c r="AG71" s="29">
        <f t="shared" ref="AG71:AG87" si="94">(AD71-AF71)/AF71</f>
        <v>-1</v>
      </c>
      <c r="AH71" s="54">
        <f>VLOOKUP(C71,'[2]5月汇总'!$C:$AE,24,0)</f>
        <v>15</v>
      </c>
      <c r="AI71" s="55">
        <f t="shared" si="89"/>
        <v>46</v>
      </c>
      <c r="AJ71" s="56">
        <f t="shared" si="80"/>
        <v>0.45544554455445546</v>
      </c>
      <c r="AK71" s="57">
        <f>VLOOKUP(C71,[1]两年对比终版!$A:$W,3,0)</f>
        <v>39</v>
      </c>
      <c r="AL71" s="57">
        <f t="shared" si="93"/>
        <v>7</v>
      </c>
      <c r="AM71" s="29">
        <f t="shared" ref="AM71:AM87" si="95">(AI71-AK71)/AK71</f>
        <v>0.17948717948717949</v>
      </c>
      <c r="AN71" s="54">
        <f>VLOOKUP(C71,'[2]5月汇总'!$C:$AE,25,0)</f>
        <v>130</v>
      </c>
      <c r="AO71" s="55">
        <f t="shared" si="81"/>
        <v>412.66699999999997</v>
      </c>
      <c r="AP71" s="56">
        <f t="shared" si="82"/>
        <v>0.42108877551020407</v>
      </c>
      <c r="AQ71" s="59">
        <f>VLOOKUP(C71,[1]两年对比终版!$A:$W,6,0)</f>
        <v>652.63722499999994</v>
      </c>
      <c r="AR71" s="29">
        <f t="shared" ref="AR71:AR87" si="96">(AO71-AQ71)/AQ71</f>
        <v>-0.36769313150962235</v>
      </c>
      <c r="AS71" s="54">
        <f>VLOOKUP(C71,'[2]5月汇总'!$C:$AE,26,0)</f>
        <v>15</v>
      </c>
      <c r="AT71" s="55">
        <f t="shared" si="83"/>
        <v>15</v>
      </c>
      <c r="AU71" s="56">
        <f t="shared" si="84"/>
        <v>0.4572696732655761</v>
      </c>
      <c r="AV71" s="60">
        <f>VLOOKUP(C71,[1]两年对比终版!$A:$N,14,0)</f>
        <v>0</v>
      </c>
      <c r="AW71" s="55">
        <f t="shared" ref="AW71:AW87" si="97">AT71-AV71</f>
        <v>15</v>
      </c>
      <c r="AX71" s="45" t="e">
        <f t="shared" ref="AX71:AX87" si="98">(AT71-AV71)/AV71</f>
        <v>#DIV/0!</v>
      </c>
      <c r="AY71" s="55">
        <f>VLOOKUP(C71,'[2]5月汇总'!$C:$AE,27,0)</f>
        <v>130</v>
      </c>
      <c r="AZ71" s="55">
        <f t="shared" si="85"/>
        <v>130</v>
      </c>
      <c r="BA71" s="62">
        <f t="shared" si="86"/>
        <v>0.32351023536613893</v>
      </c>
      <c r="BB71" s="55">
        <f>VLOOKUP(C71,[1]两年对比终版!$A:$W,17,0)</f>
        <v>0</v>
      </c>
      <c r="BC71" s="61">
        <f t="shared" ref="BC71:BC87" si="99">AZ71-BB71</f>
        <v>130</v>
      </c>
      <c r="BD71" s="45" t="e">
        <f t="shared" ref="BD71:BD87" si="100">(AZ71-BB71)/BB71</f>
        <v>#DIV/0!</v>
      </c>
      <c r="BE71" s="55">
        <f>VLOOKUP(C71,'[2]5月汇总'!$C:$AE,28,0)</f>
        <v>15</v>
      </c>
      <c r="BF71" s="55">
        <f t="shared" si="87"/>
        <v>15</v>
      </c>
      <c r="BG71" s="62">
        <f t="shared" si="88"/>
        <v>0.4572696732655761</v>
      </c>
      <c r="BH71" s="55">
        <f>VLOOKUP(C71,[1]两年对比终版!$A:$T,20,0)</f>
        <v>1</v>
      </c>
      <c r="BI71" s="45">
        <f t="shared" ref="BI71:BI87" si="101">(BF71-BH71)/BH71</f>
        <v>14</v>
      </c>
      <c r="BJ71" s="55">
        <f>VLOOKUP(C71,'[2]5月汇总'!$C:$AE,29,0)</f>
        <v>130</v>
      </c>
      <c r="BK71" s="55">
        <f t="shared" ref="BK71:BK82" si="102">BJ71+AD71</f>
        <v>130</v>
      </c>
      <c r="BL71" s="62">
        <f t="shared" ref="BL71:BL87" si="103">BK71/AC71</f>
        <v>0.32351023536613893</v>
      </c>
      <c r="BM71" s="55">
        <f>VLOOKUP(C71,[1]两年对比终版!$A:$W,23,0)</f>
        <v>13.231109999999999</v>
      </c>
      <c r="BN71" s="45">
        <f t="shared" si="92"/>
        <v>8.8253283360201831</v>
      </c>
    </row>
    <row r="72" spans="1:68">
      <c r="A72" s="52">
        <v>61</v>
      </c>
      <c r="B72" s="52" t="s">
        <v>34</v>
      </c>
      <c r="C72" s="52" t="s">
        <v>95</v>
      </c>
      <c r="D72" s="53">
        <v>100</v>
      </c>
      <c r="E72" s="53">
        <v>16</v>
      </c>
      <c r="F72" s="44">
        <v>0.16</v>
      </c>
      <c r="G72" s="53">
        <v>19</v>
      </c>
      <c r="H72" s="29">
        <v>-0.1875</v>
      </c>
      <c r="I72" s="53">
        <v>980</v>
      </c>
      <c r="J72" s="53">
        <v>188.62100000000001</v>
      </c>
      <c r="K72" s="44">
        <v>0.19247040816326499</v>
      </c>
      <c r="L72" s="53">
        <v>206.6748</v>
      </c>
      <c r="M72" s="29">
        <v>-9.5714687123915093E-2</v>
      </c>
      <c r="N72" s="53">
        <v>32.816299999999998</v>
      </c>
      <c r="O72" s="53">
        <v>8</v>
      </c>
      <c r="P72" s="44">
        <v>0.24378129161422801</v>
      </c>
      <c r="Q72" s="53">
        <v>13</v>
      </c>
      <c r="R72" s="29">
        <v>-0.625</v>
      </c>
      <c r="S72" s="53">
        <v>402</v>
      </c>
      <c r="T72" s="53">
        <v>80.185699999999997</v>
      </c>
      <c r="U72" s="44">
        <v>0.199466915422886</v>
      </c>
      <c r="V72" s="53">
        <v>165.63158999999999</v>
      </c>
      <c r="W72" s="29">
        <v>-1.0656001007661</v>
      </c>
      <c r="X72" s="53">
        <v>32.816299999999998</v>
      </c>
      <c r="Y72" s="53">
        <v>15</v>
      </c>
      <c r="Z72" s="44">
        <v>0.45708992177667801</v>
      </c>
      <c r="AA72" s="53">
        <v>8</v>
      </c>
      <c r="AB72" s="29">
        <v>0.46666666666666701</v>
      </c>
      <c r="AC72" s="53">
        <v>402</v>
      </c>
      <c r="AD72" s="53">
        <v>155.648</v>
      </c>
      <c r="AE72" s="44">
        <v>0.38718407960199003</v>
      </c>
      <c r="AF72" s="53">
        <v>94.574340000000007</v>
      </c>
      <c r="AG72" s="29">
        <f t="shared" si="94"/>
        <v>0.64577410743759867</v>
      </c>
      <c r="AH72" s="54">
        <f>VLOOKUP(C72,'[2]5月汇总'!$C:$AE,24,0)</f>
        <v>22</v>
      </c>
      <c r="AI72" s="55">
        <f t="shared" si="89"/>
        <v>38</v>
      </c>
      <c r="AJ72" s="56">
        <f t="shared" si="80"/>
        <v>0.38</v>
      </c>
      <c r="AK72" s="57">
        <f>VLOOKUP(C72,[1]两年对比终版!$A:$W,3,0)</f>
        <v>38</v>
      </c>
      <c r="AL72" s="57">
        <f>AI72-AK72</f>
        <v>0</v>
      </c>
      <c r="AM72" s="29">
        <f t="shared" si="95"/>
        <v>0</v>
      </c>
      <c r="AN72" s="54">
        <f>VLOOKUP(C72,'[2]5月汇总'!$C:$AE,25,0)</f>
        <v>227.5</v>
      </c>
      <c r="AO72" s="55">
        <f t="shared" si="81"/>
        <v>416.12099999999998</v>
      </c>
      <c r="AP72" s="56">
        <f t="shared" si="82"/>
        <v>0.42461326530612242</v>
      </c>
      <c r="AQ72" s="59">
        <f>VLOOKUP(C72,[1]两年对比终版!$A:$W,6,0)</f>
        <v>550.22496799999999</v>
      </c>
      <c r="AR72" s="29">
        <f t="shared" si="96"/>
        <v>-0.24372570457398801</v>
      </c>
      <c r="AS72" s="54">
        <f>VLOOKUP(C72,'[2]5月汇总'!$C:$AE,26,0)</f>
        <v>22</v>
      </c>
      <c r="AT72" s="55">
        <f t="shared" si="83"/>
        <v>30</v>
      </c>
      <c r="AU72" s="56">
        <f t="shared" si="84"/>
        <v>0.91417984355335613</v>
      </c>
      <c r="AV72" s="60">
        <f>VLOOKUP(C72,[1]两年对比终版!$A:$N,14,0)</f>
        <v>14</v>
      </c>
      <c r="AW72" s="55">
        <f t="shared" si="97"/>
        <v>16</v>
      </c>
      <c r="AX72" s="45">
        <f t="shared" si="98"/>
        <v>1.1428571428571428</v>
      </c>
      <c r="AY72" s="55">
        <f>VLOOKUP(C72,'[2]5月汇总'!$C:$AE,27,0)</f>
        <v>227.5</v>
      </c>
      <c r="AZ72" s="55">
        <f t="shared" si="85"/>
        <v>307.6857</v>
      </c>
      <c r="BA72" s="62">
        <f t="shared" si="86"/>
        <v>0.76538731343283584</v>
      </c>
      <c r="BB72" s="55">
        <f>VLOOKUP(C72,[1]两年对比终版!$A:$W,17,0)</f>
        <v>177.80094199999999</v>
      </c>
      <c r="BC72" s="61">
        <f t="shared" si="99"/>
        <v>129.88475800000001</v>
      </c>
      <c r="BD72" s="45">
        <f t="shared" si="100"/>
        <v>0.73050657965580412</v>
      </c>
      <c r="BE72" s="55">
        <f>VLOOKUP(C72,'[2]5月汇总'!$C:$AE,28,0)</f>
        <v>15</v>
      </c>
      <c r="BF72" s="55">
        <f t="shared" si="87"/>
        <v>30</v>
      </c>
      <c r="BG72" s="62">
        <f t="shared" si="88"/>
        <v>0.91417984355335613</v>
      </c>
      <c r="BH72" s="55">
        <f>VLOOKUP(C72,[1]两年对比终版!$A:$T,20,0)</f>
        <v>17</v>
      </c>
      <c r="BI72" s="45">
        <f t="shared" si="101"/>
        <v>0.76470588235294112</v>
      </c>
      <c r="BJ72" s="55">
        <f>VLOOKUP(C72,'[2]5月汇总'!$C:$AE,29,0)</f>
        <v>153.6</v>
      </c>
      <c r="BK72" s="55">
        <f t="shared" si="102"/>
        <v>309.24799999999999</v>
      </c>
      <c r="BL72" s="62">
        <f t="shared" si="103"/>
        <v>0.769273631840796</v>
      </c>
      <c r="BM72" s="55">
        <f>VLOOKUP(C72,[1]两年对比终版!$A:$W,23,0)</f>
        <v>210.26359199999999</v>
      </c>
      <c r="BN72" s="45">
        <f t="shared" si="92"/>
        <v>0.47076342156277823</v>
      </c>
    </row>
    <row r="73" spans="1:68">
      <c r="A73" s="52">
        <v>62</v>
      </c>
      <c r="B73" s="52" t="s">
        <v>39</v>
      </c>
      <c r="C73" s="52" t="s">
        <v>96</v>
      </c>
      <c r="D73" s="53">
        <v>90</v>
      </c>
      <c r="E73" s="53">
        <v>23</v>
      </c>
      <c r="F73" s="44">
        <v>0.25555555555555498</v>
      </c>
      <c r="G73" s="53">
        <v>64</v>
      </c>
      <c r="H73" s="29">
        <v>-1.7826086956521701</v>
      </c>
      <c r="I73" s="53">
        <v>800</v>
      </c>
      <c r="J73" s="53">
        <v>167.73500000000001</v>
      </c>
      <c r="K73" s="44">
        <v>0.20966874999999999</v>
      </c>
      <c r="L73" s="53">
        <v>563.05476000000101</v>
      </c>
      <c r="M73" s="29">
        <v>-2.3568113989328499</v>
      </c>
      <c r="N73" s="53">
        <v>30</v>
      </c>
      <c r="O73" s="53">
        <v>0</v>
      </c>
      <c r="P73" s="44">
        <v>0</v>
      </c>
      <c r="Q73" s="53">
        <v>0</v>
      </c>
      <c r="R73" s="29" t="e">
        <v>#DIV/0!</v>
      </c>
      <c r="S73" s="53">
        <v>300</v>
      </c>
      <c r="T73" s="53">
        <v>0</v>
      </c>
      <c r="U73" s="44">
        <v>0</v>
      </c>
      <c r="V73" s="53">
        <v>0</v>
      </c>
      <c r="W73" s="29" t="e">
        <v>#DIV/0!</v>
      </c>
      <c r="X73" s="53">
        <v>30</v>
      </c>
      <c r="Y73" s="53">
        <v>0</v>
      </c>
      <c r="Z73" s="44">
        <v>0</v>
      </c>
      <c r="AA73" s="53">
        <v>0</v>
      </c>
      <c r="AB73" s="29" t="e">
        <v>#DIV/0!</v>
      </c>
      <c r="AC73" s="53">
        <v>300</v>
      </c>
      <c r="AD73" s="53">
        <v>0</v>
      </c>
      <c r="AE73" s="44">
        <v>0</v>
      </c>
      <c r="AF73" s="53">
        <v>0</v>
      </c>
      <c r="AG73" s="29" t="e">
        <f t="shared" si="94"/>
        <v>#DIV/0!</v>
      </c>
      <c r="AH73" s="54">
        <f>VLOOKUP(C73,'[2]5月汇总'!$C:$AE,24,0)</f>
        <v>23</v>
      </c>
      <c r="AI73" s="55">
        <f t="shared" si="89"/>
        <v>46</v>
      </c>
      <c r="AJ73" s="56">
        <f t="shared" si="80"/>
        <v>0.51111111111111107</v>
      </c>
      <c r="AK73" s="57">
        <f>VLOOKUP(C73,[1]两年对比终版!$A:$W,3,0)</f>
        <v>129</v>
      </c>
      <c r="AL73" s="57"/>
      <c r="AM73" s="29">
        <f t="shared" si="95"/>
        <v>-0.64341085271317833</v>
      </c>
      <c r="AN73" s="54">
        <f>VLOOKUP(C73,'[2]5月汇总'!$C:$AE,25,0)</f>
        <v>132</v>
      </c>
      <c r="AO73" s="55">
        <f t="shared" si="81"/>
        <v>299.73500000000001</v>
      </c>
      <c r="AP73" s="56">
        <f t="shared" si="82"/>
        <v>0.37466874999999999</v>
      </c>
      <c r="AQ73" s="59">
        <f>VLOOKUP(C73,[1]两年对比终版!$A:$W,6,0)</f>
        <v>1471.255735</v>
      </c>
      <c r="AR73" s="29">
        <f t="shared" si="96"/>
        <v>-0.79627267179352756</v>
      </c>
      <c r="AS73" s="54">
        <f>VLOOKUP(C73,'[2]5月汇总'!$C:$AE,26,0)</f>
        <v>11</v>
      </c>
      <c r="AT73" s="55">
        <f t="shared" si="83"/>
        <v>11</v>
      </c>
      <c r="AU73" s="56">
        <f t="shared" si="84"/>
        <v>0.36666666666666664</v>
      </c>
      <c r="AV73" s="60">
        <f>VLOOKUP(C73,[1]两年对比终版!$A:$N,14,0)</f>
        <v>0</v>
      </c>
      <c r="AW73" s="55">
        <f t="shared" si="97"/>
        <v>11</v>
      </c>
      <c r="AX73" s="45" t="e">
        <f t="shared" si="98"/>
        <v>#DIV/0!</v>
      </c>
      <c r="AY73" s="55">
        <f>VLOOKUP(C73,'[2]5月汇总'!$C:$AE,27,0)</f>
        <v>60.9</v>
      </c>
      <c r="AZ73" s="55">
        <f t="shared" si="85"/>
        <v>60.9</v>
      </c>
      <c r="BA73" s="62">
        <f t="shared" si="86"/>
        <v>0.20299999999999999</v>
      </c>
      <c r="BB73" s="55">
        <f>VLOOKUP(C73,[1]两年对比终版!$A:$W,17,0)</f>
        <v>0</v>
      </c>
      <c r="BC73" s="61">
        <f t="shared" si="99"/>
        <v>60.9</v>
      </c>
      <c r="BD73" s="45" t="e">
        <f t="shared" si="100"/>
        <v>#DIV/0!</v>
      </c>
      <c r="BE73" s="55">
        <f>VLOOKUP(C73,'[2]5月汇总'!$C:$AE,28,0)</f>
        <v>0</v>
      </c>
      <c r="BF73" s="55">
        <f t="shared" si="87"/>
        <v>0</v>
      </c>
      <c r="BG73" s="62">
        <f t="shared" si="88"/>
        <v>0</v>
      </c>
      <c r="BH73" s="55">
        <f>VLOOKUP(C73,[1]两年对比终版!$A:$T,20,0)</f>
        <v>0</v>
      </c>
      <c r="BI73" s="45" t="e">
        <f t="shared" si="101"/>
        <v>#DIV/0!</v>
      </c>
      <c r="BJ73" s="55">
        <f>VLOOKUP(C73,'[2]5月汇总'!$C:$AE,29,0)</f>
        <v>0</v>
      </c>
      <c r="BK73" s="55">
        <v>0</v>
      </c>
      <c r="BL73" s="62">
        <v>0</v>
      </c>
      <c r="BM73" s="55">
        <f>VLOOKUP(C73,[1]两年对比终版!$A:$W,23,0)</f>
        <v>0</v>
      </c>
      <c r="BN73" s="45" t="e">
        <f t="shared" si="92"/>
        <v>#DIV/0!</v>
      </c>
    </row>
    <row r="74" spans="1:68">
      <c r="A74" s="52">
        <v>63</v>
      </c>
      <c r="B74" s="52" t="s">
        <v>39</v>
      </c>
      <c r="C74" s="52" t="s">
        <v>97</v>
      </c>
      <c r="D74" s="53">
        <v>90</v>
      </c>
      <c r="E74" s="53">
        <v>23</v>
      </c>
      <c r="F74" s="44">
        <v>0.25555555555555498</v>
      </c>
      <c r="G74" s="53">
        <v>0</v>
      </c>
      <c r="H74" s="29">
        <v>1</v>
      </c>
      <c r="I74" s="53">
        <v>800</v>
      </c>
      <c r="J74" s="53">
        <v>295.85300000000001</v>
      </c>
      <c r="K74" s="44">
        <v>0.36981625000000001</v>
      </c>
      <c r="L74" s="53">
        <v>0</v>
      </c>
      <c r="M74" s="29">
        <v>1</v>
      </c>
      <c r="N74" s="53">
        <v>30</v>
      </c>
      <c r="O74" s="53">
        <v>2</v>
      </c>
      <c r="P74" s="44">
        <v>6.6666666666666693E-2</v>
      </c>
      <c r="Q74" s="53">
        <v>0</v>
      </c>
      <c r="R74" s="29">
        <v>1</v>
      </c>
      <c r="S74" s="53">
        <v>300</v>
      </c>
      <c r="T74" s="53">
        <v>24.9391</v>
      </c>
      <c r="U74" s="44">
        <v>8.3130333333333306E-2</v>
      </c>
      <c r="V74" s="53">
        <v>0</v>
      </c>
      <c r="W74" s="29">
        <v>1</v>
      </c>
      <c r="X74" s="53">
        <v>30</v>
      </c>
      <c r="Y74" s="53">
        <v>1</v>
      </c>
      <c r="Z74" s="44">
        <v>3.3333333333333298E-2</v>
      </c>
      <c r="AA74" s="53">
        <v>0</v>
      </c>
      <c r="AB74" s="29">
        <v>1</v>
      </c>
      <c r="AC74" s="53">
        <v>300</v>
      </c>
      <c r="AD74" s="53">
        <v>13</v>
      </c>
      <c r="AE74" s="44">
        <v>4.33333333333333E-2</v>
      </c>
      <c r="AF74" s="53">
        <v>0</v>
      </c>
      <c r="AG74" s="29" t="e">
        <f t="shared" si="94"/>
        <v>#DIV/0!</v>
      </c>
      <c r="AH74" s="54">
        <f>VLOOKUP(C74,'[2]5月汇总'!$C:$AE,24,0)</f>
        <v>19</v>
      </c>
      <c r="AI74" s="55">
        <f t="shared" si="89"/>
        <v>42</v>
      </c>
      <c r="AJ74" s="56">
        <f t="shared" si="80"/>
        <v>0.46666666666666667</v>
      </c>
      <c r="AK74" s="57">
        <f>VLOOKUP(C74,[1]两年对比终版!$A:$W,3,0)</f>
        <v>0</v>
      </c>
      <c r="AL74" s="57"/>
      <c r="AM74" s="29" t="e">
        <f t="shared" si="95"/>
        <v>#DIV/0!</v>
      </c>
      <c r="AN74" s="54">
        <f>VLOOKUP(C74,'[2]5月汇总'!$C:$AE,25,0)</f>
        <v>247</v>
      </c>
      <c r="AO74" s="55">
        <f t="shared" si="81"/>
        <v>542.85300000000007</v>
      </c>
      <c r="AP74" s="56">
        <f t="shared" si="82"/>
        <v>0.67856625000000004</v>
      </c>
      <c r="AQ74" s="59">
        <f>VLOOKUP(C74,[1]两年对比终版!$A:$W,6,0)</f>
        <v>0</v>
      </c>
      <c r="AR74" s="29"/>
      <c r="AS74" s="54">
        <f>VLOOKUP(C74,'[2]5月汇总'!$C:$AE,26,0)</f>
        <v>5</v>
      </c>
      <c r="AT74" s="55">
        <f t="shared" si="83"/>
        <v>7</v>
      </c>
      <c r="AU74" s="56">
        <f t="shared" si="84"/>
        <v>0.23333333333333334</v>
      </c>
      <c r="AV74" s="60">
        <f>VLOOKUP(C74,[1]两年对比终版!$A:$N,14,0)</f>
        <v>0</v>
      </c>
      <c r="AW74" s="55">
        <f t="shared" si="97"/>
        <v>7</v>
      </c>
      <c r="AX74" s="45"/>
      <c r="AY74" s="55">
        <f>VLOOKUP(C74,'[2]5月汇总'!$C:$AE,27,0)</f>
        <v>47</v>
      </c>
      <c r="AZ74" s="55">
        <f t="shared" si="85"/>
        <v>71.939099999999996</v>
      </c>
      <c r="BA74" s="62">
        <f t="shared" si="86"/>
        <v>0.23979699999999998</v>
      </c>
      <c r="BB74" s="55">
        <f>VLOOKUP(C74,[1]两年对比终版!$A:$W,17,0)</f>
        <v>0</v>
      </c>
      <c r="BC74" s="61">
        <f t="shared" si="99"/>
        <v>71.939099999999996</v>
      </c>
      <c r="BD74" s="45"/>
      <c r="BE74" s="55">
        <f>VLOOKUP(C74,'[2]5月汇总'!$C:$AE,28,0)</f>
        <v>2</v>
      </c>
      <c r="BF74" s="55">
        <f t="shared" si="87"/>
        <v>3</v>
      </c>
      <c r="BG74" s="62">
        <f t="shared" si="88"/>
        <v>0.1</v>
      </c>
      <c r="BH74" s="55">
        <f>VLOOKUP(C74,[1]两年对比终版!$A:$T,20,0)</f>
        <v>0</v>
      </c>
      <c r="BI74" s="45"/>
      <c r="BJ74" s="55">
        <f>VLOOKUP(C74,'[2]5月汇总'!$C:$AE,29,0)</f>
        <v>23.5</v>
      </c>
      <c r="BK74" s="55">
        <f t="shared" si="102"/>
        <v>36.5</v>
      </c>
      <c r="BL74" s="62">
        <f t="shared" si="103"/>
        <v>0.12166666666666667</v>
      </c>
      <c r="BM74" s="55">
        <f>VLOOKUP(C74,[1]两年对比终版!$A:$W,23,0)</f>
        <v>0</v>
      </c>
      <c r="BN74" s="45"/>
    </row>
    <row r="75" spans="1:68" s="77" customFormat="1">
      <c r="A75" s="78" t="s">
        <v>98</v>
      </c>
      <c r="B75" s="79"/>
      <c r="C75" s="79"/>
      <c r="D75" s="68">
        <v>1381</v>
      </c>
      <c r="E75" s="68">
        <v>331</v>
      </c>
      <c r="F75" s="69">
        <v>0.23968139029688601</v>
      </c>
      <c r="G75" s="68">
        <v>388</v>
      </c>
      <c r="H75" s="70">
        <v>-0.17220543806646499</v>
      </c>
      <c r="I75" s="68">
        <v>10360</v>
      </c>
      <c r="J75" s="68">
        <v>2496.4299999999998</v>
      </c>
      <c r="K75" s="69">
        <v>0.24096814671814701</v>
      </c>
      <c r="L75" s="68">
        <v>3913.349643</v>
      </c>
      <c r="M75" s="70">
        <v>-0.56757835909679</v>
      </c>
      <c r="N75" s="68">
        <v>555.61969999999997</v>
      </c>
      <c r="O75" s="68">
        <v>13</v>
      </c>
      <c r="P75" s="69">
        <v>2.3397298547909701E-2</v>
      </c>
      <c r="Q75" s="68">
        <v>26</v>
      </c>
      <c r="R75" s="70">
        <v>-1</v>
      </c>
      <c r="S75" s="68">
        <v>4303.8419999999996</v>
      </c>
      <c r="T75" s="68">
        <v>129.63511</v>
      </c>
      <c r="U75" s="69">
        <v>3.0120787426676E-2</v>
      </c>
      <c r="V75" s="68">
        <v>281.56987800000002</v>
      </c>
      <c r="W75" s="70">
        <v>-1.17201866068537</v>
      </c>
      <c r="X75" s="68">
        <v>555.61969999999997</v>
      </c>
      <c r="Y75" s="68">
        <v>27</v>
      </c>
      <c r="Z75" s="69">
        <v>4.8594389291812402E-2</v>
      </c>
      <c r="AA75" s="68">
        <v>22</v>
      </c>
      <c r="AB75" s="70">
        <v>0.18518518518518501</v>
      </c>
      <c r="AC75" s="68">
        <v>4303.8419999999996</v>
      </c>
      <c r="AD75" s="68">
        <v>289.95100000000002</v>
      </c>
      <c r="AE75" s="69">
        <v>6.7370270562906301E-2</v>
      </c>
      <c r="AF75" s="68">
        <v>221.44835</v>
      </c>
      <c r="AG75" s="70">
        <f t="shared" si="94"/>
        <v>0.30933917547816464</v>
      </c>
      <c r="AH75" s="68">
        <f>SUM(AH69:AH74)</f>
        <v>320</v>
      </c>
      <c r="AI75" s="71">
        <f t="shared" ref="AI75:AI87" si="104">AH75+E75</f>
        <v>651</v>
      </c>
      <c r="AJ75" s="41">
        <f t="shared" ref="AJ75:AJ79" si="105">AI75/D75</f>
        <v>0.47139753801593048</v>
      </c>
      <c r="AK75" s="72">
        <f>SUM(AK69:AK74)</f>
        <v>697</v>
      </c>
      <c r="AL75" s="72"/>
      <c r="AM75" s="70">
        <f t="shared" si="95"/>
        <v>-6.5997130559540887E-2</v>
      </c>
      <c r="AN75" s="68">
        <f>SUM(AN69:AN74)</f>
        <v>2466.5</v>
      </c>
      <c r="AO75" s="71">
        <f t="shared" ref="AO75:AO87" si="106">AN75+J75</f>
        <v>4962.93</v>
      </c>
      <c r="AP75" s="41">
        <f t="shared" ref="AP75:AP87" si="107">AO75/I75</f>
        <v>0.47904729729729734</v>
      </c>
      <c r="AQ75" s="72">
        <f>SUM(AQ69:AQ74)</f>
        <v>9747.099152999981</v>
      </c>
      <c r="AR75" s="70">
        <f t="shared" si="96"/>
        <v>-0.49083004880764958</v>
      </c>
      <c r="AS75" s="68">
        <f>SUM(AS69:AS74)</f>
        <v>179</v>
      </c>
      <c r="AT75" s="71">
        <f t="shared" ref="AT75:AT87" si="108">AS75+O75</f>
        <v>192</v>
      </c>
      <c r="AU75" s="41">
        <f t="shared" ref="AU75:AU79" si="109">AT75/N75</f>
        <v>0.34556010163066575</v>
      </c>
      <c r="AV75" s="72">
        <f>SUM(AV69:AV74)</f>
        <v>427</v>
      </c>
      <c r="AW75" s="71">
        <f t="shared" si="97"/>
        <v>-235</v>
      </c>
      <c r="AX75" s="74">
        <f t="shared" si="98"/>
        <v>-0.55035128805620603</v>
      </c>
      <c r="AY75" s="71">
        <f>SUM(AY69:AY74)</f>
        <v>1142.2</v>
      </c>
      <c r="AZ75" s="71">
        <f t="shared" ref="AZ75:AZ87" si="110">AY75+T75</f>
        <v>1271.83511</v>
      </c>
      <c r="BA75" s="75">
        <f t="shared" ref="BA75:BA87" si="111">AZ75/S75</f>
        <v>0.29551157082439367</v>
      </c>
      <c r="BB75" s="71">
        <f>SUM(BB69:BB74)</f>
        <v>2633.1336299999898</v>
      </c>
      <c r="BC75" s="76">
        <f t="shared" si="99"/>
        <v>-1361.2985199999898</v>
      </c>
      <c r="BD75" s="74">
        <f t="shared" si="100"/>
        <v>-0.51698801173261955</v>
      </c>
      <c r="BE75" s="71">
        <f>SUM(BE69:BE74)</f>
        <v>49</v>
      </c>
      <c r="BF75" s="71">
        <f t="shared" ref="BF75:BF87" si="112">BE75+Y75</f>
        <v>76</v>
      </c>
      <c r="BG75" s="75">
        <f t="shared" ref="BG75:BG79" si="113">BF75/X75</f>
        <v>0.13678420689547185</v>
      </c>
      <c r="BH75" s="71">
        <f t="shared" ref="BH75:BM75" si="114">SUM(BH69:BH74)</f>
        <v>205</v>
      </c>
      <c r="BI75" s="74">
        <f t="shared" si="101"/>
        <v>-0.62926829268292683</v>
      </c>
      <c r="BJ75" s="71">
        <f t="shared" si="114"/>
        <v>426.9</v>
      </c>
      <c r="BK75" s="71">
        <f t="shared" si="102"/>
        <v>716.851</v>
      </c>
      <c r="BL75" s="75">
        <f t="shared" si="103"/>
        <v>0.16656071482178017</v>
      </c>
      <c r="BM75" s="71">
        <f t="shared" si="114"/>
        <v>1326.0709119999999</v>
      </c>
      <c r="BN75" s="74">
        <f>(BK75-BM75)/BM75</f>
        <v>-0.45941729547567361</v>
      </c>
      <c r="BP75"/>
    </row>
    <row r="76" spans="1:68">
      <c r="A76" s="52">
        <v>64</v>
      </c>
      <c r="B76" s="52" t="s">
        <v>39</v>
      </c>
      <c r="C76" s="52" t="s">
        <v>99</v>
      </c>
      <c r="D76" s="53">
        <v>34</v>
      </c>
      <c r="E76" s="53">
        <v>0</v>
      </c>
      <c r="F76" s="44">
        <v>0</v>
      </c>
      <c r="G76" s="53">
        <v>0</v>
      </c>
      <c r="H76" s="29" t="e">
        <v>#DIV/0!</v>
      </c>
      <c r="I76" s="53">
        <v>520</v>
      </c>
      <c r="J76" s="53">
        <v>0</v>
      </c>
      <c r="K76" s="44">
        <v>0</v>
      </c>
      <c r="L76" s="53">
        <v>0</v>
      </c>
      <c r="M76" s="29" t="e">
        <v>#DIV/0!</v>
      </c>
      <c r="N76" s="53">
        <v>15</v>
      </c>
      <c r="O76" s="53">
        <v>0</v>
      </c>
      <c r="P76" s="44">
        <v>0</v>
      </c>
      <c r="Q76" s="53">
        <v>0</v>
      </c>
      <c r="R76" s="29" t="e">
        <v>#DIV/0!</v>
      </c>
      <c r="S76" s="53">
        <v>210</v>
      </c>
      <c r="T76" s="53">
        <v>0</v>
      </c>
      <c r="U76" s="44">
        <v>0</v>
      </c>
      <c r="V76" s="53">
        <v>0</v>
      </c>
      <c r="W76" s="29" t="e">
        <v>#DIV/0!</v>
      </c>
      <c r="X76" s="53">
        <v>15</v>
      </c>
      <c r="Y76" s="53">
        <v>0</v>
      </c>
      <c r="Z76" s="44">
        <v>0</v>
      </c>
      <c r="AA76" s="53">
        <v>0</v>
      </c>
      <c r="AB76" s="29" t="e">
        <v>#DIV/0!</v>
      </c>
      <c r="AC76" s="53">
        <v>210</v>
      </c>
      <c r="AD76" s="53">
        <v>0</v>
      </c>
      <c r="AE76" s="44">
        <v>0</v>
      </c>
      <c r="AF76" s="53">
        <v>0</v>
      </c>
      <c r="AG76" s="29" t="e">
        <f t="shared" si="94"/>
        <v>#DIV/0!</v>
      </c>
      <c r="AH76" s="54">
        <f>VLOOKUP(C76,'[2]5月汇总'!$C:$AE,24,0)</f>
        <v>0</v>
      </c>
      <c r="AI76" s="55">
        <f t="shared" si="104"/>
        <v>0</v>
      </c>
      <c r="AJ76" s="56">
        <f t="shared" si="105"/>
        <v>0</v>
      </c>
      <c r="AK76" s="57">
        <f>VLOOKUP(C76,[1]两年对比终版!$A:$C,3,0)</f>
        <v>0</v>
      </c>
      <c r="AL76" s="57"/>
      <c r="AM76" s="29" t="e">
        <f t="shared" si="95"/>
        <v>#DIV/0!</v>
      </c>
      <c r="AN76" s="54">
        <f>VLOOKUP(C76,'[2]5月汇总'!$C:$AE,25,0)</f>
        <v>0</v>
      </c>
      <c r="AO76" s="55">
        <f t="shared" si="106"/>
        <v>0</v>
      </c>
      <c r="AP76" s="56">
        <f t="shared" si="107"/>
        <v>0</v>
      </c>
      <c r="AQ76" s="59">
        <f>VLOOKUP(C76,[1]两年对比终版!$A:$W,6,0)</f>
        <v>0</v>
      </c>
      <c r="AR76" s="29"/>
      <c r="AS76" s="54">
        <f>VLOOKUP(C76,'[2]5月汇总'!$C:$AE,26,0)</f>
        <v>0</v>
      </c>
      <c r="AT76" s="55">
        <f t="shared" si="108"/>
        <v>0</v>
      </c>
      <c r="AU76" s="56">
        <f t="shared" si="109"/>
        <v>0</v>
      </c>
      <c r="AV76" s="60">
        <f>VLOOKUP(C76,[1]两年对比终版!$A:$N,14,0)</f>
        <v>0</v>
      </c>
      <c r="AW76" s="55">
        <f t="shared" si="97"/>
        <v>0</v>
      </c>
      <c r="AX76" s="45"/>
      <c r="AY76" s="55">
        <f>VLOOKUP(C76,'[2]5月汇总'!$C:$AE,27,0)</f>
        <v>0</v>
      </c>
      <c r="AZ76" s="55">
        <f t="shared" si="110"/>
        <v>0</v>
      </c>
      <c r="BA76" s="62">
        <f t="shared" si="111"/>
        <v>0</v>
      </c>
      <c r="BB76" s="55">
        <f>VLOOKUP(C76,[1]两年对比终版!$A:$W,17,0)</f>
        <v>0</v>
      </c>
      <c r="BC76" s="61">
        <f t="shared" si="99"/>
        <v>0</v>
      </c>
      <c r="BD76" s="45"/>
      <c r="BE76" s="55">
        <f>VLOOKUP(C76,'[2]5月汇总'!$C:$AE,28,0)</f>
        <v>0</v>
      </c>
      <c r="BF76" s="55">
        <f t="shared" si="112"/>
        <v>0</v>
      </c>
      <c r="BG76" s="62">
        <f t="shared" si="113"/>
        <v>0</v>
      </c>
      <c r="BH76" s="55">
        <f>VLOOKUP(C76,[1]两年对比终版!$A:$W,20,0)</f>
        <v>0</v>
      </c>
      <c r="BI76" s="45"/>
      <c r="BJ76" s="55">
        <f>VLOOKUP(C76,'[2]5月汇总'!$C:$AE,29,0)</f>
        <v>0</v>
      </c>
      <c r="BK76" s="55">
        <f t="shared" si="102"/>
        <v>0</v>
      </c>
      <c r="BL76" s="62">
        <f t="shared" si="103"/>
        <v>0</v>
      </c>
      <c r="BM76" s="55">
        <f>VLOOKUP(C76,[1]两年对比终版!$A:$W,23,0)</f>
        <v>0</v>
      </c>
      <c r="BN76" s="45"/>
    </row>
    <row r="77" spans="1:68">
      <c r="A77" s="52">
        <v>65</v>
      </c>
      <c r="B77" s="52" t="s">
        <v>39</v>
      </c>
      <c r="C77" s="52" t="s">
        <v>100</v>
      </c>
      <c r="D77" s="53">
        <v>50</v>
      </c>
      <c r="E77" s="53">
        <v>0</v>
      </c>
      <c r="F77" s="44">
        <v>0</v>
      </c>
      <c r="G77" s="53">
        <v>0</v>
      </c>
      <c r="H77" s="29" t="e">
        <v>#DIV/0!</v>
      </c>
      <c r="I77" s="53">
        <v>500</v>
      </c>
      <c r="J77" s="53">
        <v>0</v>
      </c>
      <c r="K77" s="44">
        <v>0</v>
      </c>
      <c r="L77" s="53">
        <v>0</v>
      </c>
      <c r="M77" s="29" t="e">
        <v>#DIV/0!</v>
      </c>
      <c r="N77" s="53">
        <v>15</v>
      </c>
      <c r="O77" s="53">
        <v>0</v>
      </c>
      <c r="P77" s="44">
        <v>0</v>
      </c>
      <c r="Q77" s="53">
        <v>0</v>
      </c>
      <c r="R77" s="29" t="e">
        <v>#DIV/0!</v>
      </c>
      <c r="S77" s="53">
        <v>201</v>
      </c>
      <c r="T77" s="53">
        <v>0</v>
      </c>
      <c r="U77" s="44">
        <v>0</v>
      </c>
      <c r="V77" s="53">
        <v>0</v>
      </c>
      <c r="W77" s="29" t="e">
        <v>#DIV/0!</v>
      </c>
      <c r="X77" s="53">
        <v>15</v>
      </c>
      <c r="Y77" s="53">
        <v>0</v>
      </c>
      <c r="Z77" s="44">
        <v>0</v>
      </c>
      <c r="AA77" s="53">
        <v>0</v>
      </c>
      <c r="AB77" s="29" t="e">
        <v>#DIV/0!</v>
      </c>
      <c r="AC77" s="53">
        <v>201</v>
      </c>
      <c r="AD77" s="53">
        <v>0</v>
      </c>
      <c r="AE77" s="44">
        <v>0</v>
      </c>
      <c r="AF77" s="53">
        <v>0</v>
      </c>
      <c r="AG77" s="29" t="e">
        <f t="shared" si="94"/>
        <v>#DIV/0!</v>
      </c>
      <c r="AH77" s="54">
        <f>VLOOKUP(C77,'[2]5月汇总'!$C:$AE,24,0)</f>
        <v>31</v>
      </c>
      <c r="AI77" s="55">
        <f t="shared" si="104"/>
        <v>31</v>
      </c>
      <c r="AJ77" s="56">
        <f t="shared" si="105"/>
        <v>0.62</v>
      </c>
      <c r="AK77" s="57">
        <f>VLOOKUP(C77,[1]两年对比终版!$A:$W,3,0)</f>
        <v>0</v>
      </c>
      <c r="AL77" s="57"/>
      <c r="AM77" s="29" t="e">
        <f t="shared" si="95"/>
        <v>#DIV/0!</v>
      </c>
      <c r="AN77" s="54">
        <f>VLOOKUP(C77,'[2]5月汇总'!$C:$AE,25,0)</f>
        <v>323.60000000000002</v>
      </c>
      <c r="AO77" s="55">
        <f t="shared" si="106"/>
        <v>323.60000000000002</v>
      </c>
      <c r="AP77" s="56">
        <f t="shared" si="107"/>
        <v>0.6472</v>
      </c>
      <c r="AQ77" s="59">
        <f>VLOOKUP(C77,[1]两年对比终版!$A:$W,6,0)</f>
        <v>0</v>
      </c>
      <c r="AR77" s="29"/>
      <c r="AS77" s="54">
        <f>VLOOKUP(C77,'[2]5月汇总'!$C:$AE,26,0)</f>
        <v>6</v>
      </c>
      <c r="AT77" s="55">
        <f t="shared" si="108"/>
        <v>6</v>
      </c>
      <c r="AU77" s="56">
        <f t="shared" si="109"/>
        <v>0.4</v>
      </c>
      <c r="AV77" s="60">
        <f>VLOOKUP(C77,[1]两年对比终版!$A:$N,14,0)</f>
        <v>0</v>
      </c>
      <c r="AW77" s="55">
        <f t="shared" si="97"/>
        <v>6</v>
      </c>
      <c r="AX77" s="45"/>
      <c r="AY77" s="55">
        <f>VLOOKUP(C77,'[2]5月汇总'!$C:$AE,27,0)</f>
        <v>16.8</v>
      </c>
      <c r="AZ77" s="55">
        <f t="shared" si="110"/>
        <v>16.8</v>
      </c>
      <c r="BA77" s="62">
        <f t="shared" si="111"/>
        <v>8.3582089552238809E-2</v>
      </c>
      <c r="BB77" s="55">
        <f>VLOOKUP(C77,[1]两年对比终版!$A:$W,17,0)</f>
        <v>0</v>
      </c>
      <c r="BC77" s="61">
        <f t="shared" si="99"/>
        <v>16.8</v>
      </c>
      <c r="BD77" s="45"/>
      <c r="BE77" s="55">
        <f>VLOOKUP(C77,'[2]5月汇总'!$C:$AE,28,0)</f>
        <v>1</v>
      </c>
      <c r="BF77" s="55">
        <f t="shared" si="112"/>
        <v>1</v>
      </c>
      <c r="BG77" s="62">
        <f t="shared" si="113"/>
        <v>6.6666666666666666E-2</v>
      </c>
      <c r="BH77" s="55">
        <f>VLOOKUP(C77,[1]两年对比终版!$A:$W,20,0)</f>
        <v>0</v>
      </c>
      <c r="BI77" s="45"/>
      <c r="BJ77" s="55">
        <f>VLOOKUP(C77,'[2]5月汇总'!$C:$AE,29,0)</f>
        <v>2.1</v>
      </c>
      <c r="BK77" s="55">
        <f t="shared" si="102"/>
        <v>2.1</v>
      </c>
      <c r="BL77" s="62">
        <f t="shared" si="103"/>
        <v>1.0447761194029851E-2</v>
      </c>
      <c r="BM77" s="55">
        <f>VLOOKUP(C77,[1]两年对比终版!$A:$W,23,0)</f>
        <v>0</v>
      </c>
      <c r="BN77" s="45"/>
    </row>
    <row r="78" spans="1:68">
      <c r="A78" s="52">
        <v>66</v>
      </c>
      <c r="B78" s="52" t="s">
        <v>39</v>
      </c>
      <c r="C78" s="52" t="s">
        <v>101</v>
      </c>
      <c r="D78" s="53">
        <v>34</v>
      </c>
      <c r="E78" s="53">
        <v>1</v>
      </c>
      <c r="F78" s="44">
        <v>2.94117647058823E-2</v>
      </c>
      <c r="G78" s="53">
        <v>0</v>
      </c>
      <c r="H78" s="29">
        <v>1</v>
      </c>
      <c r="I78" s="53">
        <v>520</v>
      </c>
      <c r="J78" s="53">
        <v>5.4529699999999997</v>
      </c>
      <c r="K78" s="44">
        <v>1.04864807692308E-2</v>
      </c>
      <c r="L78" s="53">
        <v>0</v>
      </c>
      <c r="M78" s="29">
        <v>1</v>
      </c>
      <c r="N78" s="53">
        <v>15</v>
      </c>
      <c r="O78" s="53">
        <v>0</v>
      </c>
      <c r="P78" s="44">
        <v>0</v>
      </c>
      <c r="Q78" s="53">
        <v>0</v>
      </c>
      <c r="R78" s="29" t="e">
        <v>#DIV/0!</v>
      </c>
      <c r="S78" s="53">
        <v>210</v>
      </c>
      <c r="T78" s="53">
        <v>0</v>
      </c>
      <c r="U78" s="44">
        <v>0</v>
      </c>
      <c r="V78" s="53">
        <v>0</v>
      </c>
      <c r="W78" s="29" t="e">
        <v>#DIV/0!</v>
      </c>
      <c r="X78" s="53">
        <v>15</v>
      </c>
      <c r="Y78" s="53">
        <v>0</v>
      </c>
      <c r="Z78" s="44">
        <v>0</v>
      </c>
      <c r="AA78" s="53">
        <v>0</v>
      </c>
      <c r="AB78" s="29" t="e">
        <v>#DIV/0!</v>
      </c>
      <c r="AC78" s="53">
        <v>210</v>
      </c>
      <c r="AD78" s="53">
        <v>0</v>
      </c>
      <c r="AE78" s="44">
        <v>0</v>
      </c>
      <c r="AF78" s="53">
        <v>0</v>
      </c>
      <c r="AG78" s="29" t="e">
        <f t="shared" si="94"/>
        <v>#DIV/0!</v>
      </c>
      <c r="AH78" s="54">
        <f>VLOOKUP(C78,'[2]5月汇总'!$C:$AE,24,0)</f>
        <v>0</v>
      </c>
      <c r="AI78" s="55">
        <f t="shared" si="104"/>
        <v>1</v>
      </c>
      <c r="AJ78" s="56">
        <f t="shared" si="105"/>
        <v>2.9411764705882353E-2</v>
      </c>
      <c r="AK78" s="57">
        <f>VLOOKUP(C78,[1]两年对比终版!$A:$W,3,0)</f>
        <v>0</v>
      </c>
      <c r="AL78" s="57"/>
      <c r="AM78" s="29" t="e">
        <f t="shared" si="95"/>
        <v>#DIV/0!</v>
      </c>
      <c r="AN78" s="54">
        <f>VLOOKUP(C78,'[2]5月汇总'!$C:$AE,25,0)</f>
        <v>6</v>
      </c>
      <c r="AO78" s="55">
        <f t="shared" si="106"/>
        <v>11.452970000000001</v>
      </c>
      <c r="AP78" s="56">
        <f t="shared" si="107"/>
        <v>2.2024942307692308E-2</v>
      </c>
      <c r="AQ78" s="59">
        <f>VLOOKUP(C78,[1]两年对比终版!$A:$W,6,0)</f>
        <v>0</v>
      </c>
      <c r="AR78" s="29"/>
      <c r="AS78" s="54">
        <v>0</v>
      </c>
      <c r="AT78" s="55">
        <f t="shared" si="108"/>
        <v>0</v>
      </c>
      <c r="AU78" s="56">
        <f t="shared" si="109"/>
        <v>0</v>
      </c>
      <c r="AV78" s="60">
        <f>VLOOKUP(C78,[1]两年对比终版!$A:$N,14,0)</f>
        <v>0</v>
      </c>
      <c r="AW78" s="55">
        <f t="shared" si="97"/>
        <v>0</v>
      </c>
      <c r="AX78" s="45"/>
      <c r="AY78" s="55">
        <v>0</v>
      </c>
      <c r="AZ78" s="55">
        <f t="shared" si="110"/>
        <v>0</v>
      </c>
      <c r="BA78" s="62">
        <f t="shared" si="111"/>
        <v>0</v>
      </c>
      <c r="BB78" s="55">
        <f>VLOOKUP(C78,[1]两年对比终版!$A:$W,17,0)</f>
        <v>0</v>
      </c>
      <c r="BC78" s="61">
        <f t="shared" si="99"/>
        <v>0</v>
      </c>
      <c r="BD78" s="45"/>
      <c r="BE78" s="55">
        <v>0</v>
      </c>
      <c r="BF78" s="55">
        <f t="shared" si="112"/>
        <v>0</v>
      </c>
      <c r="BG78" s="62">
        <f t="shared" si="113"/>
        <v>0</v>
      </c>
      <c r="BH78" s="55">
        <f>VLOOKUP(C78,[1]两年对比终版!$A:$W,20,0)</f>
        <v>0</v>
      </c>
      <c r="BI78" s="45"/>
      <c r="BJ78" s="55">
        <f>VLOOKUP(C78,'[2]5月汇总'!$C:$AE,29,0)</f>
        <v>9</v>
      </c>
      <c r="BK78" s="55">
        <f t="shared" si="102"/>
        <v>9</v>
      </c>
      <c r="BL78" s="62">
        <f t="shared" si="103"/>
        <v>4.2857142857142858E-2</v>
      </c>
      <c r="BM78" s="55">
        <f>VLOOKUP(C78,[1]两年对比终版!$A:$W,23,0)</f>
        <v>0</v>
      </c>
      <c r="BN78" s="45"/>
    </row>
    <row r="79" spans="1:68" s="77" customFormat="1">
      <c r="A79" s="78" t="s">
        <v>102</v>
      </c>
      <c r="B79" s="79"/>
      <c r="C79" s="79"/>
      <c r="D79" s="68">
        <v>118</v>
      </c>
      <c r="E79" s="68">
        <v>1</v>
      </c>
      <c r="F79" s="69">
        <v>8.4745762711864406E-3</v>
      </c>
      <c r="G79" s="68">
        <v>0</v>
      </c>
      <c r="H79" s="70">
        <v>1</v>
      </c>
      <c r="I79" s="68">
        <v>1540</v>
      </c>
      <c r="J79" s="68">
        <v>5.4529699999999997</v>
      </c>
      <c r="K79" s="69">
        <v>3.5408896103896002E-3</v>
      </c>
      <c r="L79" s="68">
        <v>0</v>
      </c>
      <c r="M79" s="70">
        <v>1</v>
      </c>
      <c r="N79" s="68">
        <v>45</v>
      </c>
      <c r="O79" s="68">
        <v>0</v>
      </c>
      <c r="P79" s="69">
        <v>0</v>
      </c>
      <c r="Q79" s="68">
        <v>0</v>
      </c>
      <c r="R79" s="70" t="e">
        <v>#DIV/0!</v>
      </c>
      <c r="S79" s="68">
        <v>621</v>
      </c>
      <c r="T79" s="68">
        <v>0</v>
      </c>
      <c r="U79" s="69">
        <v>0</v>
      </c>
      <c r="V79" s="68">
        <v>0</v>
      </c>
      <c r="W79" s="70" t="e">
        <v>#DIV/0!</v>
      </c>
      <c r="X79" s="68">
        <v>45</v>
      </c>
      <c r="Y79" s="68">
        <v>0</v>
      </c>
      <c r="Z79" s="69">
        <v>0</v>
      </c>
      <c r="AA79" s="68">
        <v>0</v>
      </c>
      <c r="AB79" s="70" t="e">
        <v>#DIV/0!</v>
      </c>
      <c r="AC79" s="68">
        <v>621</v>
      </c>
      <c r="AD79" s="68">
        <v>0</v>
      </c>
      <c r="AE79" s="69">
        <v>0</v>
      </c>
      <c r="AF79" s="68">
        <v>0</v>
      </c>
      <c r="AG79" s="70" t="e">
        <f t="shared" si="94"/>
        <v>#DIV/0!</v>
      </c>
      <c r="AH79" s="68">
        <f>SUM(AH76:AH78)</f>
        <v>31</v>
      </c>
      <c r="AI79" s="71">
        <f t="shared" si="104"/>
        <v>32</v>
      </c>
      <c r="AJ79" s="41">
        <f t="shared" si="105"/>
        <v>0.2711864406779661</v>
      </c>
      <c r="AK79" s="72">
        <f>SUM(AK76:AK78)</f>
        <v>0</v>
      </c>
      <c r="AL79" s="72"/>
      <c r="AM79" s="70" t="e">
        <f t="shared" si="95"/>
        <v>#DIV/0!</v>
      </c>
      <c r="AN79" s="68">
        <f>SUM(AN76:AN78)</f>
        <v>329.6</v>
      </c>
      <c r="AO79" s="71">
        <f t="shared" si="106"/>
        <v>335.05297000000002</v>
      </c>
      <c r="AP79" s="41">
        <f t="shared" si="107"/>
        <v>0.21756686363636366</v>
      </c>
      <c r="AQ79" s="72">
        <f>SUM(AQ76:AQ78)</f>
        <v>0</v>
      </c>
      <c r="AR79" s="70"/>
      <c r="AS79" s="68">
        <f>SUM(AS76:AS78)</f>
        <v>6</v>
      </c>
      <c r="AT79" s="71">
        <f t="shared" si="108"/>
        <v>6</v>
      </c>
      <c r="AU79" s="41">
        <f t="shared" si="109"/>
        <v>0.13333333333333333</v>
      </c>
      <c r="AV79" s="72">
        <f>SUM(AV76:AV78)</f>
        <v>0</v>
      </c>
      <c r="AW79" s="71">
        <f t="shared" si="97"/>
        <v>6</v>
      </c>
      <c r="AX79" s="74"/>
      <c r="AY79" s="71">
        <f>SUM(AY76:AY78)</f>
        <v>16.8</v>
      </c>
      <c r="AZ79" s="71">
        <f t="shared" si="110"/>
        <v>16.8</v>
      </c>
      <c r="BA79" s="75">
        <f t="shared" si="111"/>
        <v>2.7053140096618359E-2</v>
      </c>
      <c r="BB79" s="71">
        <f>SUM(BB76:BB78)</f>
        <v>0</v>
      </c>
      <c r="BC79" s="76">
        <f t="shared" si="99"/>
        <v>16.8</v>
      </c>
      <c r="BD79" s="74"/>
      <c r="BE79" s="71">
        <f>SUM(BE76:BE78)</f>
        <v>1</v>
      </c>
      <c r="BF79" s="71">
        <f t="shared" si="112"/>
        <v>1</v>
      </c>
      <c r="BG79" s="75">
        <f t="shared" si="113"/>
        <v>2.2222222222222223E-2</v>
      </c>
      <c r="BH79" s="71">
        <f t="shared" ref="BH79:BM79" si="115">SUM(BH76:BH78)</f>
        <v>0</v>
      </c>
      <c r="BI79" s="74"/>
      <c r="BJ79" s="71">
        <f t="shared" si="115"/>
        <v>11.1</v>
      </c>
      <c r="BK79" s="71">
        <f t="shared" si="102"/>
        <v>11.1</v>
      </c>
      <c r="BL79" s="75">
        <f t="shared" si="103"/>
        <v>1.7874396135265699E-2</v>
      </c>
      <c r="BM79" s="71">
        <f t="shared" si="115"/>
        <v>0</v>
      </c>
      <c r="BN79" s="74"/>
    </row>
    <row r="80" spans="1:68">
      <c r="A80" s="52">
        <v>67</v>
      </c>
      <c r="B80" s="52"/>
      <c r="C80" s="52" t="s">
        <v>103</v>
      </c>
      <c r="D80" s="53"/>
      <c r="E80" s="53">
        <v>0</v>
      </c>
      <c r="F80" s="44"/>
      <c r="G80" s="53">
        <v>0</v>
      </c>
      <c r="H80" s="29" t="e">
        <v>#DIV/0!</v>
      </c>
      <c r="I80" s="53">
        <v>1402</v>
      </c>
      <c r="J80" s="53">
        <v>402.9128586768</v>
      </c>
      <c r="K80" s="44">
        <v>0.28738434998345203</v>
      </c>
      <c r="L80" s="53">
        <v>311.58418128</v>
      </c>
      <c r="M80" s="29">
        <v>0.22667104171540001</v>
      </c>
      <c r="N80" s="53">
        <v>0</v>
      </c>
      <c r="O80" s="53">
        <v>0</v>
      </c>
      <c r="P80" s="44"/>
      <c r="Q80" s="53">
        <v>0</v>
      </c>
      <c r="R80" s="29" t="e">
        <v>#DIV/0!</v>
      </c>
      <c r="S80" s="53">
        <v>600</v>
      </c>
      <c r="T80" s="53">
        <v>95.229619510000006</v>
      </c>
      <c r="U80" s="44">
        <v>0.15871603251666699</v>
      </c>
      <c r="V80" s="53">
        <v>350.25346499070002</v>
      </c>
      <c r="W80" s="29">
        <v>-2.6779887055405101</v>
      </c>
      <c r="X80" s="53">
        <v>0</v>
      </c>
      <c r="Y80" s="53">
        <v>0</v>
      </c>
      <c r="Z80" s="44"/>
      <c r="AA80" s="53">
        <v>0</v>
      </c>
      <c r="AB80" s="29" t="e">
        <v>#DIV/0!</v>
      </c>
      <c r="AC80" s="53">
        <v>600</v>
      </c>
      <c r="AD80" s="53">
        <v>95.229619510000006</v>
      </c>
      <c r="AE80" s="44">
        <v>0.15871603251666699</v>
      </c>
      <c r="AF80" s="53">
        <v>350.25346499070002</v>
      </c>
      <c r="AG80" s="29">
        <f t="shared" si="94"/>
        <v>-0.72811227003127987</v>
      </c>
      <c r="AH80" s="54">
        <f>VLOOKUP(C80,'[2]5月汇总'!$C:$AE,24,0)</f>
        <v>0</v>
      </c>
      <c r="AI80" s="55">
        <f t="shared" si="104"/>
        <v>0</v>
      </c>
      <c r="AJ80" s="56"/>
      <c r="AK80" s="57">
        <f>VLOOKUP(C80,[1]两年对比终版!$A:$C,3,0)</f>
        <v>0</v>
      </c>
      <c r="AL80" s="57"/>
      <c r="AM80" s="29" t="e">
        <f t="shared" si="95"/>
        <v>#DIV/0!</v>
      </c>
      <c r="AN80" s="54">
        <f>VLOOKUP(C80,'[2]5月汇总'!$C:$AE,25,0)</f>
        <v>22</v>
      </c>
      <c r="AO80" s="55">
        <f t="shared" si="106"/>
        <v>424.9128586768</v>
      </c>
      <c r="AP80" s="56">
        <f t="shared" si="107"/>
        <v>0.30307621874236806</v>
      </c>
      <c r="AQ80" s="59">
        <v>1730.42433504</v>
      </c>
      <c r="AR80" s="29">
        <f t="shared" si="96"/>
        <v>-0.75444586043285289</v>
      </c>
      <c r="AS80" s="54">
        <f>VLOOKUP(C80,'[2]5月汇总'!$C:$AE,26,0)</f>
        <v>0</v>
      </c>
      <c r="AT80" s="55">
        <f t="shared" si="108"/>
        <v>0</v>
      </c>
      <c r="AU80" s="56"/>
      <c r="AV80" s="60">
        <f>VLOOKUP(C80,[1]两年对比终版!$A:$N,14,0)</f>
        <v>0</v>
      </c>
      <c r="AW80" s="55">
        <f t="shared" si="97"/>
        <v>0</v>
      </c>
      <c r="AX80" s="45"/>
      <c r="AY80" s="55">
        <f>VLOOKUP(C80,'[2]5月汇总'!$C:$AE,27,0)</f>
        <v>22</v>
      </c>
      <c r="AZ80" s="55">
        <f t="shared" si="110"/>
        <v>117.22961951000001</v>
      </c>
      <c r="BA80" s="62">
        <f t="shared" si="111"/>
        <v>0.19538269918333334</v>
      </c>
      <c r="BB80" s="53">
        <v>478.30637452069999</v>
      </c>
      <c r="BC80" s="61">
        <f t="shared" si="99"/>
        <v>-361.07675501069997</v>
      </c>
      <c r="BD80" s="45">
        <f t="shared" si="100"/>
        <v>-0.7549068426539931</v>
      </c>
      <c r="BE80" s="55">
        <f>VLOOKUP(C80,'[2]5月汇总'!$C:$AE,28,0)</f>
        <v>0</v>
      </c>
      <c r="BF80" s="55">
        <f t="shared" si="112"/>
        <v>0</v>
      </c>
      <c r="BG80" s="62"/>
      <c r="BH80" s="53">
        <f>VLOOKUP(C80,[1]两年对比终版!$A:$W,20,0)</f>
        <v>0</v>
      </c>
      <c r="BI80" s="45" t="e">
        <f t="shared" si="101"/>
        <v>#DIV/0!</v>
      </c>
      <c r="BJ80" s="55">
        <f>VLOOKUP(C80,'[2]5月汇总'!$C:$AE,29,0)</f>
        <v>13</v>
      </c>
      <c r="BK80" s="55">
        <f t="shared" si="102"/>
        <v>108.22961951000001</v>
      </c>
      <c r="BL80" s="62">
        <f t="shared" si="103"/>
        <v>0.18038269918333336</v>
      </c>
      <c r="BM80" s="53">
        <v>488.30637452069999</v>
      </c>
      <c r="BN80" s="45">
        <f>(BK80-BM80)/BM80</f>
        <v>-0.77835714388075838</v>
      </c>
    </row>
    <row r="81" spans="1:66">
      <c r="A81" s="52">
        <v>68</v>
      </c>
      <c r="B81" s="52"/>
      <c r="C81" s="52" t="s">
        <v>104</v>
      </c>
      <c r="D81" s="53"/>
      <c r="E81" s="53">
        <v>0</v>
      </c>
      <c r="F81" s="44"/>
      <c r="G81" s="53">
        <v>0</v>
      </c>
      <c r="H81" s="29" t="e">
        <v>#DIV/0!</v>
      </c>
      <c r="I81" s="53">
        <v>720</v>
      </c>
      <c r="J81" s="53">
        <v>143.33000000000001</v>
      </c>
      <c r="K81" s="44">
        <v>0.19906944444444399</v>
      </c>
      <c r="L81" s="53">
        <v>0</v>
      </c>
      <c r="M81" s="29">
        <v>1</v>
      </c>
      <c r="N81" s="53">
        <v>0</v>
      </c>
      <c r="O81" s="53">
        <v>0</v>
      </c>
      <c r="P81" s="44"/>
      <c r="Q81" s="53">
        <v>0</v>
      </c>
      <c r="R81" s="29" t="e">
        <v>#DIV/0!</v>
      </c>
      <c r="S81" s="53">
        <v>300</v>
      </c>
      <c r="T81" s="53">
        <v>0</v>
      </c>
      <c r="U81" s="44">
        <v>0</v>
      </c>
      <c r="V81" s="53">
        <v>0</v>
      </c>
      <c r="W81" s="29" t="e">
        <v>#DIV/0!</v>
      </c>
      <c r="X81" s="53">
        <v>0</v>
      </c>
      <c r="Y81" s="53">
        <v>0</v>
      </c>
      <c r="Z81" s="44"/>
      <c r="AA81" s="53">
        <v>0</v>
      </c>
      <c r="AB81" s="29" t="e">
        <v>#DIV/0!</v>
      </c>
      <c r="AC81" s="53">
        <v>300</v>
      </c>
      <c r="AD81" s="53">
        <v>0</v>
      </c>
      <c r="AE81" s="44">
        <v>0</v>
      </c>
      <c r="AF81" s="53">
        <v>0</v>
      </c>
      <c r="AG81" s="29" t="e">
        <f t="shared" si="94"/>
        <v>#DIV/0!</v>
      </c>
      <c r="AH81" s="54">
        <f>VLOOKUP(C81,'[2]5月汇总'!$C:$AE,24,0)</f>
        <v>0</v>
      </c>
      <c r="AI81" s="55">
        <f t="shared" si="104"/>
        <v>0</v>
      </c>
      <c r="AJ81" s="56"/>
      <c r="AK81" s="57">
        <f>VLOOKUP(C81,[1]两年对比终版!$A:$C,3,0)</f>
        <v>0</v>
      </c>
      <c r="AL81" s="57"/>
      <c r="AM81" s="29" t="e">
        <f t="shared" si="95"/>
        <v>#DIV/0!</v>
      </c>
      <c r="AN81" s="54">
        <f>VLOOKUP(C81,'[2]5月汇总'!$C:$AE,25,0)</f>
        <v>0</v>
      </c>
      <c r="AO81" s="55">
        <f t="shared" si="106"/>
        <v>143.33000000000001</v>
      </c>
      <c r="AP81" s="56">
        <f t="shared" si="107"/>
        <v>0.19906944444444447</v>
      </c>
      <c r="AQ81" s="59">
        <f>VLOOKUP(C81,[1]两年对比终版!$A:$W,6,0)</f>
        <v>0</v>
      </c>
      <c r="AR81" s="29"/>
      <c r="AS81" s="54">
        <f>VLOOKUP(C81,'[2]5月汇总'!$C:$AE,26,0)</f>
        <v>0</v>
      </c>
      <c r="AT81" s="55">
        <f t="shared" si="108"/>
        <v>0</v>
      </c>
      <c r="AU81" s="56"/>
      <c r="AV81" s="60">
        <f>VLOOKUP(C81,[1]两年对比终版!$A:$N,14,0)</f>
        <v>0</v>
      </c>
      <c r="AW81" s="55">
        <f t="shared" si="97"/>
        <v>0</v>
      </c>
      <c r="AX81" s="45"/>
      <c r="AY81" s="55">
        <f>VLOOKUP(C81,'[2]5月汇总'!$C:$AE,27,0)</f>
        <v>0</v>
      </c>
      <c r="AZ81" s="55">
        <f t="shared" si="110"/>
        <v>0</v>
      </c>
      <c r="BA81" s="62">
        <f t="shared" si="111"/>
        <v>0</v>
      </c>
      <c r="BB81" s="55">
        <f>VLOOKUP(C81,[1]两年对比终版!$A:$W,17,0)</f>
        <v>0</v>
      </c>
      <c r="BC81" s="61">
        <f t="shared" si="99"/>
        <v>0</v>
      </c>
      <c r="BD81" s="45"/>
      <c r="BE81" s="55">
        <f>VLOOKUP(C81,'[2]5月汇总'!$C:$AE,28,0)</f>
        <v>0</v>
      </c>
      <c r="BF81" s="55">
        <f t="shared" si="112"/>
        <v>0</v>
      </c>
      <c r="BG81" s="62"/>
      <c r="BH81" s="55">
        <f>VLOOKUP(C81,[1]两年对比终版!$A:$W,20,0)</f>
        <v>0</v>
      </c>
      <c r="BI81" s="45"/>
      <c r="BJ81" s="55">
        <f>VLOOKUP(C81,'[2]5月汇总'!$C:$AE,29,0)</f>
        <v>0</v>
      </c>
      <c r="BK81" s="55"/>
      <c r="BL81" s="62"/>
      <c r="BM81" s="55">
        <f>VLOOKUP(C81,[1]两年对比终版!$A:$W,23,0)</f>
        <v>0</v>
      </c>
      <c r="BN81" s="45"/>
    </row>
    <row r="82" spans="1:66">
      <c r="A82" s="52">
        <v>69</v>
      </c>
      <c r="B82" s="52"/>
      <c r="C82" s="52" t="s">
        <v>105</v>
      </c>
      <c r="D82" s="53"/>
      <c r="E82" s="53">
        <v>0</v>
      </c>
      <c r="F82" s="44"/>
      <c r="G82" s="53">
        <v>0</v>
      </c>
      <c r="H82" s="29" t="e">
        <v>#DIV/0!</v>
      </c>
      <c r="I82" s="53">
        <v>720</v>
      </c>
      <c r="J82" s="53">
        <v>211.10104515</v>
      </c>
      <c r="K82" s="44">
        <v>0.29319589604166701</v>
      </c>
      <c r="L82" s="53">
        <v>0</v>
      </c>
      <c r="M82" s="29">
        <v>1</v>
      </c>
      <c r="N82" s="53">
        <v>0</v>
      </c>
      <c r="O82" s="53">
        <v>0</v>
      </c>
      <c r="P82" s="44"/>
      <c r="Q82" s="53">
        <v>0</v>
      </c>
      <c r="R82" s="29" t="e">
        <v>#DIV/0!</v>
      </c>
      <c r="S82" s="53">
        <v>300</v>
      </c>
      <c r="T82" s="53">
        <v>6.9669599399999997</v>
      </c>
      <c r="U82" s="44">
        <v>2.32231998E-2</v>
      </c>
      <c r="V82" s="53">
        <v>0</v>
      </c>
      <c r="W82" s="29">
        <v>1</v>
      </c>
      <c r="X82" s="53">
        <v>0</v>
      </c>
      <c r="Y82" s="53">
        <v>0</v>
      </c>
      <c r="Z82" s="44"/>
      <c r="AA82" s="53">
        <v>0</v>
      </c>
      <c r="AB82" s="29" t="e">
        <v>#DIV/0!</v>
      </c>
      <c r="AC82" s="53">
        <v>300</v>
      </c>
      <c r="AD82" s="53">
        <v>3.0215095915000001</v>
      </c>
      <c r="AE82" s="44">
        <v>1.00716986383333E-2</v>
      </c>
      <c r="AF82" s="53">
        <v>0</v>
      </c>
      <c r="AG82" s="29" t="e">
        <f t="shared" si="94"/>
        <v>#DIV/0!</v>
      </c>
      <c r="AH82" s="54">
        <f>VLOOKUP(C82,'[2]5月汇总'!$C:$AE,24,0)</f>
        <v>0</v>
      </c>
      <c r="AI82" s="55">
        <f t="shared" si="104"/>
        <v>0</v>
      </c>
      <c r="AJ82" s="56"/>
      <c r="AK82" s="57">
        <f>VLOOKUP(C82,[1]两年对比终版!$A:$C,3,0)</f>
        <v>0</v>
      </c>
      <c r="AL82" s="57"/>
      <c r="AM82" s="29" t="e">
        <f t="shared" si="95"/>
        <v>#DIV/0!</v>
      </c>
      <c r="AN82" s="54">
        <f>VLOOKUP(C82,'[2]5月汇总'!$C:$AE,25,0)</f>
        <v>0</v>
      </c>
      <c r="AO82" s="55">
        <f t="shared" si="106"/>
        <v>211.10104515</v>
      </c>
      <c r="AP82" s="56">
        <f t="shared" si="107"/>
        <v>0.29319589604166668</v>
      </c>
      <c r="AQ82" s="59">
        <f>VLOOKUP(C82,[1]两年对比终版!$A:$W,6,0)</f>
        <v>0</v>
      </c>
      <c r="AR82" s="29"/>
      <c r="AS82" s="54">
        <f>VLOOKUP(C82,'[2]5月汇总'!$C:$AE,26,0)</f>
        <v>0</v>
      </c>
      <c r="AT82" s="55">
        <f t="shared" si="108"/>
        <v>0</v>
      </c>
      <c r="AU82" s="56"/>
      <c r="AV82" s="60">
        <f>VLOOKUP(C82,[1]两年对比终版!$A:$N,14,0)</f>
        <v>0</v>
      </c>
      <c r="AW82" s="55">
        <f t="shared" si="97"/>
        <v>0</v>
      </c>
      <c r="AX82" s="45"/>
      <c r="AY82" s="55">
        <f>VLOOKUP(C82,'[2]5月汇总'!$C:$AE,27,0)</f>
        <v>0</v>
      </c>
      <c r="AZ82" s="55">
        <f t="shared" si="110"/>
        <v>6.9669599399999997</v>
      </c>
      <c r="BA82" s="62">
        <f t="shared" si="111"/>
        <v>2.32231998E-2</v>
      </c>
      <c r="BB82" s="55">
        <f>VLOOKUP(C82,[1]两年对比终版!$A:$W,17,0)</f>
        <v>0</v>
      </c>
      <c r="BC82" s="61">
        <f t="shared" si="99"/>
        <v>6.9669599399999997</v>
      </c>
      <c r="BD82" s="45"/>
      <c r="BE82" s="55">
        <f>VLOOKUP(C82,'[2]5月汇总'!$C:$AE,28,0)</f>
        <v>0</v>
      </c>
      <c r="BF82" s="55">
        <f t="shared" si="112"/>
        <v>0</v>
      </c>
      <c r="BG82" s="62"/>
      <c r="BH82" s="55">
        <f>VLOOKUP(C82,[1]两年对比终版!$A:$W,20,0)</f>
        <v>0</v>
      </c>
      <c r="BI82" s="45"/>
      <c r="BJ82" s="55">
        <f>VLOOKUP(C82,'[2]5月汇总'!$C:$AE,29,0)</f>
        <v>6.8459199999999996</v>
      </c>
      <c r="BK82" s="55">
        <f t="shared" si="102"/>
        <v>9.8674295914999988</v>
      </c>
      <c r="BL82" s="62">
        <f t="shared" si="103"/>
        <v>3.2891431971666663E-2</v>
      </c>
      <c r="BM82" s="55">
        <f>VLOOKUP(C82,[1]两年对比终版!$A:$W,23,0)</f>
        <v>0</v>
      </c>
      <c r="BN82" s="45"/>
    </row>
    <row r="83" spans="1:66">
      <c r="A83" s="52">
        <v>70</v>
      </c>
      <c r="B83" s="52"/>
      <c r="C83" s="52" t="s">
        <v>106</v>
      </c>
      <c r="D83" s="53"/>
      <c r="E83" s="53">
        <v>0</v>
      </c>
      <c r="F83" s="44"/>
      <c r="G83" s="53">
        <v>0</v>
      </c>
      <c r="H83" s="29" t="e">
        <v>#DIV/0!</v>
      </c>
      <c r="I83" s="53">
        <v>4800</v>
      </c>
      <c r="J83" s="53">
        <v>1305.51550411829</v>
      </c>
      <c r="K83" s="44">
        <v>0.27198239669131002</v>
      </c>
      <c r="L83" s="53">
        <v>565.06137414850002</v>
      </c>
      <c r="M83" s="29">
        <v>0.56717375445485296</v>
      </c>
      <c r="N83" s="53">
        <v>0</v>
      </c>
      <c r="O83" s="53">
        <v>0</v>
      </c>
      <c r="P83" s="44"/>
      <c r="Q83" s="53">
        <v>0</v>
      </c>
      <c r="R83" s="29" t="e">
        <v>#DIV/0!</v>
      </c>
      <c r="S83" s="53">
        <v>2000</v>
      </c>
      <c r="T83" s="53">
        <v>470.70975468975001</v>
      </c>
      <c r="U83" s="44">
        <v>0.23535487734487501</v>
      </c>
      <c r="V83" s="53">
        <v>346.07499213509999</v>
      </c>
      <c r="W83" s="29">
        <v>0.26478049650107199</v>
      </c>
      <c r="X83" s="53">
        <v>0</v>
      </c>
      <c r="Y83" s="53">
        <v>0</v>
      </c>
      <c r="Z83" s="44"/>
      <c r="AA83" s="53">
        <v>0</v>
      </c>
      <c r="AB83" s="29" t="e">
        <v>#DIV/0!</v>
      </c>
      <c r="AC83" s="53">
        <v>2000</v>
      </c>
      <c r="AD83" s="53">
        <v>434.47</v>
      </c>
      <c r="AE83" s="44">
        <v>0.21723500000000001</v>
      </c>
      <c r="AF83" s="53">
        <v>346.07499213509999</v>
      </c>
      <c r="AG83" s="29">
        <f t="shared" si="94"/>
        <v>0.25542154120859617</v>
      </c>
      <c r="AH83" s="54">
        <f>VLOOKUP(C83,'[2]5月汇总'!$C:$AE,24,0)</f>
        <v>0</v>
      </c>
      <c r="AI83" s="55">
        <f t="shared" si="104"/>
        <v>0</v>
      </c>
      <c r="AJ83" s="56"/>
      <c r="AK83" s="57">
        <f>VLOOKUP(C83,[1]两年对比终版!$A:$C,3,0)</f>
        <v>0</v>
      </c>
      <c r="AL83" s="57"/>
      <c r="AM83" s="29" t="e">
        <f t="shared" si="95"/>
        <v>#DIV/0!</v>
      </c>
      <c r="AN83" s="54">
        <f>VLOOKUP(C83,'[2]5月汇总'!$C:$AE,25,0)</f>
        <v>815</v>
      </c>
      <c r="AO83" s="55">
        <f t="shared" si="106"/>
        <v>2120.5155041182898</v>
      </c>
      <c r="AP83" s="56">
        <f t="shared" si="107"/>
        <v>0.44177406335797703</v>
      </c>
      <c r="AQ83" s="59">
        <v>2015.4942814075</v>
      </c>
      <c r="AR83" s="29">
        <f t="shared" si="96"/>
        <v>5.21069316244595E-2</v>
      </c>
      <c r="AS83" s="54">
        <f>VLOOKUP(C83,'[2]5月汇总'!$C:$AE,26,0)</f>
        <v>0</v>
      </c>
      <c r="AT83" s="55">
        <f t="shared" si="108"/>
        <v>0</v>
      </c>
      <c r="AU83" s="56"/>
      <c r="AV83" s="60">
        <f>VLOOKUP(C83,[1]两年对比终版!$A:$N,14,0)</f>
        <v>0</v>
      </c>
      <c r="AW83" s="55">
        <f t="shared" si="97"/>
        <v>0</v>
      </c>
      <c r="AX83" s="45"/>
      <c r="AY83" s="55">
        <f>VLOOKUP(C83,'[2]5月汇总'!$C:$AE,27,0)</f>
        <v>343</v>
      </c>
      <c r="AZ83" s="55">
        <f t="shared" si="110"/>
        <v>813.70975468975007</v>
      </c>
      <c r="BA83" s="62">
        <f t="shared" si="111"/>
        <v>0.40685487734487502</v>
      </c>
      <c r="BB83" s="55">
        <v>742.96756373200003</v>
      </c>
      <c r="BC83" s="61">
        <f t="shared" si="99"/>
        <v>70.74219095775004</v>
      </c>
      <c r="BD83" s="45">
        <f t="shared" si="100"/>
        <v>9.5215719246752803E-2</v>
      </c>
      <c r="BE83" s="55">
        <f>VLOOKUP(C83,'[2]5月汇总'!$C:$AE,28,0)</f>
        <v>0</v>
      </c>
      <c r="BF83" s="55">
        <f t="shared" si="112"/>
        <v>0</v>
      </c>
      <c r="BG83" s="62"/>
      <c r="BH83" s="55">
        <f>VLOOKUP(C83,[1]两年对比终版!$A:$W,20,0)</f>
        <v>0</v>
      </c>
      <c r="BI83" s="45" t="e">
        <f t="shared" si="101"/>
        <v>#DIV/0!</v>
      </c>
      <c r="BJ83" s="55">
        <f>VLOOKUP(C83,'[2]5月汇总'!$C:$AE,29,0)</f>
        <v>175.34</v>
      </c>
      <c r="BK83" s="55"/>
      <c r="BL83" s="62"/>
      <c r="BM83" s="55">
        <v>752.96756373200003</v>
      </c>
      <c r="BN83" s="45">
        <f>(BK83-BM83)/BM83</f>
        <v>-1</v>
      </c>
    </row>
    <row r="84" spans="1:66">
      <c r="A84" s="52">
        <v>71</v>
      </c>
      <c r="B84" s="52"/>
      <c r="C84" s="52" t="s">
        <v>107</v>
      </c>
      <c r="D84" s="53"/>
      <c r="E84" s="53">
        <v>0</v>
      </c>
      <c r="F84" s="44"/>
      <c r="G84" s="53">
        <v>0</v>
      </c>
      <c r="H84" s="29" t="e">
        <v>#DIV/0!</v>
      </c>
      <c r="I84" s="53">
        <v>2400</v>
      </c>
      <c r="J84" s="53">
        <v>623.077660798078</v>
      </c>
      <c r="K84" s="44">
        <v>0.25961569199919898</v>
      </c>
      <c r="L84" s="53">
        <v>0</v>
      </c>
      <c r="M84" s="29">
        <v>1</v>
      </c>
      <c r="N84" s="53">
        <v>0</v>
      </c>
      <c r="O84" s="53">
        <v>0</v>
      </c>
      <c r="P84" s="44"/>
      <c r="Q84" s="53">
        <v>0</v>
      </c>
      <c r="R84" s="29" t="e">
        <v>#DIV/0!</v>
      </c>
      <c r="S84" s="53">
        <v>1000</v>
      </c>
      <c r="T84" s="53">
        <v>0</v>
      </c>
      <c r="U84" s="44">
        <v>0</v>
      </c>
      <c r="V84" s="53">
        <v>0</v>
      </c>
      <c r="W84" s="29" t="e">
        <v>#DIV/0!</v>
      </c>
      <c r="X84" s="53">
        <v>0</v>
      </c>
      <c r="Y84" s="53">
        <v>0</v>
      </c>
      <c r="Z84" s="44"/>
      <c r="AA84" s="53">
        <v>0</v>
      </c>
      <c r="AB84" s="29" t="e">
        <v>#DIV/0!</v>
      </c>
      <c r="AC84" s="53">
        <v>1000</v>
      </c>
      <c r="AD84" s="53">
        <v>0</v>
      </c>
      <c r="AE84" s="44">
        <v>0</v>
      </c>
      <c r="AF84" s="53">
        <v>0</v>
      </c>
      <c r="AG84" s="29" t="e">
        <f t="shared" si="94"/>
        <v>#DIV/0!</v>
      </c>
      <c r="AH84" s="54">
        <f>VLOOKUP(C84,'[2]5月汇总'!$C:$AE,24,0)</f>
        <v>0</v>
      </c>
      <c r="AI84" s="55">
        <f t="shared" si="104"/>
        <v>0</v>
      </c>
      <c r="AJ84" s="56"/>
      <c r="AK84" s="57">
        <f>VLOOKUP(C84,[1]两年对比终版!$A:$C,3,0)</f>
        <v>0</v>
      </c>
      <c r="AL84" s="57"/>
      <c r="AM84" s="29" t="e">
        <f t="shared" si="95"/>
        <v>#DIV/0!</v>
      </c>
      <c r="AN84" s="54">
        <f>VLOOKUP(C84,'[2]5月汇总'!$C:$AE,25,0)</f>
        <v>400</v>
      </c>
      <c r="AO84" s="55">
        <f t="shared" si="106"/>
        <v>1023.077660798078</v>
      </c>
      <c r="AP84" s="56">
        <f t="shared" si="107"/>
        <v>0.42628235866586583</v>
      </c>
      <c r="AQ84" s="59">
        <f>VLOOKUP(C84,[1]两年对比终版!$A:$W,6,0)</f>
        <v>0</v>
      </c>
      <c r="AR84" s="29"/>
      <c r="AS84" s="54">
        <f>VLOOKUP(C84,'[2]5月汇总'!$C:$AE,26,0)</f>
        <v>0</v>
      </c>
      <c r="AT84" s="55">
        <f t="shared" si="108"/>
        <v>0</v>
      </c>
      <c r="AU84" s="56"/>
      <c r="AV84" s="60">
        <f>VLOOKUP(C84,[1]两年对比终版!$A:$N,14,0)</f>
        <v>0</v>
      </c>
      <c r="AW84" s="55">
        <f t="shared" si="97"/>
        <v>0</v>
      </c>
      <c r="AX84" s="45"/>
      <c r="AY84" s="55">
        <f>VLOOKUP(C84,'[2]5月汇总'!$C:$AE,27,0)</f>
        <v>350</v>
      </c>
      <c r="AZ84" s="55">
        <f t="shared" si="110"/>
        <v>350</v>
      </c>
      <c r="BA84" s="62">
        <f t="shared" si="111"/>
        <v>0.35</v>
      </c>
      <c r="BB84" s="55">
        <f>VLOOKUP(C84,[1]两年对比终版!$A:$W,17,0)</f>
        <v>0</v>
      </c>
      <c r="BC84" s="61">
        <f t="shared" si="99"/>
        <v>350</v>
      </c>
      <c r="BD84" s="45"/>
      <c r="BE84" s="55">
        <f>VLOOKUP(C84,'[2]5月汇总'!$C:$AE,28,0)</f>
        <v>0</v>
      </c>
      <c r="BF84" s="55">
        <f t="shared" si="112"/>
        <v>0</v>
      </c>
      <c r="BG84" s="62"/>
      <c r="BH84" s="55">
        <f>VLOOKUP(C84,[1]两年对比终版!$A:$W,20,0)</f>
        <v>0</v>
      </c>
      <c r="BI84" s="45"/>
      <c r="BJ84" s="55">
        <f>VLOOKUP(C84,'[2]5月汇总'!$C:$AE,29,0)</f>
        <v>350</v>
      </c>
      <c r="BK84" s="55">
        <v>400</v>
      </c>
      <c r="BL84" s="62"/>
      <c r="BM84" s="55">
        <f>VLOOKUP(C84,[1]两年对比终版!$A:$W,23,0)</f>
        <v>0</v>
      </c>
      <c r="BN84" s="45"/>
    </row>
    <row r="85" spans="1:66">
      <c r="A85" s="52">
        <v>72</v>
      </c>
      <c r="B85" s="52"/>
      <c r="C85" s="52" t="s">
        <v>108</v>
      </c>
      <c r="D85" s="53"/>
      <c r="E85" s="53">
        <v>132</v>
      </c>
      <c r="F85" s="44"/>
      <c r="G85" s="53">
        <v>0</v>
      </c>
      <c r="H85" s="29">
        <v>1</v>
      </c>
      <c r="I85" s="53">
        <v>1960</v>
      </c>
      <c r="J85" s="53">
        <v>700.31841399999996</v>
      </c>
      <c r="K85" s="44">
        <v>0.35730531326530601</v>
      </c>
      <c r="L85" s="53">
        <v>0</v>
      </c>
      <c r="M85" s="29">
        <v>1</v>
      </c>
      <c r="N85" s="53">
        <v>0</v>
      </c>
      <c r="O85" s="53"/>
      <c r="P85" s="44"/>
      <c r="Q85" s="53">
        <v>0</v>
      </c>
      <c r="R85" s="29" t="e">
        <v>#DIV/0!</v>
      </c>
      <c r="S85" s="53">
        <v>1000</v>
      </c>
      <c r="T85" s="53">
        <v>253.59090800000001</v>
      </c>
      <c r="U85" s="44">
        <v>0.253590908</v>
      </c>
      <c r="V85" s="53">
        <v>0</v>
      </c>
      <c r="W85" s="29">
        <v>1</v>
      </c>
      <c r="X85" s="53">
        <v>0</v>
      </c>
      <c r="Y85" s="53"/>
      <c r="Z85" s="44"/>
      <c r="AA85" s="53" t="s">
        <v>109</v>
      </c>
      <c r="AB85" s="29" t="e">
        <v>#VALUE!</v>
      </c>
      <c r="AC85" s="53">
        <v>1000</v>
      </c>
      <c r="AD85" s="53">
        <v>42.833193000000001</v>
      </c>
      <c r="AE85" s="44">
        <v>4.2833192999999999E-2</v>
      </c>
      <c r="AF85" s="53">
        <v>82.46</v>
      </c>
      <c r="AG85" s="29">
        <f t="shared" si="94"/>
        <v>-0.48055793111811784</v>
      </c>
      <c r="AH85" s="54">
        <f>VLOOKUP(C85,'[2]5月汇总'!$C:$AE,24,0)</f>
        <v>0</v>
      </c>
      <c r="AI85" s="55">
        <f t="shared" si="104"/>
        <v>132</v>
      </c>
      <c r="AJ85" s="56"/>
      <c r="AK85" s="57">
        <f>VLOOKUP(C85,[1]两年对比终版!$A:$W,3,0)</f>
        <v>0</v>
      </c>
      <c r="AL85" s="57"/>
      <c r="AM85" s="29" t="e">
        <f t="shared" si="95"/>
        <v>#DIV/0!</v>
      </c>
      <c r="AN85" s="54">
        <f>VLOOKUP(C85,'[2]5月汇总'!$C:$AE,25,0)</f>
        <v>600</v>
      </c>
      <c r="AO85" s="55">
        <f t="shared" si="106"/>
        <v>1300.3184139999998</v>
      </c>
      <c r="AP85" s="56">
        <f t="shared" si="107"/>
        <v>0.66342776224489786</v>
      </c>
      <c r="AQ85" s="59">
        <v>271.17180000000002</v>
      </c>
      <c r="AR85" s="29">
        <f t="shared" si="96"/>
        <v>3.7951830315689157</v>
      </c>
      <c r="AS85" s="54">
        <f>VLOOKUP(C85,'[2]5月汇总'!$C:$AE,26,0)</f>
        <v>0</v>
      </c>
      <c r="AT85" s="55">
        <f t="shared" si="108"/>
        <v>0</v>
      </c>
      <c r="AU85" s="56"/>
      <c r="AV85" s="60">
        <f>VLOOKUP(C85,[1]两年对比终版!$A:$N,14,0)</f>
        <v>0</v>
      </c>
      <c r="AW85" s="55">
        <f t="shared" si="97"/>
        <v>0</v>
      </c>
      <c r="AX85" s="45"/>
      <c r="AY85" s="55">
        <f>VLOOKUP(C85,'[2]5月汇总'!$C:$AE,27,0)</f>
        <v>243</v>
      </c>
      <c r="AZ85" s="55">
        <f t="shared" si="110"/>
        <v>496.59090800000001</v>
      </c>
      <c r="BA85" s="62">
        <f t="shared" si="111"/>
        <v>0.496590908</v>
      </c>
      <c r="BB85" s="55">
        <v>271.17180000000002</v>
      </c>
      <c r="BC85" s="61">
        <f t="shared" si="99"/>
        <v>225.41910799999999</v>
      </c>
      <c r="BD85" s="45">
        <f t="shared" si="100"/>
        <v>0.83127783936235244</v>
      </c>
      <c r="BE85" s="55">
        <f>VLOOKUP(C85,'[2]5月汇总'!$C:$AE,28,0)</f>
        <v>0</v>
      </c>
      <c r="BF85" s="55">
        <f t="shared" si="112"/>
        <v>0</v>
      </c>
      <c r="BG85" s="62"/>
      <c r="BH85" s="55" t="str">
        <f>VLOOKUP(C85,[1]两年对比终版!$A:$W,20,0)</f>
        <v>-</v>
      </c>
      <c r="BI85" s="45" t="e">
        <f t="shared" si="101"/>
        <v>#VALUE!</v>
      </c>
      <c r="BJ85" s="55">
        <f>VLOOKUP(C85,'[2]5月汇总'!$C:$AE,29,0)</f>
        <v>168.95</v>
      </c>
      <c r="BK85" s="55"/>
      <c r="BL85" s="62"/>
      <c r="BM85" s="55">
        <v>152.15352100000001</v>
      </c>
      <c r="BN85" s="45">
        <f>(BK85-BM85)/BM85</f>
        <v>-1</v>
      </c>
    </row>
    <row r="86" spans="1:66" s="77" customFormat="1">
      <c r="A86" s="78" t="s">
        <v>110</v>
      </c>
      <c r="B86" s="79"/>
      <c r="C86" s="79"/>
      <c r="D86" s="68">
        <v>0</v>
      </c>
      <c r="E86" s="68">
        <v>0</v>
      </c>
      <c r="F86" s="69">
        <v>0</v>
      </c>
      <c r="G86" s="68">
        <v>0</v>
      </c>
      <c r="H86" s="70" t="e">
        <v>#DIV/0!</v>
      </c>
      <c r="I86" s="68">
        <v>12002</v>
      </c>
      <c r="J86" s="68">
        <v>3386.25548274317</v>
      </c>
      <c r="K86" s="69">
        <v>0.28214093340636298</v>
      </c>
      <c r="L86" s="68">
        <v>876.64555542849996</v>
      </c>
      <c r="M86" s="70">
        <v>0.74111653420835899</v>
      </c>
      <c r="N86" s="68">
        <v>0</v>
      </c>
      <c r="O86" s="68">
        <v>0</v>
      </c>
      <c r="P86" s="69">
        <v>0</v>
      </c>
      <c r="Q86" s="68">
        <v>0</v>
      </c>
      <c r="R86" s="70" t="e">
        <v>#DIV/0!</v>
      </c>
      <c r="S86" s="68">
        <v>5200</v>
      </c>
      <c r="T86" s="68">
        <v>826.49724213975003</v>
      </c>
      <c r="U86" s="69">
        <v>0.15894177733456699</v>
      </c>
      <c r="V86" s="68">
        <v>696.32845712580001</v>
      </c>
      <c r="W86" s="70">
        <v>0.15749451828411601</v>
      </c>
      <c r="X86" s="68">
        <v>0</v>
      </c>
      <c r="Y86" s="68">
        <v>0</v>
      </c>
      <c r="Z86" s="69">
        <v>0</v>
      </c>
      <c r="AA86" s="68">
        <v>0</v>
      </c>
      <c r="AB86" s="70" t="e">
        <v>#DIV/0!</v>
      </c>
      <c r="AC86" s="68">
        <v>5200</v>
      </c>
      <c r="AD86" s="68">
        <v>575.55432210150002</v>
      </c>
      <c r="AE86" s="69">
        <v>0.110683523481058</v>
      </c>
      <c r="AF86" s="68">
        <f>SUM(AF80:AF85)</f>
        <v>778.78845712580005</v>
      </c>
      <c r="AG86" s="70">
        <f t="shared" si="94"/>
        <v>-0.26096192510910704</v>
      </c>
      <c r="AH86" s="68">
        <f>SUM(AH80:AH85)</f>
        <v>0</v>
      </c>
      <c r="AI86" s="71">
        <f t="shared" si="104"/>
        <v>0</v>
      </c>
      <c r="AJ86" s="71">
        <f>AI86+F86</f>
        <v>0</v>
      </c>
      <c r="AK86" s="68">
        <f t="shared" ref="AK86:AQ86" si="116">SUM(AK80:AK85)</f>
        <v>0</v>
      </c>
      <c r="AL86" s="68"/>
      <c r="AM86" s="70" t="e">
        <f t="shared" si="95"/>
        <v>#DIV/0!</v>
      </c>
      <c r="AN86" s="68">
        <f t="shared" si="116"/>
        <v>1837</v>
      </c>
      <c r="AO86" s="71">
        <f t="shared" si="106"/>
        <v>5223.2554827431704</v>
      </c>
      <c r="AP86" s="41">
        <f t="shared" si="107"/>
        <v>0.43519875710241379</v>
      </c>
      <c r="AQ86" s="68">
        <f t="shared" si="116"/>
        <v>4017.0904164475</v>
      </c>
      <c r="AR86" s="70">
        <f t="shared" si="96"/>
        <v>0.30025838137901267</v>
      </c>
      <c r="AS86" s="68">
        <f>SUM(AS80:AS85)</f>
        <v>0</v>
      </c>
      <c r="AT86" s="71">
        <f t="shared" si="108"/>
        <v>0</v>
      </c>
      <c r="AU86" s="71">
        <f>AT86+P86</f>
        <v>0</v>
      </c>
      <c r="AV86" s="68">
        <f>SUM(AV80:AV85)</f>
        <v>0</v>
      </c>
      <c r="AW86" s="71">
        <f t="shared" si="97"/>
        <v>0</v>
      </c>
      <c r="AX86" s="74" t="e">
        <f t="shared" si="98"/>
        <v>#DIV/0!</v>
      </c>
      <c r="AY86" s="71">
        <f>SUM(AY80:AY85)</f>
        <v>958</v>
      </c>
      <c r="AZ86" s="71">
        <f t="shared" si="110"/>
        <v>1784.4972421397501</v>
      </c>
      <c r="BA86" s="75">
        <f t="shared" si="111"/>
        <v>0.34317254656533658</v>
      </c>
      <c r="BB86" s="71">
        <f>SUM(BB80:BB85)</f>
        <v>1492.4457382527</v>
      </c>
      <c r="BC86" s="76">
        <f t="shared" si="99"/>
        <v>292.0515038870501</v>
      </c>
      <c r="BD86" s="74">
        <f t="shared" si="100"/>
        <v>0.19568651402293066</v>
      </c>
      <c r="BE86" s="71">
        <f>SUM(BE80:BE85)</f>
        <v>0</v>
      </c>
      <c r="BF86" s="71">
        <f t="shared" si="112"/>
        <v>0</v>
      </c>
      <c r="BG86" s="75">
        <f>BF86+Z86</f>
        <v>0</v>
      </c>
      <c r="BH86" s="71">
        <f t="shared" ref="BH86:BM86" si="117">SUM(BH80:BH85)</f>
        <v>0</v>
      </c>
      <c r="BI86" s="74" t="e">
        <f t="shared" si="101"/>
        <v>#DIV/0!</v>
      </c>
      <c r="BJ86" s="71">
        <f t="shared" si="117"/>
        <v>714.13591999999994</v>
      </c>
      <c r="BK86" s="71">
        <f>BJ86+AD86</f>
        <v>1289.6902421015</v>
      </c>
      <c r="BL86" s="75">
        <f>BK86/AC86</f>
        <v>0.24801735425028845</v>
      </c>
      <c r="BM86" s="71">
        <f t="shared" si="117"/>
        <v>1393.4274592526999</v>
      </c>
      <c r="BN86" s="74">
        <f>(BK86-BM86)/BM86</f>
        <v>-7.4447518930647882E-2</v>
      </c>
    </row>
    <row r="87" spans="1:66" s="77" customFormat="1">
      <c r="A87" s="78" t="s">
        <v>111</v>
      </c>
      <c r="B87" s="79"/>
      <c r="C87" s="79"/>
      <c r="D87" s="68">
        <v>15930</v>
      </c>
      <c r="E87" s="68">
        <v>3956</v>
      </c>
      <c r="F87" s="69">
        <v>0.248336472065286</v>
      </c>
      <c r="G87" s="68">
        <v>5253</v>
      </c>
      <c r="H87" s="70">
        <v>-0.32785642062689602</v>
      </c>
      <c r="I87" s="68">
        <v>245000.01699999999</v>
      </c>
      <c r="J87" s="68">
        <v>58074.291369999999</v>
      </c>
      <c r="K87" s="69">
        <v>0.23703790751165499</v>
      </c>
      <c r="L87" s="68">
        <v>78628.324502000003</v>
      </c>
      <c r="M87" s="70">
        <v>-0.35392654214318697</v>
      </c>
      <c r="N87" s="68">
        <v>6500.3197</v>
      </c>
      <c r="O87" s="68">
        <v>1465</v>
      </c>
      <c r="P87" s="69">
        <v>0.225373530474201</v>
      </c>
      <c r="Q87" s="68">
        <v>1758</v>
      </c>
      <c r="R87" s="70">
        <v>-0.2</v>
      </c>
      <c r="S87" s="68">
        <v>100000.413</v>
      </c>
      <c r="T87" s="68">
        <f t="shared" ref="T87" si="118">T15+T25+T37+T49+T58+T68+T75+T79+T86</f>
        <v>23683.197852139747</v>
      </c>
      <c r="U87" s="69">
        <v>0.22856606212216299</v>
      </c>
      <c r="V87" s="68">
        <v>29964.344283999999</v>
      </c>
      <c r="W87" s="70">
        <v>-0.31096542739376598</v>
      </c>
      <c r="X87" s="68">
        <v>6500.3197</v>
      </c>
      <c r="Y87" s="68">
        <v>1118</v>
      </c>
      <c r="Z87" s="69">
        <v>0.171991540662223</v>
      </c>
      <c r="AA87" s="68">
        <v>1095</v>
      </c>
      <c r="AB87" s="70">
        <v>2.0572450805008899E-2</v>
      </c>
      <c r="AC87" s="68">
        <v>100000.413</v>
      </c>
      <c r="AD87" s="68">
        <f>AD15+AD25+AD37+AD49+AD58+AD68+AD75+AD79+AD86</f>
        <v>20057.7487221015</v>
      </c>
      <c r="AE87" s="69">
        <v>0.194821139388694</v>
      </c>
      <c r="AF87" s="68">
        <v>17038.829465999999</v>
      </c>
      <c r="AG87" s="70">
        <f t="shared" si="94"/>
        <v>0.17717879400844874</v>
      </c>
      <c r="AH87" s="68">
        <f>AH15+AH25+AH37+AH49+AH58+AH68+AH75+AH79+AH86</f>
        <v>3117</v>
      </c>
      <c r="AI87" s="71">
        <f t="shared" si="104"/>
        <v>7073</v>
      </c>
      <c r="AJ87" s="41">
        <f>AI87/D87</f>
        <v>0.44400502197112368</v>
      </c>
      <c r="AK87" s="68">
        <f>AK15+AK25+AK37+AK49+AK58+AK68+AK75+AK79+AK86</f>
        <v>7711</v>
      </c>
      <c r="AL87" s="68"/>
      <c r="AM87" s="70">
        <f t="shared" si="95"/>
        <v>-8.2738944365192579E-2</v>
      </c>
      <c r="AN87" s="68">
        <f>AN15+AN25+AN37+AN49+AN58+AN68+AN75+AN79+AN86</f>
        <v>39064.259800000007</v>
      </c>
      <c r="AO87" s="71">
        <f t="shared" si="106"/>
        <v>97138.551170000006</v>
      </c>
      <c r="AP87" s="41">
        <f t="shared" si="107"/>
        <v>0.39648385481540604</v>
      </c>
      <c r="AQ87" s="68">
        <f>AQ15+AQ25+AQ37+AQ49+AQ58+AQ68+AQ75+AQ79+AQ86</f>
        <v>111140.23078544742</v>
      </c>
      <c r="AR87" s="70">
        <f t="shared" si="96"/>
        <v>-0.12598209951963479</v>
      </c>
      <c r="AS87" s="68">
        <f>AS15+AS25+AS37+AS49+AS58+AS68+AS75+AS79</f>
        <v>1574</v>
      </c>
      <c r="AT87" s="71">
        <f t="shared" si="108"/>
        <v>3039</v>
      </c>
      <c r="AU87" s="41">
        <f>AT87/N87</f>
        <v>0.46751546697003227</v>
      </c>
      <c r="AV87" s="68">
        <f t="shared" ref="AV87:BB87" si="119">AV15+AV25+AV37+AV49+AV58+AV68+AV75+AV79+AV86</f>
        <v>2414</v>
      </c>
      <c r="AW87" s="71">
        <f t="shared" si="97"/>
        <v>625</v>
      </c>
      <c r="AX87" s="74">
        <f t="shared" si="98"/>
        <v>0.25890637945318973</v>
      </c>
      <c r="AY87" s="71">
        <f t="shared" si="119"/>
        <v>17236.3105</v>
      </c>
      <c r="AZ87" s="71">
        <f t="shared" si="110"/>
        <v>40919.508352139746</v>
      </c>
      <c r="BA87" s="75">
        <f t="shared" si="111"/>
        <v>0.40919339355268208</v>
      </c>
      <c r="BB87" s="71">
        <f t="shared" si="119"/>
        <v>37342.901758252687</v>
      </c>
      <c r="BC87" s="76">
        <f t="shared" si="99"/>
        <v>3576.6065938870597</v>
      </c>
      <c r="BD87" s="74">
        <f t="shared" si="100"/>
        <v>9.5777414862963581E-2</v>
      </c>
      <c r="BE87" s="71">
        <f>BE15+BE25+BE37+BE49+BE58+BE68+BE75+BE79</f>
        <v>1294</v>
      </c>
      <c r="BF87" s="71">
        <f t="shared" si="112"/>
        <v>2412</v>
      </c>
      <c r="BG87" s="75">
        <f>BF87/X87</f>
        <v>0.37105867269882126</v>
      </c>
      <c r="BH87" s="71">
        <f>BH15+BH25+BH37+BH49+BH58+BH68+BH75+BH79+BH86</f>
        <v>1669</v>
      </c>
      <c r="BI87" s="74">
        <f t="shared" si="101"/>
        <v>0.44517675254643502</v>
      </c>
      <c r="BJ87" s="71">
        <f>BJ15+BJ25+BJ37+BJ49+BJ58+BJ68+BJ75+BJ79+BJ86</f>
        <v>17508.0702064</v>
      </c>
      <c r="BK87" s="71">
        <f>BK86+BK79+BK75+BK68+BK58+BK49+BK37+BK25+BK15</f>
        <v>37565.818928501496</v>
      </c>
      <c r="BL87" s="75">
        <f t="shared" si="103"/>
        <v>0.37565663782310077</v>
      </c>
      <c r="BM87" s="71">
        <f>BM15+BM25+BM37+BM49+BM58+BM68+BM75+BM79+BM86</f>
        <v>28113.403326252697</v>
      </c>
      <c r="BN87" s="74">
        <f>(BK87-BM87)/BM87</f>
        <v>0.3362245222520604</v>
      </c>
    </row>
    <row r="89" spans="1:66"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</row>
    <row r="91" spans="1:66">
      <c r="AZ91" s="51"/>
    </row>
  </sheetData>
  <autoFilter ref="A4:BN87"/>
  <mergeCells count="23">
    <mergeCell ref="A1:BL1"/>
    <mergeCell ref="D3:H3"/>
    <mergeCell ref="I3:M3"/>
    <mergeCell ref="N3:R3"/>
    <mergeCell ref="S3:W3"/>
    <mergeCell ref="X3:AB3"/>
    <mergeCell ref="AC3:AG3"/>
    <mergeCell ref="AS3:BD3"/>
    <mergeCell ref="BE3:BN3"/>
    <mergeCell ref="A3:A4"/>
    <mergeCell ref="B3:B4"/>
    <mergeCell ref="C3:C4"/>
    <mergeCell ref="AH3:AR3"/>
    <mergeCell ref="A15:C15"/>
    <mergeCell ref="A25:C25"/>
    <mergeCell ref="A37:C37"/>
    <mergeCell ref="A49:C49"/>
    <mergeCell ref="A58:C58"/>
    <mergeCell ref="A68:C68"/>
    <mergeCell ref="A75:C75"/>
    <mergeCell ref="A79:C79"/>
    <mergeCell ref="A86:C86"/>
    <mergeCell ref="A87:C87"/>
  </mergeCells>
  <phoneticPr fontId="7" type="noConversion"/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6"/>
  <sheetViews>
    <sheetView tabSelected="1" workbookViewId="0">
      <pane xSplit="3" ySplit="4" topLeftCell="AQ5" activePane="bottomRight" state="frozen"/>
      <selection pane="topRight"/>
      <selection pane="bottomLeft"/>
      <selection pane="bottomRight" activeCell="AR5" sqref="AR5:AR15"/>
    </sheetView>
  </sheetViews>
  <sheetFormatPr defaultColWidth="9" defaultRowHeight="13.5"/>
  <cols>
    <col min="1" max="1" width="6" customWidth="1"/>
    <col min="2" max="2" width="8" customWidth="1"/>
    <col min="3" max="3" width="18" customWidth="1"/>
    <col min="4" max="32" width="10" customWidth="1"/>
    <col min="33" max="34" width="9" customWidth="1"/>
    <col min="35" max="38" width="11" customWidth="1"/>
    <col min="39" max="39" width="9" customWidth="1"/>
    <col min="40" max="40" width="11" customWidth="1"/>
    <col min="41" max="41" width="10.75" customWidth="1"/>
    <col min="42" max="43" width="9" style="5" customWidth="1"/>
    <col min="44" max="48" width="9" customWidth="1"/>
    <col min="50" max="51" width="9" customWidth="1"/>
    <col min="52" max="52" width="12.625" style="5" customWidth="1"/>
    <col min="53" max="53" width="10.375"/>
    <col min="55" max="57" width="9" customWidth="1"/>
    <col min="58" max="59" width="10.375"/>
    <col min="60" max="61" width="9" customWidth="1"/>
    <col min="62" max="63" width="12.625" style="5" customWidth="1"/>
  </cols>
  <sheetData>
    <row r="1" spans="1:63" ht="18.75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6"/>
      <c r="BK1" s="6"/>
    </row>
    <row r="2" spans="1:63">
      <c r="A2" t="s">
        <v>1</v>
      </c>
      <c r="C2" t="s">
        <v>2</v>
      </c>
      <c r="AP2"/>
      <c r="AQ2"/>
      <c r="AZ2"/>
      <c r="BJ2"/>
      <c r="BK2"/>
    </row>
    <row r="3" spans="1:63" ht="25.5" customHeight="1">
      <c r="A3" s="88" t="s">
        <v>3</v>
      </c>
      <c r="B3" s="88" t="s">
        <v>4</v>
      </c>
      <c r="C3" s="88" t="s">
        <v>5</v>
      </c>
      <c r="D3" s="82" t="s">
        <v>6</v>
      </c>
      <c r="E3" s="83"/>
      <c r="F3" s="83"/>
      <c r="G3" s="83"/>
      <c r="H3" s="84"/>
      <c r="I3" s="82" t="s">
        <v>7</v>
      </c>
      <c r="J3" s="83"/>
      <c r="K3" s="83"/>
      <c r="L3" s="83"/>
      <c r="M3" s="84"/>
      <c r="N3" s="82" t="s">
        <v>8</v>
      </c>
      <c r="O3" s="83"/>
      <c r="P3" s="83"/>
      <c r="Q3" s="83"/>
      <c r="R3" s="84"/>
      <c r="S3" s="82" t="s">
        <v>9</v>
      </c>
      <c r="T3" s="83"/>
      <c r="U3" s="83"/>
      <c r="V3" s="83"/>
      <c r="W3" s="84"/>
      <c r="X3" s="82" t="s">
        <v>10</v>
      </c>
      <c r="Y3" s="83"/>
      <c r="Z3" s="83"/>
      <c r="AA3" s="83"/>
      <c r="AB3" s="84"/>
      <c r="AC3" s="82" t="s">
        <v>11</v>
      </c>
      <c r="AD3" s="83"/>
      <c r="AE3" s="83"/>
      <c r="AF3" s="83"/>
      <c r="AG3" s="83"/>
      <c r="AH3" s="85" t="s">
        <v>112</v>
      </c>
      <c r="AI3" s="86"/>
      <c r="AJ3" s="86"/>
      <c r="AK3" s="86"/>
      <c r="AL3" s="86"/>
      <c r="AM3" s="86"/>
      <c r="AN3" s="86"/>
      <c r="AO3" s="86"/>
      <c r="AP3" s="86"/>
      <c r="AQ3" s="86"/>
      <c r="AR3" s="85" t="s">
        <v>113</v>
      </c>
      <c r="AS3" s="86"/>
      <c r="AT3" s="86"/>
      <c r="AU3" s="86"/>
      <c r="AV3" s="86"/>
      <c r="AW3" s="86"/>
      <c r="AX3" s="86"/>
      <c r="AY3" s="86"/>
      <c r="AZ3" s="86"/>
      <c r="BA3" s="86"/>
      <c r="BB3" s="85" t="s">
        <v>114</v>
      </c>
      <c r="BC3" s="86"/>
      <c r="BD3" s="86"/>
      <c r="BE3" s="86"/>
      <c r="BF3" s="86"/>
      <c r="BG3" s="86"/>
      <c r="BH3" s="86"/>
      <c r="BI3" s="86"/>
      <c r="BJ3" s="86"/>
      <c r="BK3" s="87"/>
    </row>
    <row r="4" spans="1:63" ht="29.25" customHeight="1">
      <c r="A4" s="89"/>
      <c r="B4" s="89"/>
      <c r="C4" s="89"/>
      <c r="D4" s="8" t="s">
        <v>15</v>
      </c>
      <c r="E4" s="8" t="s">
        <v>16</v>
      </c>
      <c r="F4" s="8" t="s">
        <v>17</v>
      </c>
      <c r="G4" s="9" t="s">
        <v>18</v>
      </c>
      <c r="H4" s="9" t="s">
        <v>19</v>
      </c>
      <c r="I4" s="8" t="s">
        <v>15</v>
      </c>
      <c r="J4" s="8" t="s">
        <v>16</v>
      </c>
      <c r="K4" s="8" t="s">
        <v>17</v>
      </c>
      <c r="L4" s="9" t="s">
        <v>18</v>
      </c>
      <c r="M4" s="9" t="s">
        <v>19</v>
      </c>
      <c r="N4" s="8" t="s">
        <v>15</v>
      </c>
      <c r="O4" s="8" t="s">
        <v>16</v>
      </c>
      <c r="P4" s="8" t="s">
        <v>17</v>
      </c>
      <c r="Q4" s="9" t="s">
        <v>18</v>
      </c>
      <c r="R4" s="9" t="s">
        <v>19</v>
      </c>
      <c r="S4" s="8" t="s">
        <v>15</v>
      </c>
      <c r="T4" s="8" t="s">
        <v>16</v>
      </c>
      <c r="U4" s="8" t="s">
        <v>17</v>
      </c>
      <c r="V4" s="9" t="s">
        <v>18</v>
      </c>
      <c r="W4" s="9" t="s">
        <v>19</v>
      </c>
      <c r="X4" s="8" t="s">
        <v>15</v>
      </c>
      <c r="Y4" s="8" t="s">
        <v>16</v>
      </c>
      <c r="Z4" s="8" t="s">
        <v>17</v>
      </c>
      <c r="AA4" s="9" t="s">
        <v>18</v>
      </c>
      <c r="AB4" s="9" t="s">
        <v>19</v>
      </c>
      <c r="AC4" s="8" t="s">
        <v>15</v>
      </c>
      <c r="AD4" s="8" t="s">
        <v>16</v>
      </c>
      <c r="AE4" s="8" t="s">
        <v>17</v>
      </c>
      <c r="AF4" s="9" t="s">
        <v>18</v>
      </c>
      <c r="AG4" s="9" t="s">
        <v>19</v>
      </c>
      <c r="AH4" s="10" t="s">
        <v>115</v>
      </c>
      <c r="AI4" s="10" t="s">
        <v>116</v>
      </c>
      <c r="AJ4" s="10" t="s">
        <v>17</v>
      </c>
      <c r="AK4" s="11" t="s">
        <v>18</v>
      </c>
      <c r="AL4" s="11" t="s">
        <v>19</v>
      </c>
      <c r="AM4" s="10" t="s">
        <v>117</v>
      </c>
      <c r="AN4" s="10" t="s">
        <v>118</v>
      </c>
      <c r="AO4" s="10" t="s">
        <v>17</v>
      </c>
      <c r="AP4" s="11" t="s">
        <v>18</v>
      </c>
      <c r="AQ4" s="11" t="s">
        <v>19</v>
      </c>
      <c r="AR4" s="10" t="s">
        <v>115</v>
      </c>
      <c r="AS4" s="10" t="s">
        <v>116</v>
      </c>
      <c r="AT4" s="10" t="s">
        <v>17</v>
      </c>
      <c r="AU4" s="11" t="s">
        <v>18</v>
      </c>
      <c r="AV4" s="11" t="s">
        <v>19</v>
      </c>
      <c r="AW4" s="10" t="s">
        <v>149</v>
      </c>
      <c r="AX4" s="10" t="s">
        <v>119</v>
      </c>
      <c r="AY4" s="10" t="s">
        <v>17</v>
      </c>
      <c r="AZ4" s="11" t="s">
        <v>18</v>
      </c>
      <c r="BA4" s="11" t="s">
        <v>19</v>
      </c>
      <c r="BB4" s="10" t="s">
        <v>115</v>
      </c>
      <c r="BC4" s="10" t="s">
        <v>116</v>
      </c>
      <c r="BD4" s="10" t="s">
        <v>17</v>
      </c>
      <c r="BE4" s="11" t="s">
        <v>18</v>
      </c>
      <c r="BF4" s="11" t="s">
        <v>19</v>
      </c>
      <c r="BG4" s="10" t="s">
        <v>117</v>
      </c>
      <c r="BH4" s="10" t="s">
        <v>118</v>
      </c>
      <c r="BI4" s="10" t="s">
        <v>17</v>
      </c>
      <c r="BJ4" s="11" t="s">
        <v>18</v>
      </c>
      <c r="BK4" s="11" t="s">
        <v>19</v>
      </c>
    </row>
    <row r="5" spans="1:63">
      <c r="A5" s="12">
        <v>1</v>
      </c>
      <c r="B5" s="12" t="s">
        <v>25</v>
      </c>
      <c r="C5" s="12" t="s">
        <v>26</v>
      </c>
      <c r="D5" s="13">
        <v>1683</v>
      </c>
      <c r="E5" s="13">
        <v>429</v>
      </c>
      <c r="F5" s="14">
        <v>0.25490196078431399</v>
      </c>
      <c r="G5" s="13">
        <v>448</v>
      </c>
      <c r="H5" s="15">
        <f>(E5-G5)/E5</f>
        <v>-4.4289044289044302E-2</v>
      </c>
      <c r="I5" s="13">
        <v>35680</v>
      </c>
      <c r="J5" s="13">
        <v>8320.51</v>
      </c>
      <c r="K5" s="14">
        <v>0.233198150224215</v>
      </c>
      <c r="L5" s="13">
        <v>8425.6545999999998</v>
      </c>
      <c r="M5" s="15">
        <f>(J5-L5)/J5</f>
        <v>-1.2636797503999099E-2</v>
      </c>
      <c r="N5" s="13">
        <v>750</v>
      </c>
      <c r="O5" s="13">
        <v>291</v>
      </c>
      <c r="P5" s="14">
        <v>0.38800000000000001</v>
      </c>
      <c r="Q5" s="13">
        <v>189</v>
      </c>
      <c r="R5" s="15">
        <f>(O5-Q5)/O5</f>
        <v>0.35051546391752603</v>
      </c>
      <c r="S5" s="13">
        <v>14500</v>
      </c>
      <c r="T5" s="13">
        <v>5446.15</v>
      </c>
      <c r="U5" s="14">
        <v>0.37559655172413797</v>
      </c>
      <c r="V5" s="13">
        <v>3547.1565999999998</v>
      </c>
      <c r="W5" s="15">
        <f>(T5-V5)/T5</f>
        <v>0.34868547506036401</v>
      </c>
      <c r="X5" s="13">
        <v>750</v>
      </c>
      <c r="Y5" s="13">
        <v>166</v>
      </c>
      <c r="Z5" s="14">
        <v>0.22133333333333299</v>
      </c>
      <c r="AA5" s="13">
        <v>134</v>
      </c>
      <c r="AB5" s="15">
        <f>(Y5-AA5)/Y5</f>
        <v>0.19277108433734899</v>
      </c>
      <c r="AC5" s="13">
        <v>14500</v>
      </c>
      <c r="AD5" s="13">
        <v>3443.34</v>
      </c>
      <c r="AE5" s="14">
        <v>0.237471724137931</v>
      </c>
      <c r="AF5" s="13">
        <v>2418.3665999999998</v>
      </c>
      <c r="AG5" s="15">
        <f>(AD5-AF5)/AD5</f>
        <v>0.29766836850267497</v>
      </c>
      <c r="AH5" s="105">
        <v>290</v>
      </c>
      <c r="AI5" s="16">
        <f>E5+AH5</f>
        <v>719</v>
      </c>
      <c r="AJ5" s="17">
        <f>AI5/D5</f>
        <v>0.42721330956625075</v>
      </c>
      <c r="AK5" s="18">
        <f>VLOOKUP(C5,[1]两年对比终版!$A:$C,3,0)</f>
        <v>714</v>
      </c>
      <c r="AL5" s="15">
        <f>(AI5-AK5)/AI5</f>
        <v>6.954102920723227E-3</v>
      </c>
      <c r="AM5" s="105">
        <v>5230</v>
      </c>
      <c r="AN5" s="16">
        <f>AM5+J5</f>
        <v>13550.51</v>
      </c>
      <c r="AO5" s="17">
        <f>AN5/I5</f>
        <v>0.37977886771300451</v>
      </c>
      <c r="AP5" s="19">
        <f>VLOOKUP(C5,[1]两年对比终版!$A:$F,6,0)</f>
        <v>12648.62736</v>
      </c>
      <c r="AQ5" s="15">
        <f>(AN5-AP5)/AN5</f>
        <v>6.6557099326888788E-2</v>
      </c>
      <c r="AR5" s="105">
        <v>58</v>
      </c>
      <c r="AS5" s="16">
        <f>AR5+O5</f>
        <v>349</v>
      </c>
      <c r="AT5" s="17">
        <f>AS5/N5</f>
        <v>0.46533333333333332</v>
      </c>
      <c r="AU5" s="7">
        <f>VLOOKUP(C5,[1]两年对比终版!$A:$W,14,0)</f>
        <v>371</v>
      </c>
      <c r="AV5" s="15">
        <f>(AS5-AU5)/AS5</f>
        <v>-6.3037249283667621E-2</v>
      </c>
      <c r="AW5" s="105">
        <v>1140</v>
      </c>
      <c r="AX5" s="16">
        <f>AW5+T5</f>
        <v>6586.15</v>
      </c>
      <c r="AY5" s="17">
        <f>AX5/S5</f>
        <v>0.4542172413793103</v>
      </c>
      <c r="AZ5" s="19">
        <f>VLOOKUP(C5,[1]两年对比终版!$A:$W,17,0)</f>
        <v>6707.2803599999997</v>
      </c>
      <c r="BA5" s="15">
        <f>(AX5-AZ5)/AX5</f>
        <v>-1.8391679509273267E-2</v>
      </c>
      <c r="BB5" s="105">
        <v>114</v>
      </c>
      <c r="BC5" s="16">
        <f>BB5+Y5</f>
        <v>280</v>
      </c>
      <c r="BD5" s="17">
        <f>BC5/X5</f>
        <v>0.37333333333333335</v>
      </c>
      <c r="BE5" s="18">
        <f>VLOOKUP(C5,[1]两年对比终版!$A:$W,20,0)</f>
        <v>223</v>
      </c>
      <c r="BF5" s="15">
        <f>(BC5-BE5)/BC5</f>
        <v>0.20357142857142857</v>
      </c>
      <c r="BG5" s="105">
        <v>2627</v>
      </c>
      <c r="BH5" s="16">
        <f>BG5+AD5</f>
        <v>6070.34</v>
      </c>
      <c r="BI5" s="17">
        <f>BH5/AC5</f>
        <v>0.4186441379310345</v>
      </c>
      <c r="BJ5" s="20">
        <f>VLOOKUP(C5,[1]两年对比终版!$A:$W,23,0)</f>
        <v>4120.0565999999999</v>
      </c>
      <c r="BK5" s="15">
        <f>(BH5-BJ5)/BH5</f>
        <v>0.32128075198423817</v>
      </c>
    </row>
    <row r="6" spans="1:63">
      <c r="A6" s="12">
        <v>2</v>
      </c>
      <c r="B6" s="12" t="s">
        <v>25</v>
      </c>
      <c r="C6" s="12" t="s">
        <v>27</v>
      </c>
      <c r="D6" s="13">
        <v>1683</v>
      </c>
      <c r="E6" s="13">
        <v>289</v>
      </c>
      <c r="F6" s="14">
        <v>0.17171717171717199</v>
      </c>
      <c r="G6" s="13">
        <v>280</v>
      </c>
      <c r="H6" s="15">
        <f t="shared" ref="H6:H37" si="0">(E6-G6)/E6</f>
        <v>3.1141868512110701E-2</v>
      </c>
      <c r="I6" s="13">
        <v>35680</v>
      </c>
      <c r="J6" s="13">
        <v>7186.16</v>
      </c>
      <c r="K6" s="14">
        <v>0.20140582959641301</v>
      </c>
      <c r="L6" s="13">
        <v>5541.0212000000001</v>
      </c>
      <c r="M6" s="15">
        <f t="shared" ref="M6:M37" si="1">(J6-L6)/J6</f>
        <v>0.22893155732686199</v>
      </c>
      <c r="N6" s="13">
        <v>750</v>
      </c>
      <c r="O6" s="13">
        <v>179</v>
      </c>
      <c r="P6" s="14">
        <v>0.238666666666667</v>
      </c>
      <c r="Q6" s="13">
        <v>117</v>
      </c>
      <c r="R6" s="15">
        <f t="shared" ref="R6:R37" si="2">(O6-Q6)/O6</f>
        <v>0.34636871508379902</v>
      </c>
      <c r="S6" s="13">
        <v>14500</v>
      </c>
      <c r="T6" s="13">
        <v>2931.35</v>
      </c>
      <c r="U6" s="14">
        <v>0.202162068965517</v>
      </c>
      <c r="V6" s="13">
        <v>2772.4712</v>
      </c>
      <c r="W6" s="15">
        <f t="shared" ref="W6:W37" si="3">(T6-V6)/T6</f>
        <v>5.41998737782933E-2</v>
      </c>
      <c r="X6" s="13">
        <v>750</v>
      </c>
      <c r="Y6" s="13">
        <v>175</v>
      </c>
      <c r="Z6" s="14">
        <v>0.233333333333333</v>
      </c>
      <c r="AA6" s="13">
        <v>32</v>
      </c>
      <c r="AB6" s="15">
        <f t="shared" ref="AB6:AB37" si="4">(Y6-AA6)/Y6</f>
        <v>0.81714285714285695</v>
      </c>
      <c r="AC6" s="13">
        <v>14500</v>
      </c>
      <c r="AD6" s="13">
        <v>3358.53</v>
      </c>
      <c r="AE6" s="14">
        <v>0.23162275862069001</v>
      </c>
      <c r="AF6" s="13">
        <v>871.6712</v>
      </c>
      <c r="AG6" s="15">
        <f t="shared" ref="AG6:AG37" si="5">(AD6-AF6)/AD6</f>
        <v>0.74046049908739797</v>
      </c>
      <c r="AH6" s="105"/>
      <c r="AI6" s="16">
        <f t="shared" ref="AI6:AI14" si="6">E6+AH6</f>
        <v>289</v>
      </c>
      <c r="AJ6" s="17">
        <f t="shared" ref="AJ6:AJ16" si="7">AI6/D6</f>
        <v>0.17171717171717171</v>
      </c>
      <c r="AK6" s="18">
        <f>VLOOKUP(C6,[1]两年对比终版!$A:$C,3,0)</f>
        <v>500</v>
      </c>
      <c r="AL6" s="15">
        <f t="shared" ref="AL6:AL37" si="8">(AI6-AK6)/AI6</f>
        <v>-0.73010380622837368</v>
      </c>
      <c r="AM6" s="105"/>
      <c r="AN6" s="16">
        <f t="shared" ref="AN6:AN16" si="9">AM6+J6</f>
        <v>7186.16</v>
      </c>
      <c r="AO6" s="17">
        <f t="shared" ref="AO6:AO16" si="10">AN6/I6</f>
        <v>0.20140582959641254</v>
      </c>
      <c r="AP6" s="19">
        <f>VLOOKUP(C6,[1]两年对比终版!$A:$F,6,0)</f>
        <v>9367.9865399999999</v>
      </c>
      <c r="AQ6" s="15">
        <f t="shared" ref="AQ6:AQ37" si="11">(AN6-AP6)/AN6</f>
        <v>-0.3036150795417859</v>
      </c>
      <c r="AR6" s="105"/>
      <c r="AS6" s="16">
        <f t="shared" ref="AS6:AS16" si="12">AR6+O6</f>
        <v>179</v>
      </c>
      <c r="AT6" s="17">
        <f t="shared" ref="AT6:AT16" si="13">AS6/N6</f>
        <v>0.23866666666666667</v>
      </c>
      <c r="AU6" s="7">
        <f>VLOOKUP(C6,[1]两年对比终版!$A:$W,14,0)</f>
        <v>207</v>
      </c>
      <c r="AV6" s="15">
        <f t="shared" ref="AV6:AV37" si="14">(AS6-AU6)/AS6</f>
        <v>-0.15642458100558659</v>
      </c>
      <c r="AW6" s="105"/>
      <c r="AX6" s="16">
        <f t="shared" ref="AX6:AX16" si="15">AW6+T6</f>
        <v>2931.35</v>
      </c>
      <c r="AY6" s="17">
        <f t="shared" ref="AY6:AY16" si="16">AX6/S6</f>
        <v>0.20216206896551722</v>
      </c>
      <c r="AZ6" s="19">
        <f>VLOOKUP(C6,[1]两年对比终版!$A:$W,17,0)</f>
        <v>4230.2511999999997</v>
      </c>
      <c r="BA6" s="15">
        <f t="shared" ref="BA6:BA37" si="17">(AX6-AZ6)/AX6</f>
        <v>-0.44310682791205414</v>
      </c>
      <c r="BB6" s="105"/>
      <c r="BC6" s="16">
        <f t="shared" ref="BC6:BC16" si="18">BB6+Y6</f>
        <v>175</v>
      </c>
      <c r="BD6" s="17">
        <f t="shared" ref="BD6:BD16" si="19">BC6/X6</f>
        <v>0.23333333333333334</v>
      </c>
      <c r="BE6" s="18">
        <f>VLOOKUP(C6,[1]两年对比终版!$A:$W,20,0)</f>
        <v>121</v>
      </c>
      <c r="BF6" s="15">
        <f t="shared" ref="BF6:BF37" si="20">(BC6-BE6)/BC6</f>
        <v>0.30857142857142855</v>
      </c>
      <c r="BG6" s="105"/>
      <c r="BH6" s="16">
        <f t="shared" ref="BH6:BH37" si="21">BG6+AD6</f>
        <v>3358.53</v>
      </c>
      <c r="BI6" s="17">
        <f t="shared" ref="BI6:BI37" si="22">BH6/AC6</f>
        <v>0.23162275862068968</v>
      </c>
      <c r="BJ6" s="20">
        <f>VLOOKUP(C6,[1]两年对比终版!$A:$W,23,0)</f>
        <v>2814.2512000000002</v>
      </c>
      <c r="BK6" s="15">
        <f t="shared" ref="BK6:BK37" si="23">(BH6-BJ6)/BH6</f>
        <v>0.16205863874969109</v>
      </c>
    </row>
    <row r="7" spans="1:63">
      <c r="A7" s="12">
        <v>3</v>
      </c>
      <c r="B7" s="12" t="s">
        <v>25</v>
      </c>
      <c r="C7" s="12" t="s">
        <v>28</v>
      </c>
      <c r="D7" s="13">
        <v>400</v>
      </c>
      <c r="E7" s="13">
        <v>193</v>
      </c>
      <c r="F7" s="14">
        <v>0.48249999999999998</v>
      </c>
      <c r="G7" s="13">
        <v>207</v>
      </c>
      <c r="H7" s="15">
        <f t="shared" si="0"/>
        <v>-7.2538860103626895E-2</v>
      </c>
      <c r="I7" s="13">
        <v>6544</v>
      </c>
      <c r="J7" s="13">
        <v>3691.48</v>
      </c>
      <c r="K7" s="14">
        <v>0.56410146699266495</v>
      </c>
      <c r="L7" s="13">
        <v>3066.3678</v>
      </c>
      <c r="M7" s="15">
        <f t="shared" si="1"/>
        <v>0.16933918103308199</v>
      </c>
      <c r="N7" s="13">
        <v>160</v>
      </c>
      <c r="O7" s="13">
        <v>75</v>
      </c>
      <c r="P7" s="14">
        <v>0.46875</v>
      </c>
      <c r="Q7" s="13">
        <v>92</v>
      </c>
      <c r="R7" s="15">
        <f t="shared" si="2"/>
        <v>-0.22666666666666699</v>
      </c>
      <c r="S7" s="13">
        <v>2657</v>
      </c>
      <c r="T7" s="13">
        <v>978.14</v>
      </c>
      <c r="U7" s="14">
        <v>0.36813699661272098</v>
      </c>
      <c r="V7" s="13">
        <v>1337.86</v>
      </c>
      <c r="W7" s="15">
        <f t="shared" si="3"/>
        <v>-0.36775921647207999</v>
      </c>
      <c r="X7" s="13">
        <v>160</v>
      </c>
      <c r="Y7" s="13">
        <v>49</v>
      </c>
      <c r="Z7" s="14">
        <v>0.30625000000000002</v>
      </c>
      <c r="AA7" s="13">
        <v>69</v>
      </c>
      <c r="AB7" s="15">
        <f t="shared" si="4"/>
        <v>-0.40816326530612201</v>
      </c>
      <c r="AC7" s="13">
        <v>2657</v>
      </c>
      <c r="AD7" s="13">
        <v>637.85</v>
      </c>
      <c r="AE7" s="14">
        <v>0.240063981934513</v>
      </c>
      <c r="AF7" s="13">
        <v>997.73</v>
      </c>
      <c r="AG7" s="15">
        <f t="shared" si="5"/>
        <v>-0.56420788586658299</v>
      </c>
      <c r="AH7" s="105">
        <v>24</v>
      </c>
      <c r="AI7" s="16">
        <f t="shared" si="6"/>
        <v>217</v>
      </c>
      <c r="AJ7" s="17">
        <f t="shared" si="7"/>
        <v>0.54249999999999998</v>
      </c>
      <c r="AK7" s="18">
        <f>VLOOKUP(C7,[1]两年对比终版!$A:$C,3,0)</f>
        <v>446</v>
      </c>
      <c r="AL7" s="15">
        <f t="shared" si="8"/>
        <v>-1.0552995391705069</v>
      </c>
      <c r="AM7" s="105">
        <v>341.03</v>
      </c>
      <c r="AN7" s="16">
        <f t="shared" si="9"/>
        <v>4032.51</v>
      </c>
      <c r="AO7" s="17">
        <f t="shared" si="10"/>
        <v>0.61621485330073356</v>
      </c>
      <c r="AP7" s="19">
        <f>VLOOKUP(C7,[1]两年对比终版!$A:$F,6,0)</f>
        <v>6485.9782999999998</v>
      </c>
      <c r="AQ7" s="15">
        <f t="shared" si="11"/>
        <v>-0.60842212418568076</v>
      </c>
      <c r="AR7" s="105">
        <v>24</v>
      </c>
      <c r="AS7" s="16">
        <f t="shared" si="12"/>
        <v>99</v>
      </c>
      <c r="AT7" s="17">
        <f t="shared" si="13"/>
        <v>0.61875000000000002</v>
      </c>
      <c r="AU7" s="7">
        <f>VLOOKUP(C7,[1]两年对比终版!$A:$W,14,0)</f>
        <v>126</v>
      </c>
      <c r="AV7" s="15">
        <f t="shared" si="14"/>
        <v>-0.27272727272727271</v>
      </c>
      <c r="AW7" s="105">
        <v>341.03</v>
      </c>
      <c r="AX7" s="16">
        <f t="shared" si="15"/>
        <v>1319.17</v>
      </c>
      <c r="AY7" s="17">
        <f t="shared" si="16"/>
        <v>0.49648852088821982</v>
      </c>
      <c r="AZ7" s="19">
        <f>VLOOKUP(C7,[1]两年对比终版!$A:$W,17,0)</f>
        <v>1887.3783000000001</v>
      </c>
      <c r="BA7" s="15">
        <f t="shared" si="17"/>
        <v>-0.43073167218781505</v>
      </c>
      <c r="BB7" s="105">
        <v>27</v>
      </c>
      <c r="BC7" s="16">
        <f t="shared" si="18"/>
        <v>76</v>
      </c>
      <c r="BD7" s="17">
        <f t="shared" si="19"/>
        <v>0.47499999999999998</v>
      </c>
      <c r="BE7" s="18">
        <f>VLOOKUP(C7,[1]两年对比终版!$A:$W,20,0)</f>
        <v>125</v>
      </c>
      <c r="BF7" s="15">
        <f t="shared" si="20"/>
        <v>-0.64473684210526316</v>
      </c>
      <c r="BG7" s="105">
        <v>365.32</v>
      </c>
      <c r="BH7" s="16">
        <f t="shared" si="21"/>
        <v>1003.1700000000001</v>
      </c>
      <c r="BI7" s="17">
        <f t="shared" si="22"/>
        <v>0.37755739555890105</v>
      </c>
      <c r="BJ7" s="20">
        <f>VLOOKUP(C7,[1]两年对比终版!$A:$W,23,0)</f>
        <v>1964.9377999999999</v>
      </c>
      <c r="BK7" s="15">
        <f t="shared" si="23"/>
        <v>-0.95872863024213217</v>
      </c>
    </row>
    <row r="8" spans="1:63">
      <c r="A8" s="12">
        <v>4</v>
      </c>
      <c r="B8" s="12" t="s">
        <v>25</v>
      </c>
      <c r="C8" s="12" t="s">
        <v>29</v>
      </c>
      <c r="D8" s="13">
        <v>270</v>
      </c>
      <c r="E8" s="13">
        <v>39</v>
      </c>
      <c r="F8" s="14">
        <v>0.14444444444444399</v>
      </c>
      <c r="G8" s="13">
        <v>0</v>
      </c>
      <c r="H8" s="15">
        <f t="shared" si="0"/>
        <v>1</v>
      </c>
      <c r="I8" s="13">
        <v>4428</v>
      </c>
      <c r="J8" s="13">
        <v>867.42</v>
      </c>
      <c r="K8" s="14">
        <v>0.19589430894308901</v>
      </c>
      <c r="L8" s="13">
        <v>0</v>
      </c>
      <c r="M8" s="15">
        <f t="shared" si="1"/>
        <v>1</v>
      </c>
      <c r="N8" s="13">
        <v>120</v>
      </c>
      <c r="O8" s="13">
        <v>10</v>
      </c>
      <c r="P8" s="14">
        <v>8.3333333333333301E-2</v>
      </c>
      <c r="Q8" s="13">
        <v>0</v>
      </c>
      <c r="R8" s="15">
        <f t="shared" si="2"/>
        <v>1</v>
      </c>
      <c r="S8" s="13">
        <v>1800</v>
      </c>
      <c r="T8" s="13">
        <v>102.4</v>
      </c>
      <c r="U8" s="14">
        <v>5.6888888888888899E-2</v>
      </c>
      <c r="V8" s="13">
        <v>0</v>
      </c>
      <c r="W8" s="15">
        <f t="shared" si="3"/>
        <v>1</v>
      </c>
      <c r="X8" s="13">
        <v>120</v>
      </c>
      <c r="Y8" s="13">
        <v>10</v>
      </c>
      <c r="Z8" s="14">
        <v>8.3333333333333301E-2</v>
      </c>
      <c r="AA8" s="13">
        <v>0</v>
      </c>
      <c r="AB8" s="15">
        <f t="shared" si="4"/>
        <v>1</v>
      </c>
      <c r="AC8" s="13">
        <v>1800</v>
      </c>
      <c r="AD8" s="13">
        <v>102.4</v>
      </c>
      <c r="AE8" s="14">
        <v>5.6888888888888899E-2</v>
      </c>
      <c r="AF8" s="13">
        <v>0</v>
      </c>
      <c r="AG8" s="15">
        <f t="shared" si="5"/>
        <v>1</v>
      </c>
      <c r="AH8" s="105">
        <v>10</v>
      </c>
      <c r="AI8" s="16">
        <f t="shared" si="6"/>
        <v>49</v>
      </c>
      <c r="AJ8" s="17">
        <f t="shared" si="7"/>
        <v>0.18148148148148149</v>
      </c>
      <c r="AK8" s="18">
        <f>VLOOKUP(C8,[1]两年对比终版!$A:$C,3,0)</f>
        <v>0</v>
      </c>
      <c r="AL8" s="15">
        <f t="shared" si="8"/>
        <v>1</v>
      </c>
      <c r="AM8" s="105">
        <v>142</v>
      </c>
      <c r="AN8" s="16">
        <f t="shared" si="9"/>
        <v>1009.42</v>
      </c>
      <c r="AO8" s="17">
        <f t="shared" si="10"/>
        <v>0.22796296296296295</v>
      </c>
      <c r="AP8" s="19">
        <f>VLOOKUP(C8,[1]两年对比终版!$A:$F,6,0)</f>
        <v>0</v>
      </c>
      <c r="AQ8" s="15">
        <f t="shared" si="11"/>
        <v>1</v>
      </c>
      <c r="AR8" s="105">
        <v>10</v>
      </c>
      <c r="AS8" s="16">
        <f t="shared" si="12"/>
        <v>20</v>
      </c>
      <c r="AT8" s="17">
        <f t="shared" si="13"/>
        <v>0.16666666666666666</v>
      </c>
      <c r="AU8" s="7">
        <f>VLOOKUP(C8,[1]两年对比终版!$A:$W,14,0)</f>
        <v>0</v>
      </c>
      <c r="AV8" s="15">
        <f t="shared" si="14"/>
        <v>1</v>
      </c>
      <c r="AW8" s="105">
        <v>142</v>
      </c>
      <c r="AX8" s="16">
        <f t="shared" si="15"/>
        <v>244.4</v>
      </c>
      <c r="AY8" s="17">
        <f t="shared" si="16"/>
        <v>0.13577777777777778</v>
      </c>
      <c r="AZ8" s="19">
        <f>VLOOKUP(C8,[1]两年对比终版!$A:$W,17,0)</f>
        <v>0</v>
      </c>
      <c r="BA8" s="15">
        <f t="shared" si="17"/>
        <v>1</v>
      </c>
      <c r="BB8" s="105">
        <v>0</v>
      </c>
      <c r="BC8" s="16">
        <f t="shared" si="18"/>
        <v>10</v>
      </c>
      <c r="BD8" s="17">
        <f t="shared" si="19"/>
        <v>8.3333333333333329E-2</v>
      </c>
      <c r="BE8" s="18">
        <f>VLOOKUP(C8,[1]两年对比终版!$A:$W,20,0)</f>
        <v>0</v>
      </c>
      <c r="BF8" s="15">
        <f t="shared" si="20"/>
        <v>1</v>
      </c>
      <c r="BG8" s="105">
        <v>0</v>
      </c>
      <c r="BH8" s="16">
        <f t="shared" si="21"/>
        <v>102.4</v>
      </c>
      <c r="BI8" s="17">
        <f t="shared" si="22"/>
        <v>5.6888888888888892E-2</v>
      </c>
      <c r="BJ8" s="20">
        <f>VLOOKUP(C8,[1]两年对比终版!$A:$W,23,0)</f>
        <v>0</v>
      </c>
      <c r="BK8" s="15">
        <f t="shared" si="23"/>
        <v>1</v>
      </c>
    </row>
    <row r="9" spans="1:63">
      <c r="A9" s="12">
        <v>5</v>
      </c>
      <c r="B9" s="12" t="s">
        <v>25</v>
      </c>
      <c r="C9" s="12" t="s">
        <v>30</v>
      </c>
      <c r="D9" s="13">
        <v>270</v>
      </c>
      <c r="E9" s="13">
        <v>89</v>
      </c>
      <c r="F9" s="14">
        <v>0.32962962962962999</v>
      </c>
      <c r="G9" s="13">
        <v>0</v>
      </c>
      <c r="H9" s="15">
        <f t="shared" si="0"/>
        <v>1</v>
      </c>
      <c r="I9" s="13">
        <v>4428</v>
      </c>
      <c r="J9" s="13">
        <v>946.58600000000001</v>
      </c>
      <c r="K9" s="14">
        <v>0.21377280939476101</v>
      </c>
      <c r="L9" s="13">
        <v>0</v>
      </c>
      <c r="M9" s="15">
        <f t="shared" si="1"/>
        <v>1</v>
      </c>
      <c r="N9" s="13">
        <v>120</v>
      </c>
      <c r="O9" s="13">
        <v>43</v>
      </c>
      <c r="P9" s="14">
        <v>0.358333333333333</v>
      </c>
      <c r="Q9" s="13">
        <v>0</v>
      </c>
      <c r="R9" s="15">
        <f t="shared" si="2"/>
        <v>1</v>
      </c>
      <c r="S9" s="13">
        <v>1800</v>
      </c>
      <c r="T9" s="13">
        <v>456.92599999999999</v>
      </c>
      <c r="U9" s="14">
        <v>0.25384777777777801</v>
      </c>
      <c r="V9" s="13">
        <v>0</v>
      </c>
      <c r="W9" s="15">
        <f t="shared" si="3"/>
        <v>1</v>
      </c>
      <c r="X9" s="13">
        <v>120</v>
      </c>
      <c r="Y9" s="13">
        <v>18</v>
      </c>
      <c r="Z9" s="14">
        <v>0.15</v>
      </c>
      <c r="AA9" s="13">
        <v>0</v>
      </c>
      <c r="AB9" s="15">
        <f t="shared" si="4"/>
        <v>1</v>
      </c>
      <c r="AC9" s="13">
        <v>1800</v>
      </c>
      <c r="AD9" s="13">
        <v>183.536</v>
      </c>
      <c r="AE9" s="14">
        <v>0.101964444444444</v>
      </c>
      <c r="AF9" s="13">
        <v>0</v>
      </c>
      <c r="AG9" s="15">
        <f t="shared" si="5"/>
        <v>1</v>
      </c>
      <c r="AH9" s="105">
        <v>50</v>
      </c>
      <c r="AI9" s="16">
        <f t="shared" si="6"/>
        <v>139</v>
      </c>
      <c r="AJ9" s="17">
        <f t="shared" si="7"/>
        <v>0.51481481481481484</v>
      </c>
      <c r="AK9" s="18">
        <f>VLOOKUP(C9,[1]两年对比终版!$A:$C,3,0)</f>
        <v>0</v>
      </c>
      <c r="AL9" s="15">
        <f t="shared" si="8"/>
        <v>1</v>
      </c>
      <c r="AM9" s="105">
        <v>660</v>
      </c>
      <c r="AN9" s="16">
        <f t="shared" si="9"/>
        <v>1606.586</v>
      </c>
      <c r="AO9" s="17">
        <f t="shared" si="10"/>
        <v>0.36282429990966575</v>
      </c>
      <c r="AP9" s="19">
        <f>VLOOKUP(C9,[1]两年对比终版!$A:$F,6,0)</f>
        <v>0</v>
      </c>
      <c r="AQ9" s="15">
        <f t="shared" si="11"/>
        <v>1</v>
      </c>
      <c r="AR9" s="105">
        <v>24</v>
      </c>
      <c r="AS9" s="16">
        <f t="shared" si="12"/>
        <v>67</v>
      </c>
      <c r="AT9" s="17">
        <f t="shared" si="13"/>
        <v>0.55833333333333335</v>
      </c>
      <c r="AU9" s="7">
        <f>VLOOKUP(C9,[1]两年对比终版!$A:$W,14,0)</f>
        <v>0</v>
      </c>
      <c r="AV9" s="15">
        <f t="shared" si="14"/>
        <v>1</v>
      </c>
      <c r="AW9" s="105">
        <v>227</v>
      </c>
      <c r="AX9" s="16">
        <f t="shared" si="15"/>
        <v>683.92599999999993</v>
      </c>
      <c r="AY9" s="17">
        <f t="shared" si="16"/>
        <v>0.37995888888888885</v>
      </c>
      <c r="AZ9" s="19">
        <f>VLOOKUP(C9,[1]两年对比终版!$A:$W,17,0)</f>
        <v>0</v>
      </c>
      <c r="BA9" s="15">
        <f t="shared" si="17"/>
        <v>1</v>
      </c>
      <c r="BB9" s="105">
        <v>25</v>
      </c>
      <c r="BC9" s="16">
        <f t="shared" si="18"/>
        <v>43</v>
      </c>
      <c r="BD9" s="17">
        <f t="shared" si="19"/>
        <v>0.35833333333333334</v>
      </c>
      <c r="BE9" s="18">
        <f>VLOOKUP(C9,[1]两年对比终版!$A:$W,20,0)</f>
        <v>0</v>
      </c>
      <c r="BF9" s="15">
        <f t="shared" si="20"/>
        <v>1</v>
      </c>
      <c r="BG9" s="105">
        <v>270</v>
      </c>
      <c r="BH9" s="16">
        <f t="shared" si="21"/>
        <v>453.536</v>
      </c>
      <c r="BI9" s="17">
        <f t="shared" si="22"/>
        <v>0.25196444444444444</v>
      </c>
      <c r="BJ9" s="20">
        <f>VLOOKUP(C9,[1]两年对比终版!$A:$W,23,0)</f>
        <v>0</v>
      </c>
      <c r="BK9" s="15">
        <f t="shared" si="23"/>
        <v>1</v>
      </c>
    </row>
    <row r="10" spans="1:63">
      <c r="A10" s="12">
        <v>6</v>
      </c>
      <c r="B10" s="12" t="s">
        <v>31</v>
      </c>
      <c r="C10" s="12" t="s">
        <v>32</v>
      </c>
      <c r="D10" s="13">
        <v>245</v>
      </c>
      <c r="E10" s="13">
        <v>15</v>
      </c>
      <c r="F10" s="14">
        <v>6.1224489795918401E-2</v>
      </c>
      <c r="G10" s="13">
        <v>69</v>
      </c>
      <c r="H10" s="15">
        <f t="shared" si="0"/>
        <v>-3.6</v>
      </c>
      <c r="I10" s="13">
        <v>4200</v>
      </c>
      <c r="J10" s="13">
        <v>145.87</v>
      </c>
      <c r="K10" s="14">
        <v>3.4730952380952397E-2</v>
      </c>
      <c r="L10" s="13">
        <v>885.39599999999996</v>
      </c>
      <c r="M10" s="15">
        <f t="shared" si="1"/>
        <v>-5.0697607458696101</v>
      </c>
      <c r="N10" s="13">
        <v>100</v>
      </c>
      <c r="O10" s="13">
        <v>8</v>
      </c>
      <c r="P10" s="14">
        <v>0.08</v>
      </c>
      <c r="Q10" s="13">
        <v>28</v>
      </c>
      <c r="R10" s="15">
        <f t="shared" si="2"/>
        <v>-2.5</v>
      </c>
      <c r="S10" s="13">
        <v>1778</v>
      </c>
      <c r="T10" s="13">
        <v>78.11</v>
      </c>
      <c r="U10" s="14">
        <v>4.3931383577052903E-2</v>
      </c>
      <c r="V10" s="13">
        <v>469.93200000000002</v>
      </c>
      <c r="W10" s="15">
        <f t="shared" si="3"/>
        <v>-5.0162847266675197</v>
      </c>
      <c r="X10" s="13">
        <v>100</v>
      </c>
      <c r="Y10" s="13">
        <v>9</v>
      </c>
      <c r="Z10" s="14">
        <v>0.09</v>
      </c>
      <c r="AA10" s="13">
        <v>28</v>
      </c>
      <c r="AB10" s="15">
        <f t="shared" si="4"/>
        <v>-2.1111111111111098</v>
      </c>
      <c r="AC10" s="13">
        <v>1778</v>
      </c>
      <c r="AD10" s="13">
        <v>117.69</v>
      </c>
      <c r="AE10" s="14">
        <v>6.6192350956130505E-2</v>
      </c>
      <c r="AF10" s="13">
        <v>370.26600000000002</v>
      </c>
      <c r="AG10" s="15">
        <f t="shared" si="5"/>
        <v>-2.1461126688758601</v>
      </c>
      <c r="AH10" s="105">
        <v>36</v>
      </c>
      <c r="AI10" s="16">
        <f t="shared" si="6"/>
        <v>51</v>
      </c>
      <c r="AJ10" s="17">
        <f t="shared" si="7"/>
        <v>0.20816326530612245</v>
      </c>
      <c r="AK10" s="18">
        <f>VLOOKUP(C10,[1]两年对比终版!$A:$C,3,0)</f>
        <v>79</v>
      </c>
      <c r="AL10" s="15">
        <f t="shared" si="8"/>
        <v>-0.5490196078431373</v>
      </c>
      <c r="AM10" s="105">
        <v>477</v>
      </c>
      <c r="AN10" s="16">
        <f t="shared" si="9"/>
        <v>622.87</v>
      </c>
      <c r="AO10" s="17">
        <f t="shared" si="10"/>
        <v>0.14830238095238096</v>
      </c>
      <c r="AP10" s="19">
        <f>VLOOKUP(C10,[1]两年对比终版!$A:$F,6,0)</f>
        <v>1044.9259999999999</v>
      </c>
      <c r="AQ10" s="15">
        <f t="shared" si="11"/>
        <v>-0.67759885690432986</v>
      </c>
      <c r="AR10" s="105">
        <v>25</v>
      </c>
      <c r="AS10" s="16">
        <f t="shared" si="12"/>
        <v>33</v>
      </c>
      <c r="AT10" s="17">
        <f t="shared" si="13"/>
        <v>0.33</v>
      </c>
      <c r="AU10" s="7">
        <f>VLOOKUP(C10,[1]两年对比终版!$A:$W,14,0)</f>
        <v>30</v>
      </c>
      <c r="AV10" s="15">
        <f t="shared" si="14"/>
        <v>9.0909090909090912E-2</v>
      </c>
      <c r="AW10" s="105">
        <v>302</v>
      </c>
      <c r="AX10" s="16">
        <f t="shared" si="15"/>
        <v>380.11</v>
      </c>
      <c r="AY10" s="17">
        <f t="shared" si="16"/>
        <v>0.21378515185601801</v>
      </c>
      <c r="AZ10" s="19">
        <f>VLOOKUP(C10,[1]两年对比终版!$A:$W,17,0)</f>
        <v>487.23200000000003</v>
      </c>
      <c r="BA10" s="15">
        <f t="shared" si="17"/>
        <v>-0.28181842098339954</v>
      </c>
      <c r="BB10" s="105">
        <v>3</v>
      </c>
      <c r="BC10" s="16">
        <f t="shared" si="18"/>
        <v>12</v>
      </c>
      <c r="BD10" s="17">
        <f t="shared" si="19"/>
        <v>0.12</v>
      </c>
      <c r="BE10" s="18">
        <f>VLOOKUP(C10,[1]两年对比终版!$A:$W,20,0)</f>
        <v>36</v>
      </c>
      <c r="BF10" s="15">
        <f t="shared" si="20"/>
        <v>-2</v>
      </c>
      <c r="BG10" s="105">
        <v>31.17</v>
      </c>
      <c r="BH10" s="16">
        <f t="shared" si="21"/>
        <v>148.86000000000001</v>
      </c>
      <c r="BI10" s="17">
        <f t="shared" si="22"/>
        <v>8.3723284589426336E-2</v>
      </c>
      <c r="BJ10" s="20">
        <f>VLOOKUP(C10,[1]两年对比终版!$A:$W,23,0)</f>
        <v>515.13199999999995</v>
      </c>
      <c r="BK10" s="15">
        <f t="shared" si="23"/>
        <v>-2.4605132339110569</v>
      </c>
    </row>
    <row r="11" spans="1:63">
      <c r="A11" s="12">
        <v>7</v>
      </c>
      <c r="B11" s="12" t="s">
        <v>31</v>
      </c>
      <c r="C11" s="12" t="s">
        <v>33</v>
      </c>
      <c r="D11" s="13">
        <v>489</v>
      </c>
      <c r="E11" s="13">
        <v>54</v>
      </c>
      <c r="F11" s="14">
        <v>0.110429447852761</v>
      </c>
      <c r="G11" s="13">
        <v>324</v>
      </c>
      <c r="H11" s="15">
        <f t="shared" si="0"/>
        <v>-5</v>
      </c>
      <c r="I11" s="13">
        <v>7525.12</v>
      </c>
      <c r="J11" s="13">
        <v>1317.06</v>
      </c>
      <c r="K11" s="14">
        <v>0.17502179367239301</v>
      </c>
      <c r="L11" s="13">
        <v>5818.9250000000002</v>
      </c>
      <c r="M11" s="15">
        <f t="shared" si="1"/>
        <v>-3.4181168663538499</v>
      </c>
      <c r="N11" s="13">
        <v>210</v>
      </c>
      <c r="O11" s="13">
        <v>26</v>
      </c>
      <c r="P11" s="14">
        <v>0.12380952380952399</v>
      </c>
      <c r="Q11" s="13">
        <v>133</v>
      </c>
      <c r="R11" s="15">
        <f t="shared" si="2"/>
        <v>-4.1153846153846096</v>
      </c>
      <c r="S11" s="13">
        <v>2972</v>
      </c>
      <c r="T11" s="13">
        <v>294.803</v>
      </c>
      <c r="U11" s="14">
        <v>9.9193472409152106E-2</v>
      </c>
      <c r="V11" s="13">
        <v>2251.3625000000002</v>
      </c>
      <c r="W11" s="15">
        <f t="shared" si="3"/>
        <v>-6.6368371420915002</v>
      </c>
      <c r="X11" s="13">
        <v>210</v>
      </c>
      <c r="Y11" s="13">
        <v>24</v>
      </c>
      <c r="Z11" s="14">
        <v>0.114285714285714</v>
      </c>
      <c r="AA11" s="13">
        <v>28</v>
      </c>
      <c r="AB11" s="15">
        <f t="shared" si="4"/>
        <v>-0.16666666666666699</v>
      </c>
      <c r="AC11" s="13">
        <v>2972</v>
      </c>
      <c r="AD11" s="13">
        <v>276.233</v>
      </c>
      <c r="AE11" s="14">
        <v>9.2945154777927294E-2</v>
      </c>
      <c r="AF11" s="13">
        <v>709.33450000000005</v>
      </c>
      <c r="AG11" s="15">
        <f t="shared" si="5"/>
        <v>-1.56788472050769</v>
      </c>
      <c r="AH11" s="105">
        <v>40</v>
      </c>
      <c r="AI11" s="16">
        <f t="shared" si="6"/>
        <v>94</v>
      </c>
      <c r="AJ11" s="17">
        <f t="shared" si="7"/>
        <v>0.19222903885480572</v>
      </c>
      <c r="AK11" s="18">
        <f>VLOOKUP(C11,[1]两年对比终版!$A:$C,3,0)</f>
        <v>415</v>
      </c>
      <c r="AL11" s="15">
        <f t="shared" si="8"/>
        <v>-3.4148936170212765</v>
      </c>
      <c r="AM11" s="105">
        <v>600</v>
      </c>
      <c r="AN11" s="16">
        <f t="shared" si="9"/>
        <v>1917.06</v>
      </c>
      <c r="AO11" s="17">
        <f t="shared" si="10"/>
        <v>0.254754741452628</v>
      </c>
      <c r="AP11" s="19">
        <f>VLOOKUP(C11,[1]两年对比终版!$A:$F,6,0)</f>
        <v>7818.7330000000002</v>
      </c>
      <c r="AQ11" s="15">
        <f t="shared" si="11"/>
        <v>-3.078501976985593</v>
      </c>
      <c r="AR11" s="105">
        <v>7</v>
      </c>
      <c r="AS11" s="16">
        <f t="shared" si="12"/>
        <v>33</v>
      </c>
      <c r="AT11" s="17">
        <f t="shared" si="13"/>
        <v>0.15714285714285714</v>
      </c>
      <c r="AU11" s="7">
        <f>VLOOKUP(C11,[1]两年对比终版!$A:$W,14,0)</f>
        <v>156</v>
      </c>
      <c r="AV11" s="15">
        <f t="shared" si="14"/>
        <v>-3.7272727272727271</v>
      </c>
      <c r="AW11" s="105">
        <v>150</v>
      </c>
      <c r="AX11" s="16">
        <f t="shared" si="15"/>
        <v>444.803</v>
      </c>
      <c r="AY11" s="17">
        <f t="shared" si="16"/>
        <v>0.14966453566621804</v>
      </c>
      <c r="AZ11" s="19">
        <f>VLOOKUP(C11,[1]两年对比终版!$A:$W,17,0)</f>
        <v>2594.4504999999999</v>
      </c>
      <c r="BA11" s="15">
        <f t="shared" si="17"/>
        <v>-4.8328080071402395</v>
      </c>
      <c r="BB11" s="105">
        <v>4</v>
      </c>
      <c r="BC11" s="16">
        <f t="shared" si="18"/>
        <v>28</v>
      </c>
      <c r="BD11" s="17">
        <f t="shared" si="19"/>
        <v>0.13333333333333333</v>
      </c>
      <c r="BE11" s="18">
        <f>VLOOKUP(C11,[1]两年对比终版!$A:$W,20,0)</f>
        <v>108</v>
      </c>
      <c r="BF11" s="15">
        <f t="shared" si="20"/>
        <v>-2.8571428571428572</v>
      </c>
      <c r="BG11" s="105">
        <v>60</v>
      </c>
      <c r="BH11" s="16">
        <f t="shared" si="21"/>
        <v>336.233</v>
      </c>
      <c r="BI11" s="17">
        <f t="shared" si="22"/>
        <v>0.11313358008075371</v>
      </c>
      <c r="BJ11" s="20">
        <f>VLOOKUP(C11,[1]两年对比终版!$A:$W,23,0)</f>
        <v>1970.7394999999999</v>
      </c>
      <c r="BK11" s="15">
        <f t="shared" si="23"/>
        <v>-4.8612316459122091</v>
      </c>
    </row>
    <row r="12" spans="1:63">
      <c r="A12" s="12">
        <v>8</v>
      </c>
      <c r="B12" s="12" t="s">
        <v>34</v>
      </c>
      <c r="C12" s="12" t="s">
        <v>35</v>
      </c>
      <c r="D12" s="13">
        <v>72</v>
      </c>
      <c r="E12" s="13">
        <v>2</v>
      </c>
      <c r="F12" s="14">
        <v>2.7777777777777801E-2</v>
      </c>
      <c r="G12" s="13">
        <v>0</v>
      </c>
      <c r="H12" s="15">
        <f t="shared" si="0"/>
        <v>1</v>
      </c>
      <c r="I12" s="13">
        <v>1085</v>
      </c>
      <c r="J12" s="13">
        <v>22.84</v>
      </c>
      <c r="K12" s="14">
        <v>2.1050691244239601E-2</v>
      </c>
      <c r="L12" s="13">
        <v>0</v>
      </c>
      <c r="M12" s="15">
        <f t="shared" si="1"/>
        <v>1</v>
      </c>
      <c r="N12" s="13">
        <v>30</v>
      </c>
      <c r="O12" s="13">
        <v>2</v>
      </c>
      <c r="P12" s="14">
        <v>6.6666666666666693E-2</v>
      </c>
      <c r="Q12" s="13">
        <v>0</v>
      </c>
      <c r="R12" s="15">
        <f t="shared" si="2"/>
        <v>1</v>
      </c>
      <c r="S12" s="13">
        <v>450</v>
      </c>
      <c r="T12" s="13">
        <v>22.84</v>
      </c>
      <c r="U12" s="14">
        <v>5.0755555555555498E-2</v>
      </c>
      <c r="V12" s="13">
        <v>0</v>
      </c>
      <c r="W12" s="15">
        <f t="shared" si="3"/>
        <v>1</v>
      </c>
      <c r="X12" s="13">
        <v>30</v>
      </c>
      <c r="Y12" s="13">
        <v>2</v>
      </c>
      <c r="Z12" s="14">
        <v>6.6666666666666693E-2</v>
      </c>
      <c r="AA12" s="13">
        <v>0</v>
      </c>
      <c r="AB12" s="15">
        <f t="shared" si="4"/>
        <v>1</v>
      </c>
      <c r="AC12" s="13">
        <v>450</v>
      </c>
      <c r="AD12" s="13">
        <v>22.84</v>
      </c>
      <c r="AE12" s="14">
        <v>5.0755555555555498E-2</v>
      </c>
      <c r="AF12" s="13">
        <v>0</v>
      </c>
      <c r="AG12" s="15">
        <f t="shared" si="5"/>
        <v>1</v>
      </c>
      <c r="AH12" s="7">
        <f>VLOOKUP(C12,'[2]5月汇总'!$C:$I,2,0)</f>
        <v>10</v>
      </c>
      <c r="AI12" s="16">
        <f t="shared" si="6"/>
        <v>12</v>
      </c>
      <c r="AJ12" s="17">
        <f t="shared" si="7"/>
        <v>0.16666666666666699</v>
      </c>
      <c r="AK12" s="18">
        <f>VLOOKUP(C12,[1]两年对比终版!$A:$C,3,0)</f>
        <v>0</v>
      </c>
      <c r="AL12" s="15">
        <f t="shared" si="8"/>
        <v>1</v>
      </c>
      <c r="AM12" s="7">
        <f>VLOOKUP(C12,'[2]5月汇总'!$C:$I,3,0)</f>
        <v>80</v>
      </c>
      <c r="AN12" s="16">
        <f t="shared" si="9"/>
        <v>102.84</v>
      </c>
      <c r="AO12" s="17">
        <f t="shared" si="10"/>
        <v>9.4783410138248897E-2</v>
      </c>
      <c r="AP12" s="19">
        <f>VLOOKUP(C12,[1]两年对比终版!$A:$F,6,0)</f>
        <v>0</v>
      </c>
      <c r="AQ12" s="15">
        <f t="shared" si="11"/>
        <v>1</v>
      </c>
      <c r="AR12" s="7">
        <f>VLOOKUP(C12,'[2]5月汇总'!$C:$I,4,0)</f>
        <v>10</v>
      </c>
      <c r="AS12" s="16">
        <f t="shared" si="12"/>
        <v>12</v>
      </c>
      <c r="AT12" s="17">
        <f t="shared" si="13"/>
        <v>0.4</v>
      </c>
      <c r="AU12" s="7">
        <f>VLOOKUP(C12,[1]两年对比终版!$A:$W,14,0)</f>
        <v>0</v>
      </c>
      <c r="AV12" s="15">
        <f t="shared" si="14"/>
        <v>1</v>
      </c>
      <c r="AW12" s="7">
        <f>VLOOKUP(C12,'[2]5月汇总'!$C:$I,5,0)</f>
        <v>80</v>
      </c>
      <c r="AX12" s="16">
        <f t="shared" si="15"/>
        <v>102.84</v>
      </c>
      <c r="AY12" s="17">
        <f t="shared" si="16"/>
        <v>0.22853333333333301</v>
      </c>
      <c r="AZ12" s="19">
        <f>VLOOKUP(C12,[1]两年对比终版!$A:$W,17,0)</f>
        <v>0</v>
      </c>
      <c r="BA12" s="15">
        <f t="shared" si="17"/>
        <v>1</v>
      </c>
      <c r="BB12" s="7">
        <f>VLOOKUP(C12,'[2]5月汇总'!$C:$I,6,0)</f>
        <v>0</v>
      </c>
      <c r="BC12" s="16">
        <f t="shared" si="18"/>
        <v>2</v>
      </c>
      <c r="BD12" s="17">
        <f t="shared" si="19"/>
        <v>6.6666666666666693E-2</v>
      </c>
      <c r="BE12" s="18">
        <f>VLOOKUP(C12,[1]两年对比终版!$A:$W,20,0)</f>
        <v>0</v>
      </c>
      <c r="BF12" s="15">
        <f t="shared" si="20"/>
        <v>1</v>
      </c>
      <c r="BG12" s="7">
        <f>VLOOKUP(C12,'[2]5月汇总'!$C:$I,7,0)</f>
        <v>0</v>
      </c>
      <c r="BH12" s="16">
        <f t="shared" si="21"/>
        <v>22.84</v>
      </c>
      <c r="BI12" s="17">
        <f t="shared" si="22"/>
        <v>5.0755555555555602E-2</v>
      </c>
      <c r="BJ12" s="20">
        <f>VLOOKUP(C12,[1]两年对比终版!$A:$W,23,0)</f>
        <v>0</v>
      </c>
      <c r="BK12" s="15">
        <f t="shared" si="23"/>
        <v>1</v>
      </c>
    </row>
    <row r="13" spans="1:63">
      <c r="A13" s="12">
        <v>9</v>
      </c>
      <c r="B13" s="12" t="s">
        <v>34</v>
      </c>
      <c r="C13" s="12" t="s">
        <v>36</v>
      </c>
      <c r="D13" s="13">
        <v>72</v>
      </c>
      <c r="E13" s="13">
        <v>0</v>
      </c>
      <c r="F13" s="14">
        <v>0</v>
      </c>
      <c r="G13" s="13">
        <v>0</v>
      </c>
      <c r="H13" s="15" t="e">
        <f t="shared" si="0"/>
        <v>#DIV/0!</v>
      </c>
      <c r="I13" s="13">
        <v>1085</v>
      </c>
      <c r="J13" s="13">
        <v>0</v>
      </c>
      <c r="K13" s="14">
        <v>0</v>
      </c>
      <c r="L13" s="13">
        <v>0</v>
      </c>
      <c r="M13" s="15" t="e">
        <f t="shared" si="1"/>
        <v>#DIV/0!</v>
      </c>
      <c r="N13" s="13">
        <v>30</v>
      </c>
      <c r="O13" s="13">
        <v>0</v>
      </c>
      <c r="P13" s="14">
        <v>0</v>
      </c>
      <c r="Q13" s="13">
        <v>0</v>
      </c>
      <c r="R13" s="15" t="e">
        <f t="shared" si="2"/>
        <v>#DIV/0!</v>
      </c>
      <c r="S13" s="13">
        <v>450</v>
      </c>
      <c r="T13" s="13">
        <v>0</v>
      </c>
      <c r="U13" s="14">
        <v>0</v>
      </c>
      <c r="V13" s="13">
        <v>0</v>
      </c>
      <c r="W13" s="15" t="e">
        <f t="shared" si="3"/>
        <v>#DIV/0!</v>
      </c>
      <c r="X13" s="13">
        <v>30</v>
      </c>
      <c r="Y13" s="13">
        <v>0</v>
      </c>
      <c r="Z13" s="14">
        <v>0</v>
      </c>
      <c r="AA13" s="13">
        <v>0</v>
      </c>
      <c r="AB13" s="15" t="e">
        <f t="shared" si="4"/>
        <v>#DIV/0!</v>
      </c>
      <c r="AC13" s="13">
        <v>450</v>
      </c>
      <c r="AD13" s="13">
        <v>0</v>
      </c>
      <c r="AE13" s="14">
        <v>0</v>
      </c>
      <c r="AF13" s="13">
        <v>0</v>
      </c>
      <c r="AG13" s="15" t="e">
        <f t="shared" si="5"/>
        <v>#DIV/0!</v>
      </c>
      <c r="AH13" s="7">
        <f>VLOOKUP(C13,'[2]5月汇总'!$C:$I,2,0)</f>
        <v>0</v>
      </c>
      <c r="AI13" s="16">
        <f t="shared" si="6"/>
        <v>0</v>
      </c>
      <c r="AJ13" s="17">
        <f t="shared" si="7"/>
        <v>0</v>
      </c>
      <c r="AK13" s="18">
        <f>VLOOKUP(C13,[1]两年对比终版!$A:$C,3,0)</f>
        <v>0</v>
      </c>
      <c r="AL13" s="15" t="e">
        <f t="shared" si="8"/>
        <v>#DIV/0!</v>
      </c>
      <c r="AM13" s="7">
        <f>VLOOKUP(C13,'[2]5月汇总'!$C:$I,3,0)</f>
        <v>0</v>
      </c>
      <c r="AN13" s="16">
        <f t="shared" si="9"/>
        <v>0</v>
      </c>
      <c r="AO13" s="17">
        <f t="shared" si="10"/>
        <v>0</v>
      </c>
      <c r="AP13" s="19">
        <f>VLOOKUP(C13,[1]两年对比终版!$A:$F,6,0)</f>
        <v>0</v>
      </c>
      <c r="AQ13" s="15" t="e">
        <f t="shared" si="11"/>
        <v>#DIV/0!</v>
      </c>
      <c r="AR13" s="7">
        <f>VLOOKUP(C13,'[2]5月汇总'!$C:$I,4,0)</f>
        <v>0</v>
      </c>
      <c r="AS13" s="16">
        <f t="shared" si="12"/>
        <v>0</v>
      </c>
      <c r="AT13" s="17">
        <f t="shared" si="13"/>
        <v>0</v>
      </c>
      <c r="AU13" s="7">
        <f>VLOOKUP(C13,[1]两年对比终版!$A:$W,14,0)</f>
        <v>0</v>
      </c>
      <c r="AV13" s="15" t="e">
        <f t="shared" si="14"/>
        <v>#DIV/0!</v>
      </c>
      <c r="AW13" s="7">
        <f>VLOOKUP(C13,'[2]5月汇总'!$C:$I,5,0)</f>
        <v>0</v>
      </c>
      <c r="AX13" s="16">
        <f t="shared" si="15"/>
        <v>0</v>
      </c>
      <c r="AY13" s="17">
        <f t="shared" si="16"/>
        <v>0</v>
      </c>
      <c r="AZ13" s="19">
        <f>VLOOKUP(C13,[1]两年对比终版!$A:$W,17,0)</f>
        <v>0</v>
      </c>
      <c r="BA13" s="15" t="e">
        <f t="shared" si="17"/>
        <v>#DIV/0!</v>
      </c>
      <c r="BB13" s="7">
        <f>VLOOKUP(C13,'[2]5月汇总'!$C:$I,6,0)</f>
        <v>0</v>
      </c>
      <c r="BC13" s="16">
        <f t="shared" si="18"/>
        <v>0</v>
      </c>
      <c r="BD13" s="17">
        <f t="shared" si="19"/>
        <v>0</v>
      </c>
      <c r="BE13" s="18">
        <f>VLOOKUP(C13,[1]两年对比终版!$A:$W,20,0)</f>
        <v>0</v>
      </c>
      <c r="BF13" s="15" t="e">
        <f t="shared" si="20"/>
        <v>#DIV/0!</v>
      </c>
      <c r="BG13" s="7">
        <f>VLOOKUP(C13,'[2]5月汇总'!$C:$I,7,0)</f>
        <v>0</v>
      </c>
      <c r="BH13" s="16">
        <f t="shared" si="21"/>
        <v>0</v>
      </c>
      <c r="BI13" s="17">
        <f t="shared" si="22"/>
        <v>0</v>
      </c>
      <c r="BJ13" s="20">
        <f>VLOOKUP(C13,[1]两年对比终版!$A:$W,23,0)</f>
        <v>0</v>
      </c>
      <c r="BK13" s="15" t="e">
        <f t="shared" si="23"/>
        <v>#DIV/0!</v>
      </c>
    </row>
    <row r="14" spans="1:63">
      <c r="A14" s="12">
        <v>10</v>
      </c>
      <c r="B14" s="12" t="s">
        <v>34</v>
      </c>
      <c r="C14" s="12" t="s">
        <v>37</v>
      </c>
      <c r="D14" s="13">
        <v>72</v>
      </c>
      <c r="E14" s="13">
        <v>0</v>
      </c>
      <c r="F14" s="14">
        <v>0</v>
      </c>
      <c r="G14" s="13">
        <v>0</v>
      </c>
      <c r="H14" s="15" t="e">
        <f t="shared" si="0"/>
        <v>#DIV/0!</v>
      </c>
      <c r="I14" s="13">
        <v>1085</v>
      </c>
      <c r="J14" s="13">
        <v>0</v>
      </c>
      <c r="K14" s="14">
        <v>0</v>
      </c>
      <c r="L14" s="13">
        <v>0</v>
      </c>
      <c r="M14" s="15" t="e">
        <f t="shared" si="1"/>
        <v>#DIV/0!</v>
      </c>
      <c r="N14" s="13">
        <v>30</v>
      </c>
      <c r="O14" s="13">
        <v>0</v>
      </c>
      <c r="P14" s="14">
        <v>0</v>
      </c>
      <c r="Q14" s="13">
        <v>0</v>
      </c>
      <c r="R14" s="15" t="e">
        <f t="shared" si="2"/>
        <v>#DIV/0!</v>
      </c>
      <c r="S14" s="13">
        <v>450</v>
      </c>
      <c r="T14" s="13">
        <v>0</v>
      </c>
      <c r="U14" s="14">
        <v>0</v>
      </c>
      <c r="V14" s="13">
        <v>0</v>
      </c>
      <c r="W14" s="15" t="e">
        <f t="shared" si="3"/>
        <v>#DIV/0!</v>
      </c>
      <c r="X14" s="13">
        <v>30</v>
      </c>
      <c r="Y14" s="13">
        <v>0</v>
      </c>
      <c r="Z14" s="14">
        <v>0</v>
      </c>
      <c r="AA14" s="13">
        <v>0</v>
      </c>
      <c r="AB14" s="15" t="e">
        <f t="shared" si="4"/>
        <v>#DIV/0!</v>
      </c>
      <c r="AC14" s="13">
        <v>450</v>
      </c>
      <c r="AD14" s="13">
        <v>0</v>
      </c>
      <c r="AE14" s="14">
        <v>0</v>
      </c>
      <c r="AF14" s="13">
        <v>0</v>
      </c>
      <c r="AG14" s="15" t="e">
        <f t="shared" si="5"/>
        <v>#DIV/0!</v>
      </c>
      <c r="AH14" s="7">
        <f>VLOOKUP(C14,'[2]5月汇总'!$C:$I,2,0)</f>
        <v>0</v>
      </c>
      <c r="AI14" s="16">
        <f t="shared" si="6"/>
        <v>0</v>
      </c>
      <c r="AJ14" s="17">
        <f t="shared" si="7"/>
        <v>0</v>
      </c>
      <c r="AK14" s="18">
        <f>VLOOKUP(C14,[1]两年对比终版!$A:$C,3,0)</f>
        <v>0</v>
      </c>
      <c r="AL14" s="15" t="e">
        <f t="shared" si="8"/>
        <v>#DIV/0!</v>
      </c>
      <c r="AM14" s="7">
        <f>VLOOKUP(C14,'[2]5月汇总'!$C:$I,3,0)</f>
        <v>0</v>
      </c>
      <c r="AN14" s="16">
        <f t="shared" si="9"/>
        <v>0</v>
      </c>
      <c r="AO14" s="17">
        <f t="shared" si="10"/>
        <v>0</v>
      </c>
      <c r="AP14" s="19">
        <f>VLOOKUP(C14,[1]两年对比终版!$A:$F,6,0)</f>
        <v>0</v>
      </c>
      <c r="AQ14" s="15" t="e">
        <f t="shared" si="11"/>
        <v>#DIV/0!</v>
      </c>
      <c r="AR14" s="7">
        <f>VLOOKUP(C14,'[2]5月汇总'!$C:$I,4,0)</f>
        <v>0</v>
      </c>
      <c r="AS14" s="16">
        <f t="shared" si="12"/>
        <v>0</v>
      </c>
      <c r="AT14" s="17">
        <f t="shared" si="13"/>
        <v>0</v>
      </c>
      <c r="AU14" s="7">
        <f>VLOOKUP(C14,[1]两年对比终版!$A:$W,14,0)</f>
        <v>0</v>
      </c>
      <c r="AV14" s="15" t="e">
        <f t="shared" si="14"/>
        <v>#DIV/0!</v>
      </c>
      <c r="AW14" s="7">
        <f>VLOOKUP(C14,'[2]5月汇总'!$C:$I,5,0)</f>
        <v>0</v>
      </c>
      <c r="AX14" s="16">
        <f t="shared" si="15"/>
        <v>0</v>
      </c>
      <c r="AY14" s="17">
        <f t="shared" si="16"/>
        <v>0</v>
      </c>
      <c r="AZ14" s="19">
        <f>VLOOKUP(C14,[1]两年对比终版!$A:$W,17,0)</f>
        <v>0</v>
      </c>
      <c r="BA14" s="15" t="e">
        <f t="shared" si="17"/>
        <v>#DIV/0!</v>
      </c>
      <c r="BB14" s="7">
        <f>VLOOKUP(C14,'[2]5月汇总'!$C:$I,6,0)</f>
        <v>0</v>
      </c>
      <c r="BC14" s="16">
        <f t="shared" si="18"/>
        <v>0</v>
      </c>
      <c r="BD14" s="17">
        <f t="shared" si="19"/>
        <v>0</v>
      </c>
      <c r="BE14" s="18">
        <f>VLOOKUP(C14,[1]两年对比终版!$A:$W,20,0)</f>
        <v>0</v>
      </c>
      <c r="BF14" s="15" t="e">
        <f t="shared" si="20"/>
        <v>#DIV/0!</v>
      </c>
      <c r="BG14" s="7">
        <f>VLOOKUP(C14,'[2]5月汇总'!$C:$I,7,0)</f>
        <v>0</v>
      </c>
      <c r="BH14" s="16">
        <f t="shared" si="21"/>
        <v>0</v>
      </c>
      <c r="BI14" s="17">
        <f t="shared" si="22"/>
        <v>0</v>
      </c>
      <c r="BJ14" s="20">
        <f>VLOOKUP(C14,[1]两年对比终版!$A:$W,23,0)</f>
        <v>0</v>
      </c>
      <c r="BK14" s="15" t="e">
        <f t="shared" si="23"/>
        <v>#DIV/0!</v>
      </c>
    </row>
    <row r="15" spans="1:63" s="4" customFormat="1">
      <c r="A15" s="93" t="s">
        <v>38</v>
      </c>
      <c r="B15" s="94"/>
      <c r="C15" s="94"/>
      <c r="D15" s="21">
        <v>5256</v>
      </c>
      <c r="E15" s="21">
        <v>1110</v>
      </c>
      <c r="F15" s="22">
        <v>0.21118721461187201</v>
      </c>
      <c r="G15" s="21">
        <v>1328</v>
      </c>
      <c r="H15" s="23">
        <f t="shared" si="0"/>
        <v>-0.196396396396396</v>
      </c>
      <c r="I15" s="21">
        <v>101740.12</v>
      </c>
      <c r="J15" s="21">
        <v>22497.925999999999</v>
      </c>
      <c r="K15" s="22">
        <v>0.22113130985102</v>
      </c>
      <c r="L15" s="21">
        <v>23737.364600000001</v>
      </c>
      <c r="M15" s="23">
        <f t="shared" si="1"/>
        <v>-5.5091238187911201E-2</v>
      </c>
      <c r="N15" s="21">
        <v>2300</v>
      </c>
      <c r="O15" s="21">
        <v>634</v>
      </c>
      <c r="P15" s="22">
        <v>0.27565217391304297</v>
      </c>
      <c r="Q15" s="21">
        <v>559</v>
      </c>
      <c r="R15" s="23">
        <f t="shared" si="2"/>
        <v>0.118296529968454</v>
      </c>
      <c r="S15" s="21">
        <v>41357</v>
      </c>
      <c r="T15" s="21">
        <v>10310.718999999999</v>
      </c>
      <c r="U15" s="22">
        <v>0.24931012887782</v>
      </c>
      <c r="V15" s="21">
        <v>10378.782300000001</v>
      </c>
      <c r="W15" s="23">
        <f t="shared" si="3"/>
        <v>-6.6012176260454398E-3</v>
      </c>
      <c r="X15" s="21">
        <v>2300</v>
      </c>
      <c r="Y15" s="21">
        <v>453</v>
      </c>
      <c r="Z15" s="22">
        <v>0.19695652173913</v>
      </c>
      <c r="AA15" s="21">
        <v>291</v>
      </c>
      <c r="AB15" s="23">
        <f t="shared" si="4"/>
        <v>0.35761589403973498</v>
      </c>
      <c r="AC15" s="21">
        <v>41357</v>
      </c>
      <c r="AD15" s="21">
        <v>8142.4189999999999</v>
      </c>
      <c r="AE15" s="22">
        <v>0.19688127765553601</v>
      </c>
      <c r="AF15" s="21">
        <v>5367.3683000000001</v>
      </c>
      <c r="AG15" s="23">
        <f t="shared" si="5"/>
        <v>0.34081403818693201</v>
      </c>
      <c r="AH15" s="21">
        <f>SUM(AH5:AH14)</f>
        <v>460</v>
      </c>
      <c r="AI15" s="24">
        <f>AH15+E15</f>
        <v>1570</v>
      </c>
      <c r="AJ15" s="25">
        <f t="shared" si="7"/>
        <v>0.2987062404870624</v>
      </c>
      <c r="AK15" s="21">
        <f>SUM(AK5:AK14)</f>
        <v>2154</v>
      </c>
      <c r="AL15" s="23">
        <f t="shared" si="8"/>
        <v>-0.3719745222929936</v>
      </c>
      <c r="AM15" s="21">
        <f>SUM(AM5:AM14)</f>
        <v>7530.03</v>
      </c>
      <c r="AN15" s="24">
        <f t="shared" si="9"/>
        <v>30027.955999999998</v>
      </c>
      <c r="AO15" s="25">
        <f t="shared" si="10"/>
        <v>0.29514370535438722</v>
      </c>
      <c r="AP15" s="21">
        <f>SUM(AP5:AP14)</f>
        <v>37366.251199999999</v>
      </c>
      <c r="AQ15" s="23">
        <f t="shared" si="11"/>
        <v>-0.24438210845919719</v>
      </c>
      <c r="AR15" s="21">
        <f>SUM(AR5:AR14)</f>
        <v>158</v>
      </c>
      <c r="AS15" s="24">
        <f t="shared" si="12"/>
        <v>792</v>
      </c>
      <c r="AT15" s="25">
        <f t="shared" si="13"/>
        <v>0.34434782608695652</v>
      </c>
      <c r="AU15" s="21">
        <f>SUM(AU5:AU14)</f>
        <v>890</v>
      </c>
      <c r="AV15" s="23">
        <f t="shared" si="14"/>
        <v>-0.12373737373737374</v>
      </c>
      <c r="AW15" s="21">
        <f>SUM(AW5:AW14)</f>
        <v>2382.0299999999997</v>
      </c>
      <c r="AX15" s="24">
        <f t="shared" si="15"/>
        <v>12692.749</v>
      </c>
      <c r="AY15" s="25">
        <f t="shared" si="16"/>
        <v>0.30690690814130617</v>
      </c>
      <c r="AZ15" s="21">
        <f>SUM(AZ5:AZ14)</f>
        <v>15906.592360000001</v>
      </c>
      <c r="BA15" s="23">
        <f t="shared" si="17"/>
        <v>-0.25320309729594437</v>
      </c>
      <c r="BB15" s="21">
        <f>SUM(BB5:BB14)</f>
        <v>173</v>
      </c>
      <c r="BC15" s="24">
        <f t="shared" si="18"/>
        <v>626</v>
      </c>
      <c r="BD15" s="25">
        <f t="shared" si="19"/>
        <v>0.27217391304347827</v>
      </c>
      <c r="BE15" s="21">
        <f>SUM(BE5:BE14)</f>
        <v>613</v>
      </c>
      <c r="BF15" s="23">
        <f t="shared" si="20"/>
        <v>2.0766773162939296E-2</v>
      </c>
      <c r="BG15" s="21">
        <f>SUM(BG5:BG14)</f>
        <v>3353.4900000000002</v>
      </c>
      <c r="BH15" s="24">
        <f t="shared" si="21"/>
        <v>11495.909</v>
      </c>
      <c r="BI15" s="25">
        <f t="shared" si="22"/>
        <v>0.27796767173634451</v>
      </c>
      <c r="BJ15" s="21">
        <f>SUM(BJ5:BJ14)</f>
        <v>11385.117099999999</v>
      </c>
      <c r="BK15" s="23">
        <f t="shared" si="23"/>
        <v>9.6375066991222849E-3</v>
      </c>
    </row>
    <row r="16" spans="1:63">
      <c r="A16" s="12">
        <v>11</v>
      </c>
      <c r="B16" s="12" t="s">
        <v>39</v>
      </c>
      <c r="C16" s="12" t="s">
        <v>40</v>
      </c>
      <c r="D16" s="13">
        <v>54</v>
      </c>
      <c r="E16" s="13">
        <v>34</v>
      </c>
      <c r="F16" s="14">
        <v>0.62962962962962998</v>
      </c>
      <c r="G16" s="13">
        <v>15</v>
      </c>
      <c r="H16" s="15">
        <f t="shared" si="0"/>
        <v>0.55882352941176505</v>
      </c>
      <c r="I16" s="13">
        <v>540</v>
      </c>
      <c r="J16" s="13">
        <v>294.161</v>
      </c>
      <c r="K16" s="14">
        <v>0.54474259259259294</v>
      </c>
      <c r="L16" s="13">
        <v>152.22</v>
      </c>
      <c r="M16" s="15">
        <f t="shared" si="1"/>
        <v>0.48252827533221598</v>
      </c>
      <c r="N16" s="13">
        <v>32</v>
      </c>
      <c r="O16" s="13">
        <v>4</v>
      </c>
      <c r="P16" s="14">
        <v>0.125</v>
      </c>
      <c r="Q16" s="13">
        <v>1</v>
      </c>
      <c r="R16" s="15">
        <f t="shared" si="2"/>
        <v>0.75</v>
      </c>
      <c r="S16" s="13">
        <v>264.16300000000001</v>
      </c>
      <c r="T16" s="13">
        <v>36.860999999999997</v>
      </c>
      <c r="U16" s="14">
        <v>0.139538845334131</v>
      </c>
      <c r="V16" s="13">
        <v>7.6</v>
      </c>
      <c r="W16" s="15">
        <f t="shared" si="3"/>
        <v>0.79382002658636497</v>
      </c>
      <c r="X16" s="13">
        <v>32</v>
      </c>
      <c r="Y16" s="13">
        <v>6</v>
      </c>
      <c r="Z16" s="14">
        <v>0.1875</v>
      </c>
      <c r="AA16" s="13">
        <v>1</v>
      </c>
      <c r="AB16" s="15">
        <f t="shared" si="4"/>
        <v>0.83333333333333304</v>
      </c>
      <c r="AC16" s="13">
        <v>264.16300000000001</v>
      </c>
      <c r="AD16" s="13">
        <v>55.487099999999998</v>
      </c>
      <c r="AE16" s="14">
        <v>0.21004871991914101</v>
      </c>
      <c r="AF16" s="13">
        <v>7.6</v>
      </c>
      <c r="AG16" s="15">
        <f t="shared" si="5"/>
        <v>0.86303122707800595</v>
      </c>
      <c r="AH16" s="7">
        <f>VLOOKUP(C16,'[2]5月汇总'!$C:$I,2,0)</f>
        <v>8</v>
      </c>
      <c r="AI16" s="16">
        <f>E16+AH16</f>
        <v>42</v>
      </c>
      <c r="AJ16" s="17">
        <f t="shared" si="7"/>
        <v>0.77777777777777801</v>
      </c>
      <c r="AK16" s="18">
        <f>VLOOKUP(C16,[1]两年对比终版!$A:$C,3,0)</f>
        <v>35</v>
      </c>
      <c r="AL16" s="15">
        <f t="shared" si="8"/>
        <v>0.16666666666666699</v>
      </c>
      <c r="AM16" s="7">
        <f>VLOOKUP(C16,'[2]5月汇总'!$C:$I,3,0)</f>
        <v>80</v>
      </c>
      <c r="AN16" s="16">
        <f t="shared" si="9"/>
        <v>374.161</v>
      </c>
      <c r="AO16" s="17">
        <f t="shared" si="10"/>
        <v>0.69289074074074097</v>
      </c>
      <c r="AP16" s="19">
        <f>VLOOKUP(C16,[1]两年对比终版!$A:$F,6,0)</f>
        <v>287.19</v>
      </c>
      <c r="AQ16" s="15">
        <f t="shared" si="11"/>
        <v>0.23244271850887699</v>
      </c>
      <c r="AR16" s="7">
        <f>VLOOKUP(C16,'[2]5月汇总'!$C:$I,4,0)</f>
        <v>4</v>
      </c>
      <c r="AS16" s="16">
        <f t="shared" si="12"/>
        <v>8</v>
      </c>
      <c r="AT16" s="17">
        <f t="shared" si="13"/>
        <v>0.25</v>
      </c>
      <c r="AU16" s="7">
        <f>VLOOKUP(C16,[1]两年对比终版!$A:$W,14,0)</f>
        <v>1</v>
      </c>
      <c r="AV16" s="15">
        <f t="shared" si="14"/>
        <v>0.875</v>
      </c>
      <c r="AW16" s="7">
        <f>VLOOKUP(C16,'[2]5月汇总'!$C:$I,5,0)</f>
        <v>40</v>
      </c>
      <c r="AX16" s="16">
        <f t="shared" si="15"/>
        <v>76.861000000000004</v>
      </c>
      <c r="AY16" s="17">
        <f t="shared" si="16"/>
        <v>0.29096050544550101</v>
      </c>
      <c r="AZ16" s="19">
        <f>VLOOKUP(C16,[1]两年对比终版!$A:$W,17,0)</f>
        <v>7.6</v>
      </c>
      <c r="BA16" s="15">
        <f t="shared" si="17"/>
        <v>0.901120204004632</v>
      </c>
      <c r="BB16" s="7">
        <f>VLOOKUP(C16,'[2]5月汇总'!$C:$I,6,0)</f>
        <v>5</v>
      </c>
      <c r="BC16" s="16">
        <f t="shared" si="18"/>
        <v>11</v>
      </c>
      <c r="BD16" s="17">
        <f t="shared" si="19"/>
        <v>0.34375</v>
      </c>
      <c r="BE16" s="18">
        <f>VLOOKUP(C16,[1]两年对比终版!$A:$W,20,0)</f>
        <v>1</v>
      </c>
      <c r="BF16" s="15">
        <f t="shared" si="20"/>
        <v>0.90909090909090895</v>
      </c>
      <c r="BG16" s="7">
        <f>VLOOKUP(C16,'[2]5月汇总'!$C:$I,7,0)</f>
        <v>38.42</v>
      </c>
      <c r="BH16" s="16">
        <f t="shared" si="21"/>
        <v>93.9071</v>
      </c>
      <c r="BI16" s="17">
        <f t="shared" si="22"/>
        <v>0.35548922445611197</v>
      </c>
      <c r="BJ16" s="20">
        <f>VLOOKUP(C16,[1]两年对比终版!$A:$W,23,0)</f>
        <v>7.6</v>
      </c>
      <c r="BK16" s="15">
        <f t="shared" si="23"/>
        <v>0.919068952187854</v>
      </c>
    </row>
    <row r="17" spans="1:63">
      <c r="A17" s="12">
        <v>12</v>
      </c>
      <c r="B17" s="12" t="s">
        <v>25</v>
      </c>
      <c r="C17" s="12" t="s">
        <v>41</v>
      </c>
      <c r="D17" s="13">
        <v>277</v>
      </c>
      <c r="E17" s="13">
        <v>67</v>
      </c>
      <c r="F17" s="14">
        <v>0.241877256317689</v>
      </c>
      <c r="G17" s="13">
        <v>111</v>
      </c>
      <c r="H17" s="15">
        <f t="shared" si="0"/>
        <v>-0.65671641791044799</v>
      </c>
      <c r="I17" s="13">
        <v>6100</v>
      </c>
      <c r="J17" s="13">
        <v>1640.06</v>
      </c>
      <c r="K17" s="14">
        <v>0.26886229508196702</v>
      </c>
      <c r="L17" s="13">
        <v>2182.014334</v>
      </c>
      <c r="M17" s="15">
        <f t="shared" si="1"/>
        <v>-0.33044787019987099</v>
      </c>
      <c r="N17" s="13">
        <v>101</v>
      </c>
      <c r="O17" s="13">
        <v>4</v>
      </c>
      <c r="P17" s="14">
        <v>3.9603960396039598E-2</v>
      </c>
      <c r="Q17" s="13">
        <v>42</v>
      </c>
      <c r="R17" s="15">
        <f t="shared" si="2"/>
        <v>-9.5</v>
      </c>
      <c r="S17" s="13">
        <v>2153</v>
      </c>
      <c r="T17" s="13">
        <v>74.276200000000003</v>
      </c>
      <c r="U17" s="14">
        <v>3.4498931723177001E-2</v>
      </c>
      <c r="V17" s="13">
        <v>1068.6718559999999</v>
      </c>
      <c r="W17" s="15">
        <f t="shared" si="3"/>
        <v>-13.3878100387473</v>
      </c>
      <c r="X17" s="13">
        <v>101</v>
      </c>
      <c r="Y17" s="13">
        <v>21</v>
      </c>
      <c r="Z17" s="14">
        <v>0.20792079207920799</v>
      </c>
      <c r="AA17" s="13">
        <v>21</v>
      </c>
      <c r="AB17" s="15">
        <f t="shared" si="4"/>
        <v>0</v>
      </c>
      <c r="AC17" s="13">
        <v>2153</v>
      </c>
      <c r="AD17" s="13">
        <v>398.03500000000003</v>
      </c>
      <c r="AE17" s="14">
        <v>0.184874593590339</v>
      </c>
      <c r="AF17" s="13">
        <v>522.63907300000005</v>
      </c>
      <c r="AG17" s="15">
        <f t="shared" si="5"/>
        <v>-0.31304803095205203</v>
      </c>
      <c r="AH17" s="7">
        <f>VLOOKUP(C17,'[2]5月汇总'!$C:$I,2,0)</f>
        <v>0</v>
      </c>
      <c r="AI17" s="16">
        <f t="shared" ref="AI17:AI24" si="24">E17+AH17</f>
        <v>67</v>
      </c>
      <c r="AJ17" s="17">
        <f t="shared" ref="AJ17:AJ26" si="25">AI17/D17</f>
        <v>0.24187725631769</v>
      </c>
      <c r="AK17" s="18">
        <f>VLOOKUP(C17,[1]两年对比终版!$A:$C,3,0)</f>
        <v>196</v>
      </c>
      <c r="AL17" s="15">
        <f t="shared" si="8"/>
        <v>-1.92537313432836</v>
      </c>
      <c r="AM17" s="7">
        <f>VLOOKUP(C17,'[2]5月汇总'!$C:$I,3,0)</f>
        <v>0</v>
      </c>
      <c r="AN17" s="16">
        <f t="shared" ref="AN17:AN26" si="26">AM17+J17</f>
        <v>1640.06</v>
      </c>
      <c r="AO17" s="17">
        <f t="shared" ref="AO17:AO26" si="27">AN17/I17</f>
        <v>0.26886229508196702</v>
      </c>
      <c r="AP17" s="19">
        <f>VLOOKUP(C17,[1]两年对比终版!$A:$F,6,0)</f>
        <v>4135.4804710000099</v>
      </c>
      <c r="AQ17" s="15">
        <f t="shared" si="11"/>
        <v>-1.5215421819933499</v>
      </c>
      <c r="AR17" s="7">
        <f>VLOOKUP(C17,'[2]5月汇总'!$C:$I,4,0)</f>
        <v>0</v>
      </c>
      <c r="AS17" s="16">
        <f t="shared" ref="AS17:AS26" si="28">AR17+O17</f>
        <v>4</v>
      </c>
      <c r="AT17" s="17">
        <f t="shared" ref="AT17:AT26" si="29">AS17/N17</f>
        <v>3.9603960396039598E-2</v>
      </c>
      <c r="AU17" s="7">
        <f>VLOOKUP(C17,[1]两年对比终版!$A:$W,14,0)</f>
        <v>77</v>
      </c>
      <c r="AV17" s="15">
        <f t="shared" si="14"/>
        <v>-18.25</v>
      </c>
      <c r="AW17" s="7">
        <f>VLOOKUP(C17,'[2]5月汇总'!$C:$I,5,0)</f>
        <v>0</v>
      </c>
      <c r="AX17" s="16">
        <f t="shared" ref="AX17:AX26" si="30">AW17+T17</f>
        <v>74.276200000000003</v>
      </c>
      <c r="AY17" s="17">
        <f t="shared" ref="AY17:AY26" si="31">AX17/S17</f>
        <v>3.4498931723177001E-2</v>
      </c>
      <c r="AZ17" s="19">
        <f>VLOOKUP(C17,[1]两年对比终版!$A:$W,17,0)</f>
        <v>1734.6186439999999</v>
      </c>
      <c r="BA17" s="15">
        <f t="shared" si="17"/>
        <v>-22.353626652952101</v>
      </c>
      <c r="BB17" s="7">
        <f>VLOOKUP(C17,'[2]5月汇总'!$C:$I,6,0)</f>
        <v>7</v>
      </c>
      <c r="BC17" s="16">
        <f t="shared" ref="BC17:BC26" si="32">BB17+Y17</f>
        <v>28</v>
      </c>
      <c r="BD17" s="17">
        <f t="shared" ref="BD17:BD26" si="33">BC17/X17</f>
        <v>0.27722772277227697</v>
      </c>
      <c r="BE17" s="18">
        <f>VLOOKUP(C17,[1]两年对比终版!$A:$W,20,0)</f>
        <v>25</v>
      </c>
      <c r="BF17" s="15">
        <f t="shared" si="20"/>
        <v>0.107142857142857</v>
      </c>
      <c r="BG17" s="7">
        <f>VLOOKUP(C17,'[2]5月汇总'!$C:$I,7,0)</f>
        <v>140</v>
      </c>
      <c r="BH17" s="16">
        <f t="shared" si="21"/>
        <v>538.03499999999997</v>
      </c>
      <c r="BI17" s="17">
        <f t="shared" si="22"/>
        <v>0.24990013934045499</v>
      </c>
      <c r="BJ17" s="20">
        <f>VLOOKUP(C17,[1]两年对比终版!$A:$W,23,0)</f>
        <v>619.60194100000001</v>
      </c>
      <c r="BK17" s="15">
        <f t="shared" si="23"/>
        <v>-0.151601551943646</v>
      </c>
    </row>
    <row r="18" spans="1:63">
      <c r="A18" s="12">
        <v>13</v>
      </c>
      <c r="B18" s="12" t="s">
        <v>25</v>
      </c>
      <c r="C18" s="12" t="s">
        <v>42</v>
      </c>
      <c r="D18" s="13">
        <v>566</v>
      </c>
      <c r="E18" s="13">
        <v>189</v>
      </c>
      <c r="F18" s="14">
        <v>0.33392226148409898</v>
      </c>
      <c r="G18" s="13">
        <v>87</v>
      </c>
      <c r="H18" s="15">
        <f t="shared" si="0"/>
        <v>0.53968253968253999</v>
      </c>
      <c r="I18" s="13">
        <v>20400</v>
      </c>
      <c r="J18" s="13">
        <v>4595.47</v>
      </c>
      <c r="K18" s="14">
        <v>0.225268137254902</v>
      </c>
      <c r="L18" s="13">
        <v>1832.6242070000001</v>
      </c>
      <c r="M18" s="15">
        <f t="shared" si="1"/>
        <v>0.60121071250601099</v>
      </c>
      <c r="N18" s="13">
        <v>260</v>
      </c>
      <c r="O18" s="13">
        <v>121</v>
      </c>
      <c r="P18" s="14">
        <v>0.46538461538461501</v>
      </c>
      <c r="Q18" s="13">
        <v>33</v>
      </c>
      <c r="R18" s="15">
        <f t="shared" si="2"/>
        <v>0.72727272727272696</v>
      </c>
      <c r="S18" s="13">
        <v>8500</v>
      </c>
      <c r="T18" s="13">
        <v>5373.9</v>
      </c>
      <c r="U18" s="14">
        <v>0.63222352941176496</v>
      </c>
      <c r="V18" s="13">
        <v>1324.448185</v>
      </c>
      <c r="W18" s="15">
        <f t="shared" si="3"/>
        <v>0.75354059714546195</v>
      </c>
      <c r="X18" s="13">
        <v>260</v>
      </c>
      <c r="Y18" s="13">
        <v>122</v>
      </c>
      <c r="Z18" s="14">
        <v>0.46923076923076901</v>
      </c>
      <c r="AA18" s="13">
        <v>1</v>
      </c>
      <c r="AB18" s="15">
        <f t="shared" si="4"/>
        <v>0.99180327868852503</v>
      </c>
      <c r="AC18" s="13">
        <v>8500</v>
      </c>
      <c r="AD18" s="13">
        <v>5274.41</v>
      </c>
      <c r="AE18" s="14">
        <v>0.62051882352941201</v>
      </c>
      <c r="AF18" s="13">
        <v>13.34</v>
      </c>
      <c r="AG18" s="15">
        <f t="shared" si="5"/>
        <v>0.99747080716137004</v>
      </c>
      <c r="AH18" s="7">
        <f>VLOOKUP(C18,'[2]5月汇总'!$C:$I,2,0)</f>
        <v>75</v>
      </c>
      <c r="AI18" s="16">
        <f t="shared" si="24"/>
        <v>264</v>
      </c>
      <c r="AJ18" s="17">
        <f t="shared" si="25"/>
        <v>0.46643109540636002</v>
      </c>
      <c r="AK18" s="18">
        <f>VLOOKUP(C18,[1]两年对比终版!$A:$C,3,0)</f>
        <v>260</v>
      </c>
      <c r="AL18" s="15">
        <f t="shared" si="8"/>
        <v>1.5151515151515201E-2</v>
      </c>
      <c r="AM18" s="7">
        <f>VLOOKUP(C18,'[2]5月汇总'!$C:$I,3,0)</f>
        <v>2500</v>
      </c>
      <c r="AN18" s="16">
        <f t="shared" si="26"/>
        <v>7095.47</v>
      </c>
      <c r="AO18" s="17">
        <f t="shared" si="27"/>
        <v>0.347817156862745</v>
      </c>
      <c r="AP18" s="19">
        <f>VLOOKUP(C18,[1]两年对比终版!$A:$F,6,0)</f>
        <v>5925.60401799999</v>
      </c>
      <c r="AQ18" s="15">
        <f t="shared" si="11"/>
        <v>0.16487505154697399</v>
      </c>
      <c r="AR18" s="7">
        <f>VLOOKUP(C18,'[2]5月汇总'!$C:$I,4,0)</f>
        <v>15</v>
      </c>
      <c r="AS18" s="16">
        <f t="shared" si="28"/>
        <v>136</v>
      </c>
      <c r="AT18" s="17">
        <f t="shared" si="29"/>
        <v>0.52307692307692299</v>
      </c>
      <c r="AU18" s="7">
        <f>VLOOKUP(C18,[1]两年对比终版!$A:$W,14,0)</f>
        <v>106</v>
      </c>
      <c r="AV18" s="15">
        <f t="shared" si="14"/>
        <v>0.220588235294118</v>
      </c>
      <c r="AW18" s="7">
        <f>VLOOKUP(C18,'[2]5月汇总'!$C:$I,5,0)</f>
        <v>540</v>
      </c>
      <c r="AX18" s="16">
        <f t="shared" si="30"/>
        <v>5913.9</v>
      </c>
      <c r="AY18" s="17">
        <f t="shared" si="31"/>
        <v>0.69575294117647102</v>
      </c>
      <c r="AZ18" s="19">
        <f>VLOOKUP(C18,[1]两年对比终版!$A:$W,17,0)</f>
        <v>3962.6091150000002</v>
      </c>
      <c r="BA18" s="15">
        <f t="shared" si="17"/>
        <v>0.329949928980875</v>
      </c>
      <c r="BB18" s="7">
        <f>VLOOKUP(C18,'[2]5月汇总'!$C:$I,6,0)</f>
        <v>18</v>
      </c>
      <c r="BC18" s="16">
        <f t="shared" si="32"/>
        <v>140</v>
      </c>
      <c r="BD18" s="17">
        <f t="shared" si="33"/>
        <v>0.53846153846153799</v>
      </c>
      <c r="BE18" s="18">
        <f>VLOOKUP(C18,[1]两年对比终版!$A:$W,20,0)</f>
        <v>10</v>
      </c>
      <c r="BF18" s="15">
        <f t="shared" si="20"/>
        <v>0.92857142857142905</v>
      </c>
      <c r="BG18" s="7">
        <f>VLOOKUP(C18,'[2]5月汇总'!$C:$I,7,0)</f>
        <v>650</v>
      </c>
      <c r="BH18" s="16">
        <f t="shared" si="21"/>
        <v>5924.41</v>
      </c>
      <c r="BI18" s="17">
        <f t="shared" si="22"/>
        <v>0.69698941176470597</v>
      </c>
      <c r="BJ18" s="20">
        <f>VLOOKUP(C18,[1]两年对比终版!$A:$W,23,0)</f>
        <v>374.14792599999998</v>
      </c>
      <c r="BK18" s="15">
        <f t="shared" si="23"/>
        <v>0.93684638200259596</v>
      </c>
    </row>
    <row r="19" spans="1:63">
      <c r="A19" s="12">
        <v>14</v>
      </c>
      <c r="B19" s="12" t="s">
        <v>39</v>
      </c>
      <c r="C19" s="12" t="s">
        <v>43</v>
      </c>
      <c r="D19" s="13">
        <v>90</v>
      </c>
      <c r="E19" s="13">
        <v>20</v>
      </c>
      <c r="F19" s="14">
        <v>0.22222222222222199</v>
      </c>
      <c r="G19" s="13">
        <v>37</v>
      </c>
      <c r="H19" s="15">
        <f t="shared" si="0"/>
        <v>-0.85</v>
      </c>
      <c r="I19" s="13">
        <v>840</v>
      </c>
      <c r="J19" s="13">
        <v>264.23200000000003</v>
      </c>
      <c r="K19" s="14">
        <v>0.31456190476190499</v>
      </c>
      <c r="L19" s="13">
        <v>361.66129799999999</v>
      </c>
      <c r="M19" s="15">
        <f t="shared" si="1"/>
        <v>-0.36872633897483997</v>
      </c>
      <c r="N19" s="13">
        <v>25</v>
      </c>
      <c r="O19" s="13">
        <v>4</v>
      </c>
      <c r="P19" s="14">
        <v>0.16</v>
      </c>
      <c r="Q19" s="13">
        <v>15</v>
      </c>
      <c r="R19" s="15">
        <f t="shared" si="2"/>
        <v>-2.75</v>
      </c>
      <c r="S19" s="13">
        <v>200</v>
      </c>
      <c r="T19" s="13">
        <v>47.118000000000002</v>
      </c>
      <c r="U19" s="14">
        <v>0.23558999999999999</v>
      </c>
      <c r="V19" s="13">
        <v>142.717502</v>
      </c>
      <c r="W19" s="15">
        <f t="shared" si="3"/>
        <v>-2.0289380279298799</v>
      </c>
      <c r="X19" s="13">
        <v>25</v>
      </c>
      <c r="Y19" s="13">
        <v>3</v>
      </c>
      <c r="Z19" s="14">
        <v>0.12</v>
      </c>
      <c r="AA19" s="13">
        <v>18</v>
      </c>
      <c r="AB19" s="15">
        <f t="shared" si="4"/>
        <v>-5</v>
      </c>
      <c r="AC19" s="13">
        <v>200</v>
      </c>
      <c r="AD19" s="13">
        <v>32.820099999999996</v>
      </c>
      <c r="AE19" s="14">
        <v>0.16410050000000001</v>
      </c>
      <c r="AF19" s="13">
        <v>174.47637700000001</v>
      </c>
      <c r="AG19" s="15">
        <f t="shared" si="5"/>
        <v>-4.3161439788422404</v>
      </c>
      <c r="AH19" s="7">
        <f>VLOOKUP(C19,'[2]5月汇总'!$C:$I,2,0)</f>
        <v>10</v>
      </c>
      <c r="AI19" s="16">
        <f t="shared" si="24"/>
        <v>30</v>
      </c>
      <c r="AJ19" s="17">
        <f t="shared" si="25"/>
        <v>0.33333333333333298</v>
      </c>
      <c r="AK19" s="18">
        <f>VLOOKUP(C19,[1]两年对比终版!$A:$C,3,0)</f>
        <v>52</v>
      </c>
      <c r="AL19" s="15">
        <f t="shared" si="8"/>
        <v>-0.73333333333333295</v>
      </c>
      <c r="AM19" s="7">
        <f>VLOOKUP(C19,'[2]5月汇总'!$C:$I,3,0)</f>
        <v>82.8</v>
      </c>
      <c r="AN19" s="16">
        <f t="shared" si="26"/>
        <v>347.03199999999998</v>
      </c>
      <c r="AO19" s="17">
        <f t="shared" si="27"/>
        <v>0.41313333333333302</v>
      </c>
      <c r="AP19" s="19">
        <f>VLOOKUP(C19,[1]两年对比终版!$A:$F,6,0)</f>
        <v>517.46812299999999</v>
      </c>
      <c r="AQ19" s="15">
        <f t="shared" si="11"/>
        <v>-0.49112509221051598</v>
      </c>
      <c r="AR19" s="7">
        <f>VLOOKUP(C19,'[2]5月汇总'!$C:$I,4,0)</f>
        <v>2</v>
      </c>
      <c r="AS19" s="16">
        <f t="shared" si="28"/>
        <v>6</v>
      </c>
      <c r="AT19" s="17">
        <f t="shared" si="29"/>
        <v>0.24</v>
      </c>
      <c r="AU19" s="7">
        <f>VLOOKUP(C19,[1]两年对比终版!$A:$W,14,0)</f>
        <v>26</v>
      </c>
      <c r="AV19" s="15">
        <f t="shared" si="14"/>
        <v>-3.3333333333333299</v>
      </c>
      <c r="AW19" s="7">
        <f>VLOOKUP(C19,'[2]5月汇总'!$C:$I,5,0)</f>
        <v>20.079999999999998</v>
      </c>
      <c r="AX19" s="16">
        <f t="shared" si="30"/>
        <v>67.197999999999993</v>
      </c>
      <c r="AY19" s="17">
        <f t="shared" si="31"/>
        <v>0.33599000000000001</v>
      </c>
      <c r="AZ19" s="19">
        <f>VLOOKUP(C19,[1]两年对比终版!$A:$W,17,0)</f>
        <v>239.82782900000001</v>
      </c>
      <c r="BA19" s="15">
        <f t="shared" si="17"/>
        <v>-2.5689727224024499</v>
      </c>
      <c r="BB19" s="7">
        <f>VLOOKUP(C19,'[2]5月汇总'!$C:$I,6,0)</f>
        <v>2</v>
      </c>
      <c r="BC19" s="16">
        <f t="shared" si="32"/>
        <v>5</v>
      </c>
      <c r="BD19" s="17">
        <f t="shared" si="33"/>
        <v>0.2</v>
      </c>
      <c r="BE19" s="18">
        <f>VLOOKUP(C19,[1]两年对比终版!$A:$W,20,0)</f>
        <v>25</v>
      </c>
      <c r="BF19" s="15">
        <f t="shared" si="20"/>
        <v>-4</v>
      </c>
      <c r="BG19" s="7">
        <f>VLOOKUP(C19,'[2]5月汇总'!$C:$I,7,0)</f>
        <v>20</v>
      </c>
      <c r="BH19" s="16">
        <f t="shared" si="21"/>
        <v>52.820099999999996</v>
      </c>
      <c r="BI19" s="17">
        <f t="shared" si="22"/>
        <v>0.26410050000000002</v>
      </c>
      <c r="BJ19" s="20">
        <f>VLOOKUP(C19,[1]两年对比终版!$A:$W,23,0)</f>
        <v>233.58912900000001</v>
      </c>
      <c r="BK19" s="15">
        <f t="shared" si="23"/>
        <v>-3.4223530247008198</v>
      </c>
    </row>
    <row r="20" spans="1:63">
      <c r="A20" s="12">
        <v>15</v>
      </c>
      <c r="B20" s="12" t="s">
        <v>39</v>
      </c>
      <c r="C20" s="12" t="s">
        <v>44</v>
      </c>
      <c r="D20" s="13">
        <v>136</v>
      </c>
      <c r="E20" s="13">
        <v>44</v>
      </c>
      <c r="F20" s="14">
        <v>0.32352941176470601</v>
      </c>
      <c r="G20" s="13">
        <v>0</v>
      </c>
      <c r="H20" s="15">
        <f t="shared" si="0"/>
        <v>1</v>
      </c>
      <c r="I20" s="13">
        <v>1200</v>
      </c>
      <c r="J20" s="13">
        <v>382.54</v>
      </c>
      <c r="K20" s="14">
        <v>0.31878333333333297</v>
      </c>
      <c r="L20" s="13">
        <v>0</v>
      </c>
      <c r="M20" s="15">
        <f t="shared" si="1"/>
        <v>1</v>
      </c>
      <c r="N20" s="13">
        <v>36</v>
      </c>
      <c r="O20" s="13">
        <v>9</v>
      </c>
      <c r="P20" s="14">
        <v>0.25</v>
      </c>
      <c r="Q20" s="13">
        <v>0</v>
      </c>
      <c r="R20" s="15">
        <f t="shared" si="2"/>
        <v>1</v>
      </c>
      <c r="S20" s="13">
        <v>300</v>
      </c>
      <c r="T20" s="13">
        <v>74.13</v>
      </c>
      <c r="U20" s="14">
        <v>0.24709999999999999</v>
      </c>
      <c r="V20" s="13">
        <v>0</v>
      </c>
      <c r="W20" s="15">
        <f t="shared" si="3"/>
        <v>1</v>
      </c>
      <c r="X20" s="13">
        <v>36</v>
      </c>
      <c r="Y20" s="13">
        <v>9</v>
      </c>
      <c r="Z20" s="14">
        <v>0.25</v>
      </c>
      <c r="AA20" s="13">
        <v>0</v>
      </c>
      <c r="AB20" s="15">
        <f t="shared" si="4"/>
        <v>1</v>
      </c>
      <c r="AC20" s="13">
        <v>300</v>
      </c>
      <c r="AD20" s="13">
        <v>74.13</v>
      </c>
      <c r="AE20" s="14">
        <v>0.24709999999999999</v>
      </c>
      <c r="AF20" s="13">
        <v>0</v>
      </c>
      <c r="AG20" s="15">
        <f t="shared" si="5"/>
        <v>1</v>
      </c>
      <c r="AH20" s="7">
        <f>VLOOKUP(C20,'[2]5月汇总'!$C:$I,2,0)</f>
        <v>20</v>
      </c>
      <c r="AI20" s="16">
        <f t="shared" si="24"/>
        <v>64</v>
      </c>
      <c r="AJ20" s="17">
        <f t="shared" si="25"/>
        <v>0.47058823529411797</v>
      </c>
      <c r="AK20" s="18">
        <f>VLOOKUP(C20,[1]两年对比终版!$A:$C,3,0)</f>
        <v>0</v>
      </c>
      <c r="AL20" s="15">
        <f t="shared" si="8"/>
        <v>1</v>
      </c>
      <c r="AM20" s="7">
        <f>VLOOKUP(C20,'[2]5月汇总'!$C:$I,3,0)</f>
        <v>160</v>
      </c>
      <c r="AN20" s="16">
        <f t="shared" si="26"/>
        <v>542.54</v>
      </c>
      <c r="AO20" s="17">
        <f t="shared" si="27"/>
        <v>0.452116666666667</v>
      </c>
      <c r="AP20" s="19">
        <f>VLOOKUP(C20,[1]两年对比终版!$A:$F,6,0)</f>
        <v>0</v>
      </c>
      <c r="AQ20" s="15">
        <f t="shared" si="11"/>
        <v>1</v>
      </c>
      <c r="AR20" s="7">
        <f>VLOOKUP(C20,'[2]5月汇总'!$C:$I,4,0)</f>
        <v>20</v>
      </c>
      <c r="AS20" s="16">
        <f t="shared" si="28"/>
        <v>29</v>
      </c>
      <c r="AT20" s="17">
        <f t="shared" si="29"/>
        <v>0.80555555555555602</v>
      </c>
      <c r="AU20" s="7">
        <f>VLOOKUP(C20,[1]两年对比终版!$A:$W,14,0)</f>
        <v>0</v>
      </c>
      <c r="AV20" s="15">
        <f t="shared" si="14"/>
        <v>1</v>
      </c>
      <c r="AW20" s="7">
        <f>VLOOKUP(C20,'[2]5月汇总'!$C:$I,5,0)</f>
        <v>160</v>
      </c>
      <c r="AX20" s="16">
        <f t="shared" si="30"/>
        <v>234.13</v>
      </c>
      <c r="AY20" s="17">
        <f t="shared" si="31"/>
        <v>0.78043333333333298</v>
      </c>
      <c r="AZ20" s="19">
        <f>VLOOKUP(C20,[1]两年对比终版!$A:$W,17,0)</f>
        <v>0</v>
      </c>
      <c r="BA20" s="15">
        <f t="shared" si="17"/>
        <v>1</v>
      </c>
      <c r="BB20" s="7">
        <f>VLOOKUP(C20,'[2]5月汇总'!$C:$I,6,0)</f>
        <v>0</v>
      </c>
      <c r="BC20" s="16">
        <f t="shared" si="32"/>
        <v>9</v>
      </c>
      <c r="BD20" s="17">
        <f t="shared" si="33"/>
        <v>0.25</v>
      </c>
      <c r="BE20" s="18">
        <f>VLOOKUP(C20,[1]两年对比终版!$A:$W,20,0)</f>
        <v>0</v>
      </c>
      <c r="BF20" s="15">
        <f t="shared" si="20"/>
        <v>1</v>
      </c>
      <c r="BG20" s="7">
        <f>VLOOKUP(C20,'[2]5月汇总'!$C:$I,7,0)</f>
        <v>0</v>
      </c>
      <c r="BH20" s="16">
        <f t="shared" si="21"/>
        <v>74.13</v>
      </c>
      <c r="BI20" s="17">
        <f t="shared" si="22"/>
        <v>0.24709999999999999</v>
      </c>
      <c r="BJ20" s="20">
        <f>VLOOKUP(C20,[1]两年对比终版!$A:$W,23,0)</f>
        <v>0</v>
      </c>
      <c r="BK20" s="15">
        <f t="shared" si="23"/>
        <v>1</v>
      </c>
    </row>
    <row r="21" spans="1:63">
      <c r="A21" s="12">
        <v>16</v>
      </c>
      <c r="B21" s="12" t="s">
        <v>39</v>
      </c>
      <c r="C21" s="12" t="s">
        <v>45</v>
      </c>
      <c r="D21" s="13">
        <v>40</v>
      </c>
      <c r="E21" s="13">
        <v>5</v>
      </c>
      <c r="F21" s="14">
        <v>0.125</v>
      </c>
      <c r="G21" s="13">
        <v>40</v>
      </c>
      <c r="H21" s="15">
        <f t="shared" si="0"/>
        <v>-7</v>
      </c>
      <c r="I21" s="13">
        <v>200</v>
      </c>
      <c r="J21" s="13">
        <v>40.681399999999996</v>
      </c>
      <c r="K21" s="14">
        <v>0.203407</v>
      </c>
      <c r="L21" s="13">
        <v>334.906677</v>
      </c>
      <c r="M21" s="15">
        <f t="shared" si="1"/>
        <v>-7.2324275221600098</v>
      </c>
      <c r="N21" s="13">
        <v>36</v>
      </c>
      <c r="O21" s="13">
        <v>0</v>
      </c>
      <c r="P21" s="14">
        <v>0</v>
      </c>
      <c r="Q21" s="13">
        <v>0</v>
      </c>
      <c r="R21" s="15" t="e">
        <f t="shared" si="2"/>
        <v>#DIV/0!</v>
      </c>
      <c r="S21" s="13">
        <v>200</v>
      </c>
      <c r="T21" s="13">
        <v>0</v>
      </c>
      <c r="U21" s="14">
        <v>0</v>
      </c>
      <c r="V21" s="13">
        <v>0</v>
      </c>
      <c r="W21" s="15" t="e">
        <f t="shared" si="3"/>
        <v>#DIV/0!</v>
      </c>
      <c r="X21" s="13">
        <v>36</v>
      </c>
      <c r="Y21" s="13">
        <v>0</v>
      </c>
      <c r="Z21" s="14">
        <v>0</v>
      </c>
      <c r="AA21" s="13">
        <v>0</v>
      </c>
      <c r="AB21" s="15" t="e">
        <f t="shared" si="4"/>
        <v>#DIV/0!</v>
      </c>
      <c r="AC21" s="13">
        <v>200</v>
      </c>
      <c r="AD21" s="13">
        <v>0</v>
      </c>
      <c r="AE21" s="14">
        <v>0</v>
      </c>
      <c r="AF21" s="13">
        <v>0</v>
      </c>
      <c r="AG21" s="15" t="e">
        <f t="shared" si="5"/>
        <v>#DIV/0!</v>
      </c>
      <c r="AH21" s="7">
        <f>VLOOKUP(C21,'[2]5月汇总'!$C:$I,2,0)</f>
        <v>10</v>
      </c>
      <c r="AI21" s="16">
        <f t="shared" si="24"/>
        <v>15</v>
      </c>
      <c r="AJ21" s="17">
        <f t="shared" si="25"/>
        <v>0.375</v>
      </c>
      <c r="AK21" s="18">
        <f>VLOOKUP(C21,[1]两年对比终版!$A:$C,3,0)</f>
        <v>94</v>
      </c>
      <c r="AL21" s="15">
        <f t="shared" si="8"/>
        <v>-5.2666666666666702</v>
      </c>
      <c r="AM21" s="7">
        <f>VLOOKUP(C21,'[2]5月汇总'!$C:$I,3,0)</f>
        <v>70</v>
      </c>
      <c r="AN21" s="16">
        <f t="shared" si="26"/>
        <v>110.6814</v>
      </c>
      <c r="AO21" s="17">
        <f t="shared" si="27"/>
        <v>0.55340699999999998</v>
      </c>
      <c r="AP21" s="19">
        <f>VLOOKUP(C21,[1]两年对比终版!$A:$F,6,0)</f>
        <v>1146.336677</v>
      </c>
      <c r="AQ21" s="15">
        <f t="shared" si="11"/>
        <v>-9.3570850838533008</v>
      </c>
      <c r="AR21" s="7">
        <f>VLOOKUP(C21,'[2]5月汇总'!$C:$I,4,0)</f>
        <v>0</v>
      </c>
      <c r="AS21" s="16">
        <f t="shared" si="28"/>
        <v>0</v>
      </c>
      <c r="AT21" s="17">
        <f t="shared" si="29"/>
        <v>0</v>
      </c>
      <c r="AU21" s="7">
        <f>VLOOKUP(C21,[1]两年对比终版!$A:$W,14,0)</f>
        <v>0</v>
      </c>
      <c r="AV21" s="15" t="e">
        <f t="shared" si="14"/>
        <v>#DIV/0!</v>
      </c>
      <c r="AW21" s="7">
        <f>VLOOKUP(C21,'[2]5月汇总'!$C:$I,5,0)</f>
        <v>0</v>
      </c>
      <c r="AX21" s="16">
        <f t="shared" si="30"/>
        <v>0</v>
      </c>
      <c r="AY21" s="17">
        <f t="shared" si="31"/>
        <v>0</v>
      </c>
      <c r="AZ21" s="19">
        <f>VLOOKUP(C21,[1]两年对比终版!$A:$W,17,0)</f>
        <v>0</v>
      </c>
      <c r="BA21" s="15" t="e">
        <f t="shared" si="17"/>
        <v>#DIV/0!</v>
      </c>
      <c r="BB21" s="7">
        <f>VLOOKUP(C21,'[2]5月汇总'!$C:$I,6,0)</f>
        <v>0</v>
      </c>
      <c r="BC21" s="16">
        <f t="shared" si="32"/>
        <v>0</v>
      </c>
      <c r="BD21" s="17">
        <f t="shared" si="33"/>
        <v>0</v>
      </c>
      <c r="BE21" s="18">
        <f>VLOOKUP(C21,[1]两年对比终版!$A:$W,20,0)</f>
        <v>0</v>
      </c>
      <c r="BF21" s="15" t="e">
        <f t="shared" si="20"/>
        <v>#DIV/0!</v>
      </c>
      <c r="BG21" s="7">
        <f>VLOOKUP(C21,'[2]5月汇总'!$C:$I,7,0)</f>
        <v>0</v>
      </c>
      <c r="BH21" s="16">
        <f t="shared" si="21"/>
        <v>0</v>
      </c>
      <c r="BI21" s="17">
        <f t="shared" si="22"/>
        <v>0</v>
      </c>
      <c r="BJ21" s="20">
        <f>VLOOKUP(C21,[1]两年对比终版!$A:$W,23,0)</f>
        <v>0</v>
      </c>
      <c r="BK21" s="15" t="e">
        <f t="shared" si="23"/>
        <v>#DIV/0!</v>
      </c>
    </row>
    <row r="22" spans="1:63">
      <c r="A22" s="12">
        <v>17</v>
      </c>
      <c r="B22" s="12" t="s">
        <v>31</v>
      </c>
      <c r="C22" s="12" t="s">
        <v>46</v>
      </c>
      <c r="D22" s="13">
        <v>109</v>
      </c>
      <c r="E22" s="13">
        <v>48</v>
      </c>
      <c r="F22" s="14">
        <v>0.44036697247706402</v>
      </c>
      <c r="G22" s="13">
        <v>43</v>
      </c>
      <c r="H22" s="15">
        <f t="shared" si="0"/>
        <v>0.104166666666667</v>
      </c>
      <c r="I22" s="13">
        <v>900</v>
      </c>
      <c r="J22" s="13">
        <v>794.92600000000004</v>
      </c>
      <c r="K22" s="14">
        <v>0.88325111111111099</v>
      </c>
      <c r="L22" s="13">
        <v>919.84</v>
      </c>
      <c r="M22" s="15">
        <f t="shared" si="1"/>
        <v>-0.15713915509116599</v>
      </c>
      <c r="N22" s="13">
        <v>61</v>
      </c>
      <c r="O22" s="13">
        <v>14</v>
      </c>
      <c r="P22" s="14">
        <v>0.22950819672131201</v>
      </c>
      <c r="Q22" s="13">
        <v>12</v>
      </c>
      <c r="R22" s="15">
        <f t="shared" si="2"/>
        <v>0.14285714285714299</v>
      </c>
      <c r="S22" s="13">
        <v>521</v>
      </c>
      <c r="T22" s="13">
        <v>209.61799999999999</v>
      </c>
      <c r="U22" s="14">
        <v>0.40233781190019202</v>
      </c>
      <c r="V22" s="13">
        <v>82.924999999999997</v>
      </c>
      <c r="W22" s="15">
        <f t="shared" si="3"/>
        <v>0.60439943134654495</v>
      </c>
      <c r="X22" s="13">
        <v>61</v>
      </c>
      <c r="Y22" s="13">
        <v>6</v>
      </c>
      <c r="Z22" s="14">
        <v>9.8360655737704902E-2</v>
      </c>
      <c r="AA22" s="13">
        <v>7</v>
      </c>
      <c r="AB22" s="15">
        <f t="shared" si="4"/>
        <v>-0.16666666666666699</v>
      </c>
      <c r="AC22" s="13">
        <v>521</v>
      </c>
      <c r="AD22" s="13">
        <v>56.597000000000001</v>
      </c>
      <c r="AE22" s="14">
        <v>0.108631477927063</v>
      </c>
      <c r="AF22" s="13">
        <v>83.85</v>
      </c>
      <c r="AG22" s="15">
        <f t="shared" si="5"/>
        <v>-0.481527289432302</v>
      </c>
      <c r="AH22" s="7">
        <f>VLOOKUP(C22,'[2]5月汇总'!$C:$I,2,0)</f>
        <v>105</v>
      </c>
      <c r="AI22" s="16">
        <f t="shared" si="24"/>
        <v>153</v>
      </c>
      <c r="AJ22" s="17">
        <f t="shared" si="25"/>
        <v>1.40366972477064</v>
      </c>
      <c r="AK22" s="18">
        <f>VLOOKUP(C22,[1]两年对比终版!$A:$C,3,0)</f>
        <v>66</v>
      </c>
      <c r="AL22" s="15">
        <f t="shared" si="8"/>
        <v>0.56862745098039202</v>
      </c>
      <c r="AM22" s="7">
        <f>VLOOKUP(C22,'[2]5月汇总'!$C:$I,3,0)</f>
        <v>944.58</v>
      </c>
      <c r="AN22" s="16">
        <f t="shared" si="26"/>
        <v>1739.5060000000001</v>
      </c>
      <c r="AO22" s="17">
        <f t="shared" si="27"/>
        <v>1.93278444444444</v>
      </c>
      <c r="AP22" s="19">
        <f>VLOOKUP(C22,[1]两年对比终版!$A:$F,6,0)</f>
        <v>1463.75</v>
      </c>
      <c r="AQ22" s="15">
        <f t="shared" si="11"/>
        <v>0.15852546642552501</v>
      </c>
      <c r="AR22" s="7">
        <f>VLOOKUP(C22,'[2]5月汇总'!$C:$I,4,0)</f>
        <v>14</v>
      </c>
      <c r="AS22" s="16">
        <f t="shared" si="28"/>
        <v>28</v>
      </c>
      <c r="AT22" s="17">
        <f t="shared" si="29"/>
        <v>0.45901639344262302</v>
      </c>
      <c r="AU22" s="7">
        <f>VLOOKUP(C22,[1]两年对比终版!$A:$W,14,0)</f>
        <v>16</v>
      </c>
      <c r="AV22" s="15">
        <f t="shared" si="14"/>
        <v>0.42857142857142899</v>
      </c>
      <c r="AW22" s="7">
        <f>VLOOKUP(C22,'[2]5月汇总'!$C:$I,5,0)</f>
        <v>365.46</v>
      </c>
      <c r="AX22" s="16">
        <f t="shared" si="30"/>
        <v>575.07799999999997</v>
      </c>
      <c r="AY22" s="17">
        <f t="shared" si="31"/>
        <v>1.10379654510557</v>
      </c>
      <c r="AZ22" s="19">
        <f>VLOOKUP(C22,[1]两年对比终版!$A:$W,17,0)</f>
        <v>132.08500000000001</v>
      </c>
      <c r="BA22" s="15">
        <f t="shared" si="17"/>
        <v>0.77031811336896905</v>
      </c>
      <c r="BB22" s="7">
        <f>VLOOKUP(C22,'[2]5月汇总'!$C:$I,6,0)</f>
        <v>7</v>
      </c>
      <c r="BC22" s="16">
        <f t="shared" si="32"/>
        <v>13</v>
      </c>
      <c r="BD22" s="17">
        <f t="shared" si="33"/>
        <v>0.213114754098361</v>
      </c>
      <c r="BE22" s="18">
        <f>VLOOKUP(C22,[1]两年对比终版!$A:$W,20,0)</f>
        <v>17</v>
      </c>
      <c r="BF22" s="15">
        <f t="shared" si="20"/>
        <v>-0.30769230769230799</v>
      </c>
      <c r="BG22" s="7">
        <f>VLOOKUP(C22,'[2]5月汇总'!$C:$I,7,0)</f>
        <v>225.51</v>
      </c>
      <c r="BH22" s="16">
        <f t="shared" si="21"/>
        <v>282.10700000000003</v>
      </c>
      <c r="BI22" s="17">
        <f t="shared" si="22"/>
        <v>0.54147216890594996</v>
      </c>
      <c r="BJ22" s="20">
        <f>VLOOKUP(C22,[1]两年对比终版!$A:$W,23,0)</f>
        <v>140.47499999999999</v>
      </c>
      <c r="BK22" s="15">
        <f t="shared" si="23"/>
        <v>0.50205064035986302</v>
      </c>
    </row>
    <row r="23" spans="1:63">
      <c r="A23" s="12">
        <v>18</v>
      </c>
      <c r="B23" s="12" t="s">
        <v>39</v>
      </c>
      <c r="C23" s="12" t="s">
        <v>47</v>
      </c>
      <c r="D23" s="13">
        <v>36</v>
      </c>
      <c r="E23" s="13">
        <v>23</v>
      </c>
      <c r="F23" s="14">
        <v>0.63888888888888895</v>
      </c>
      <c r="G23" s="13">
        <v>15</v>
      </c>
      <c r="H23" s="15">
        <f t="shared" si="0"/>
        <v>0.34782608695652201</v>
      </c>
      <c r="I23" s="13">
        <v>630</v>
      </c>
      <c r="J23" s="13">
        <v>266.22000000000003</v>
      </c>
      <c r="K23" s="14">
        <v>0.42257142857142899</v>
      </c>
      <c r="L23" s="13">
        <v>194.69801200000001</v>
      </c>
      <c r="M23" s="15">
        <f t="shared" si="1"/>
        <v>0.26865745623920101</v>
      </c>
      <c r="N23" s="13">
        <v>17</v>
      </c>
      <c r="O23" s="13">
        <v>2</v>
      </c>
      <c r="P23" s="14">
        <v>0.11764705882352899</v>
      </c>
      <c r="Q23" s="13">
        <v>5</v>
      </c>
      <c r="R23" s="15">
        <f t="shared" si="2"/>
        <v>-1.5</v>
      </c>
      <c r="S23" s="13">
        <v>264.16300000000001</v>
      </c>
      <c r="T23" s="13">
        <v>20.389099999999999</v>
      </c>
      <c r="U23" s="14">
        <v>7.71837842544187E-2</v>
      </c>
      <c r="V23" s="13">
        <v>67.535636999999994</v>
      </c>
      <c r="W23" s="15">
        <f t="shared" si="3"/>
        <v>-2.3123402700462501</v>
      </c>
      <c r="X23" s="13">
        <v>17</v>
      </c>
      <c r="Y23" s="13">
        <v>2</v>
      </c>
      <c r="Z23" s="14">
        <v>0.11764705882352899</v>
      </c>
      <c r="AA23" s="13">
        <v>7</v>
      </c>
      <c r="AB23" s="15">
        <f t="shared" si="4"/>
        <v>-2.5</v>
      </c>
      <c r="AC23" s="13">
        <v>264.16300000000001</v>
      </c>
      <c r="AD23" s="13">
        <v>22.29</v>
      </c>
      <c r="AE23" s="14">
        <v>8.4379720097061295E-2</v>
      </c>
      <c r="AF23" s="13">
        <v>79.339117000000002</v>
      </c>
      <c r="AG23" s="15">
        <f t="shared" si="5"/>
        <v>-2.5594040825482298</v>
      </c>
      <c r="AH23" s="7">
        <f>VLOOKUP(C23,'[2]5月汇总'!$C:$I,2,0)</f>
        <v>6</v>
      </c>
      <c r="AI23" s="16">
        <f t="shared" si="24"/>
        <v>29</v>
      </c>
      <c r="AJ23" s="17">
        <f t="shared" si="25"/>
        <v>0.80555555555555602</v>
      </c>
      <c r="AK23" s="18">
        <f>VLOOKUP(C23,[1]两年对比终版!$A:$C,3,0)</f>
        <v>37</v>
      </c>
      <c r="AL23" s="15">
        <f t="shared" si="8"/>
        <v>-0.27586206896551702</v>
      </c>
      <c r="AM23" s="7">
        <f>VLOOKUP(C23,'[2]5月汇总'!$C:$I,3,0)</f>
        <v>100</v>
      </c>
      <c r="AN23" s="16">
        <f t="shared" si="26"/>
        <v>366.22</v>
      </c>
      <c r="AO23" s="17">
        <f t="shared" si="27"/>
        <v>0.58130158730158699</v>
      </c>
      <c r="AP23" s="19">
        <f>VLOOKUP(C23,[1]两年对比终版!$A:$F,6,0)</f>
        <v>543.86292400000002</v>
      </c>
      <c r="AQ23" s="15">
        <f t="shared" si="11"/>
        <v>-0.48507160723062598</v>
      </c>
      <c r="AR23" s="7">
        <f>VLOOKUP(C23,'[2]5月汇总'!$C:$I,4,0)</f>
        <v>5</v>
      </c>
      <c r="AS23" s="16">
        <f t="shared" si="28"/>
        <v>7</v>
      </c>
      <c r="AT23" s="17">
        <f t="shared" si="29"/>
        <v>0.41176470588235298</v>
      </c>
      <c r="AU23" s="7">
        <f>VLOOKUP(C23,[1]两年对比终版!$A:$W,14,0)</f>
        <v>7</v>
      </c>
      <c r="AV23" s="15">
        <f t="shared" si="14"/>
        <v>0</v>
      </c>
      <c r="AW23" s="7">
        <f>VLOOKUP(C23,'[2]5月汇总'!$C:$I,5,0)</f>
        <v>50.5</v>
      </c>
      <c r="AX23" s="16">
        <f t="shared" si="30"/>
        <v>70.889099999999999</v>
      </c>
      <c r="AY23" s="17">
        <f t="shared" si="31"/>
        <v>0.268353630145024</v>
      </c>
      <c r="AZ23" s="19">
        <f>VLOOKUP(C23,[1]两年对比终版!$A:$W,17,0)</f>
        <v>96.411316999999997</v>
      </c>
      <c r="BA23" s="15">
        <f t="shared" si="17"/>
        <v>-0.360030202104414</v>
      </c>
      <c r="BB23" s="7">
        <f>VLOOKUP(C23,'[2]5月汇总'!$C:$I,6,0)</f>
        <v>2</v>
      </c>
      <c r="BC23" s="16">
        <f t="shared" si="32"/>
        <v>4</v>
      </c>
      <c r="BD23" s="17">
        <f t="shared" si="33"/>
        <v>0.23529411764705899</v>
      </c>
      <c r="BE23" s="18">
        <f>VLOOKUP(C23,[1]两年对比终版!$A:$W,20,0)</f>
        <v>16</v>
      </c>
      <c r="BF23" s="15">
        <f t="shared" si="20"/>
        <v>-3</v>
      </c>
      <c r="BG23" s="7">
        <f>VLOOKUP(C23,'[2]5月汇总'!$C:$I,7,0)</f>
        <v>21</v>
      </c>
      <c r="BH23" s="16">
        <f t="shared" si="21"/>
        <v>43.29</v>
      </c>
      <c r="BI23" s="17">
        <f t="shared" si="22"/>
        <v>0.16387609165553099</v>
      </c>
      <c r="BJ23" s="20">
        <f>VLOOKUP(C23,[1]两年对比终版!$A:$W,23,0)</f>
        <v>3354.1559590000002</v>
      </c>
      <c r="BK23" s="15">
        <f t="shared" si="23"/>
        <v>-76.4810801339801</v>
      </c>
    </row>
    <row r="24" spans="1:63">
      <c r="A24" s="12">
        <v>19</v>
      </c>
      <c r="B24" s="12" t="s">
        <v>39</v>
      </c>
      <c r="C24" s="12" t="s">
        <v>48</v>
      </c>
      <c r="D24" s="13">
        <v>20</v>
      </c>
      <c r="E24" s="13">
        <v>8</v>
      </c>
      <c r="F24" s="14">
        <v>0.4</v>
      </c>
      <c r="G24" s="13">
        <v>0</v>
      </c>
      <c r="H24" s="15">
        <f t="shared" si="0"/>
        <v>1</v>
      </c>
      <c r="I24" s="13">
        <v>200</v>
      </c>
      <c r="J24" s="13">
        <v>50.38</v>
      </c>
      <c r="K24" s="14">
        <v>0.25190000000000001</v>
      </c>
      <c r="L24" s="13">
        <v>0</v>
      </c>
      <c r="M24" s="15">
        <f t="shared" si="1"/>
        <v>1</v>
      </c>
      <c r="N24" s="13">
        <v>15</v>
      </c>
      <c r="O24" s="13">
        <v>0</v>
      </c>
      <c r="P24" s="14">
        <v>0</v>
      </c>
      <c r="Q24" s="13">
        <v>0</v>
      </c>
      <c r="R24" s="15" t="e">
        <f t="shared" si="2"/>
        <v>#DIV/0!</v>
      </c>
      <c r="S24" s="13">
        <v>200</v>
      </c>
      <c r="T24" s="13">
        <v>0</v>
      </c>
      <c r="U24" s="14">
        <v>0</v>
      </c>
      <c r="V24" s="13">
        <v>0</v>
      </c>
      <c r="W24" s="15" t="e">
        <f t="shared" si="3"/>
        <v>#DIV/0!</v>
      </c>
      <c r="X24" s="13">
        <v>15</v>
      </c>
      <c r="Y24" s="13">
        <v>0</v>
      </c>
      <c r="Z24" s="14">
        <v>0</v>
      </c>
      <c r="AA24" s="13">
        <v>0</v>
      </c>
      <c r="AB24" s="15" t="e">
        <f t="shared" si="4"/>
        <v>#DIV/0!</v>
      </c>
      <c r="AC24" s="13">
        <v>200</v>
      </c>
      <c r="AD24" s="13">
        <v>0</v>
      </c>
      <c r="AE24" s="14">
        <v>0</v>
      </c>
      <c r="AF24" s="13">
        <v>0</v>
      </c>
      <c r="AG24" s="15" t="e">
        <f t="shared" si="5"/>
        <v>#DIV/0!</v>
      </c>
      <c r="AH24" s="7">
        <f>VLOOKUP(C24,'[2]5月汇总'!$C:$I,2,0)</f>
        <v>0</v>
      </c>
      <c r="AI24" s="16">
        <f t="shared" si="24"/>
        <v>8</v>
      </c>
      <c r="AJ24" s="17">
        <f t="shared" si="25"/>
        <v>0.4</v>
      </c>
      <c r="AK24" s="18">
        <f>VLOOKUP(C24,[1]两年对比终版!$A:$C,3,0)</f>
        <v>0</v>
      </c>
      <c r="AL24" s="15">
        <f t="shared" si="8"/>
        <v>1</v>
      </c>
      <c r="AM24" s="7">
        <f>VLOOKUP(C24,'[2]5月汇总'!$C:$I,3,0)</f>
        <v>0</v>
      </c>
      <c r="AN24" s="16">
        <f t="shared" si="26"/>
        <v>50.38</v>
      </c>
      <c r="AO24" s="17">
        <f t="shared" si="27"/>
        <v>0.25190000000000001</v>
      </c>
      <c r="AP24" s="19">
        <f>VLOOKUP(C24,[1]两年对比终版!$A:$F,6,0)</f>
        <v>0</v>
      </c>
      <c r="AQ24" s="15">
        <f t="shared" si="11"/>
        <v>1</v>
      </c>
      <c r="AR24" s="7">
        <f>VLOOKUP(C24,'[2]5月汇总'!$C:$I,4,0)</f>
        <v>0</v>
      </c>
      <c r="AS24" s="16">
        <f t="shared" si="28"/>
        <v>0</v>
      </c>
      <c r="AT24" s="17">
        <f t="shared" si="29"/>
        <v>0</v>
      </c>
      <c r="AU24" s="7">
        <f>VLOOKUP(C24,[1]两年对比终版!$A:$W,14,0)</f>
        <v>0</v>
      </c>
      <c r="AV24" s="15" t="e">
        <f t="shared" si="14"/>
        <v>#DIV/0!</v>
      </c>
      <c r="AW24" s="7">
        <f>VLOOKUP(C24,'[2]5月汇总'!$C:$I,5,0)</f>
        <v>0</v>
      </c>
      <c r="AX24" s="16">
        <f t="shared" si="30"/>
        <v>0</v>
      </c>
      <c r="AY24" s="17">
        <f t="shared" si="31"/>
        <v>0</v>
      </c>
      <c r="AZ24" s="19">
        <f>VLOOKUP(C24,[1]两年对比终版!$A:$W,17,0)</f>
        <v>0</v>
      </c>
      <c r="BA24" s="15" t="e">
        <f t="shared" si="17"/>
        <v>#DIV/0!</v>
      </c>
      <c r="BB24" s="7">
        <f>VLOOKUP(C24,'[2]5月汇总'!$C:$I,6,0)</f>
        <v>0</v>
      </c>
      <c r="BC24" s="16">
        <f t="shared" si="32"/>
        <v>0</v>
      </c>
      <c r="BD24" s="17">
        <f t="shared" si="33"/>
        <v>0</v>
      </c>
      <c r="BE24" s="18">
        <f>VLOOKUP(C24,[1]两年对比终版!$A:$W,20,0)</f>
        <v>0</v>
      </c>
      <c r="BF24" s="15" t="e">
        <f t="shared" si="20"/>
        <v>#DIV/0!</v>
      </c>
      <c r="BG24" s="7">
        <f>VLOOKUP(C24,'[2]5月汇总'!$C:$I,7,0)</f>
        <v>0</v>
      </c>
      <c r="BH24" s="16">
        <f t="shared" si="21"/>
        <v>0</v>
      </c>
      <c r="BI24" s="17">
        <f t="shared" si="22"/>
        <v>0</v>
      </c>
      <c r="BJ24" s="20">
        <f>VLOOKUP(C24,[1]两年对比终版!$A:$W,23,0)</f>
        <v>0</v>
      </c>
      <c r="BK24" s="15" t="e">
        <f t="shared" si="23"/>
        <v>#DIV/0!</v>
      </c>
    </row>
    <row r="25" spans="1:63" s="4" customFormat="1">
      <c r="A25" s="93" t="s">
        <v>49</v>
      </c>
      <c r="B25" s="94"/>
      <c r="C25" s="94"/>
      <c r="D25" s="21">
        <v>1328</v>
      </c>
      <c r="E25" s="21">
        <v>438</v>
      </c>
      <c r="F25" s="22">
        <v>0.32981927710843401</v>
      </c>
      <c r="G25" s="21">
        <v>1676</v>
      </c>
      <c r="H25" s="23">
        <f t="shared" si="0"/>
        <v>-2.8264840182648401</v>
      </c>
      <c r="I25" s="21">
        <v>31010</v>
      </c>
      <c r="J25" s="21">
        <v>8328.6704000000009</v>
      </c>
      <c r="K25" s="22">
        <v>0.26858014833924498</v>
      </c>
      <c r="L25" s="21">
        <v>29715.329128000001</v>
      </c>
      <c r="M25" s="23">
        <f t="shared" si="1"/>
        <v>-2.5678358850651599</v>
      </c>
      <c r="N25" s="21">
        <v>583</v>
      </c>
      <c r="O25" s="21">
        <v>158</v>
      </c>
      <c r="P25" s="22">
        <v>0.27101200686106403</v>
      </c>
      <c r="Q25" s="21">
        <v>667</v>
      </c>
      <c r="R25" s="23">
        <f t="shared" si="2"/>
        <v>-3.2215189873417698</v>
      </c>
      <c r="S25" s="21">
        <v>12602.325999999999</v>
      </c>
      <c r="T25" s="21">
        <v>5836.2923000000001</v>
      </c>
      <c r="U25" s="22">
        <v>0.46311230958475402</v>
      </c>
      <c r="V25" s="21">
        <v>13072.680480000001</v>
      </c>
      <c r="W25" s="23">
        <f t="shared" si="3"/>
        <v>-1.2398947496169801</v>
      </c>
      <c r="X25" s="21">
        <v>583</v>
      </c>
      <c r="Y25" s="21">
        <v>169</v>
      </c>
      <c r="Z25" s="22">
        <v>0.28987993138936502</v>
      </c>
      <c r="AA25" s="21">
        <v>346</v>
      </c>
      <c r="AB25" s="23">
        <f t="shared" si="4"/>
        <v>-1.04733727810651</v>
      </c>
      <c r="AC25" s="21">
        <v>12602.325999999999</v>
      </c>
      <c r="AD25" s="21">
        <v>5913.7691999999997</v>
      </c>
      <c r="AE25" s="22">
        <v>0.469260134994127</v>
      </c>
      <c r="AF25" s="21">
        <v>6248.6128669999998</v>
      </c>
      <c r="AG25" s="23">
        <f t="shared" si="5"/>
        <v>-5.6621023864103497E-2</v>
      </c>
      <c r="AH25" s="21">
        <f>SUM(AH16:AH24)</f>
        <v>234</v>
      </c>
      <c r="AI25" s="24">
        <f>AH25+E25</f>
        <v>672</v>
      </c>
      <c r="AJ25" s="25">
        <f t="shared" si="25"/>
        <v>0.50602409638554202</v>
      </c>
      <c r="AK25" s="24">
        <f>AJ25+G25</f>
        <v>1676.5060240963901</v>
      </c>
      <c r="AL25" s="23">
        <f t="shared" si="8"/>
        <v>-1.49480063109581</v>
      </c>
      <c r="AM25" s="21">
        <f>SUM(AM16:AM24)</f>
        <v>3937.38</v>
      </c>
      <c r="AN25" s="24">
        <f t="shared" si="26"/>
        <v>12266.0504</v>
      </c>
      <c r="AO25" s="25">
        <f t="shared" si="27"/>
        <v>0.395551447920026</v>
      </c>
      <c r="AP25" s="24">
        <f>AO25+L25</f>
        <v>29715.7246794479</v>
      </c>
      <c r="AQ25" s="23">
        <f t="shared" si="11"/>
        <v>-1.4225992646702299</v>
      </c>
      <c r="AR25" s="21">
        <f>SUM(AR16:AR24)</f>
        <v>60</v>
      </c>
      <c r="AS25" s="24">
        <f t="shared" si="28"/>
        <v>218</v>
      </c>
      <c r="AT25" s="25">
        <f t="shared" si="29"/>
        <v>0.37392795883361901</v>
      </c>
      <c r="AU25" s="24">
        <f>AT25+Q25</f>
        <v>667.37392795883397</v>
      </c>
      <c r="AV25" s="23">
        <f t="shared" si="14"/>
        <v>-2.06134829338915</v>
      </c>
      <c r="AW25" s="21">
        <f>SUM(AW16:AW24)</f>
        <v>1176.04</v>
      </c>
      <c r="AX25" s="24">
        <f t="shared" si="30"/>
        <v>7012.3323</v>
      </c>
      <c r="AY25" s="25">
        <f t="shared" si="31"/>
        <v>0.55643159048575597</v>
      </c>
      <c r="AZ25" s="24">
        <f>AY25+V25</f>
        <v>13073.2369115905</v>
      </c>
      <c r="BA25" s="23">
        <f t="shared" si="17"/>
        <v>-0.86432079261139505</v>
      </c>
      <c r="BB25" s="21">
        <f>SUM(BB16:BB24)</f>
        <v>41</v>
      </c>
      <c r="BC25" s="24">
        <f t="shared" si="32"/>
        <v>210</v>
      </c>
      <c r="BD25" s="25">
        <f t="shared" si="33"/>
        <v>0.36020583190394501</v>
      </c>
      <c r="BE25" s="24">
        <f>BD25+AA25</f>
        <v>346.36020583190401</v>
      </c>
      <c r="BF25" s="23">
        <f t="shared" si="20"/>
        <v>-0.64933431348525705</v>
      </c>
      <c r="BG25" s="21">
        <f>SUM(BG16:BG24)</f>
        <v>1094.93</v>
      </c>
      <c r="BH25" s="24">
        <f t="shared" si="21"/>
        <v>7008.6992</v>
      </c>
      <c r="BI25" s="25">
        <f t="shared" si="22"/>
        <v>0.55614330243480503</v>
      </c>
      <c r="BJ25" s="24">
        <f>BI25+AF25</f>
        <v>6249.1690103024303</v>
      </c>
      <c r="BK25" s="23">
        <f t="shared" si="23"/>
        <v>0.10836963722135</v>
      </c>
    </row>
    <row r="26" spans="1:63">
      <c r="A26" s="12">
        <v>20</v>
      </c>
      <c r="B26" s="12" t="s">
        <v>34</v>
      </c>
      <c r="C26" s="12" t="s">
        <v>50</v>
      </c>
      <c r="D26" s="13">
        <v>235</v>
      </c>
      <c r="E26" s="13">
        <v>64</v>
      </c>
      <c r="F26" s="14">
        <v>0.27234042553191501</v>
      </c>
      <c r="G26" s="13">
        <v>42</v>
      </c>
      <c r="H26" s="15">
        <f t="shared" si="0"/>
        <v>0.34375</v>
      </c>
      <c r="I26" s="13">
        <v>1673.35</v>
      </c>
      <c r="J26" s="13">
        <v>437.63200000000001</v>
      </c>
      <c r="K26" s="14">
        <v>0.261530462843996</v>
      </c>
      <c r="L26" s="13">
        <v>319.10661399999998</v>
      </c>
      <c r="M26" s="15">
        <f t="shared" si="1"/>
        <v>0.27083345367797601</v>
      </c>
      <c r="N26" s="13">
        <v>63</v>
      </c>
      <c r="O26" s="13">
        <v>12</v>
      </c>
      <c r="P26" s="14">
        <v>0.19047619047618999</v>
      </c>
      <c r="Q26" s="13">
        <v>14</v>
      </c>
      <c r="R26" s="15">
        <f t="shared" si="2"/>
        <v>-0.16666666666666699</v>
      </c>
      <c r="S26" s="13">
        <v>683</v>
      </c>
      <c r="T26" s="13">
        <v>65.700999999999993</v>
      </c>
      <c r="U26" s="14">
        <v>9.6194729136164003E-2</v>
      </c>
      <c r="V26" s="13">
        <v>117.34529000000001</v>
      </c>
      <c r="W26" s="15">
        <f t="shared" si="3"/>
        <v>-0.78605028842787805</v>
      </c>
      <c r="X26" s="13">
        <v>63</v>
      </c>
      <c r="Y26" s="13">
        <v>10</v>
      </c>
      <c r="Z26" s="14">
        <v>0.158730158730159</v>
      </c>
      <c r="AA26" s="13">
        <v>24</v>
      </c>
      <c r="AB26" s="15">
        <f t="shared" si="4"/>
        <v>-1.4</v>
      </c>
      <c r="AC26" s="13">
        <v>683</v>
      </c>
      <c r="AD26" s="13">
        <v>55.8172</v>
      </c>
      <c r="AE26" s="14">
        <v>8.1723572474377698E-2</v>
      </c>
      <c r="AF26" s="13">
        <v>196.15974499999999</v>
      </c>
      <c r="AG26" s="15">
        <f t="shared" si="5"/>
        <v>-2.5143243480504198</v>
      </c>
      <c r="AH26" s="7">
        <f>VLOOKUP(C26,'[2]5月汇总'!$C:$I,2,0)</f>
        <v>15</v>
      </c>
      <c r="AI26" s="16">
        <f>E26+AH26</f>
        <v>79</v>
      </c>
      <c r="AJ26" s="17">
        <f t="shared" si="25"/>
        <v>0.33617021276595699</v>
      </c>
      <c r="AK26" s="18">
        <f>VLOOKUP(C26,[1]两年对比终版!$A:$C,3,0)</f>
        <v>52</v>
      </c>
      <c r="AL26" s="15">
        <f t="shared" si="8"/>
        <v>0.341772151898734</v>
      </c>
      <c r="AM26" s="7">
        <f>VLOOKUP(C26,'[2]5月汇总'!$C:$I,3,0)</f>
        <v>75</v>
      </c>
      <c r="AN26" s="16">
        <f t="shared" si="26"/>
        <v>512.63199999999995</v>
      </c>
      <c r="AO26" s="17">
        <f t="shared" si="27"/>
        <v>0.30635073355843101</v>
      </c>
      <c r="AP26" s="19">
        <f>VLOOKUP(C26,[1]两年对比终版!$A:$F,6,0)</f>
        <v>393.58625000000001</v>
      </c>
      <c r="AQ26" s="15">
        <f t="shared" si="11"/>
        <v>0.23222457825496701</v>
      </c>
      <c r="AR26" s="7">
        <f>VLOOKUP(C26,'[2]5月汇总'!$C:$I,4,0)</f>
        <v>8</v>
      </c>
      <c r="AS26" s="16">
        <f t="shared" si="28"/>
        <v>20</v>
      </c>
      <c r="AT26" s="17">
        <f t="shared" si="29"/>
        <v>0.317460317460317</v>
      </c>
      <c r="AU26" s="7">
        <f>VLOOKUP(C26,[1]两年对比终版!$A:$W,14,0)</f>
        <v>22</v>
      </c>
      <c r="AV26" s="15">
        <f t="shared" si="14"/>
        <v>-0.1</v>
      </c>
      <c r="AW26" s="7">
        <f>VLOOKUP(C26,'[2]5月汇总'!$C:$I,5,0)</f>
        <v>40</v>
      </c>
      <c r="AX26" s="16">
        <f t="shared" si="30"/>
        <v>105.70099999999999</v>
      </c>
      <c r="AY26" s="17">
        <f t="shared" si="31"/>
        <v>0.154759882869693</v>
      </c>
      <c r="AZ26" s="19">
        <f>VLOOKUP(C26,[1]两年对比终版!$A:$W,17,0)</f>
        <v>178.457292</v>
      </c>
      <c r="BA26" s="15">
        <f t="shared" si="17"/>
        <v>-0.68832169988931002</v>
      </c>
      <c r="BB26" s="7">
        <f>VLOOKUP(C26,'[2]5月汇总'!$C:$I,6,0)</f>
        <v>4</v>
      </c>
      <c r="BC26" s="16">
        <f t="shared" si="32"/>
        <v>14</v>
      </c>
      <c r="BD26" s="17">
        <f t="shared" si="33"/>
        <v>0.22222222222222199</v>
      </c>
      <c r="BE26" s="18">
        <f>VLOOKUP(C26,[1]两年对比终版!$A:$W,20,0)</f>
        <v>29</v>
      </c>
      <c r="BF26" s="15">
        <f t="shared" si="20"/>
        <v>-1.0714285714285701</v>
      </c>
      <c r="BG26" s="7">
        <f>VLOOKUP(C26,'[2]5月汇总'!$C:$I,7,0)</f>
        <v>33.116999999999997</v>
      </c>
      <c r="BH26" s="16">
        <f t="shared" si="21"/>
        <v>88.934200000000004</v>
      </c>
      <c r="BI26" s="17">
        <f t="shared" si="22"/>
        <v>0.13021112737920901</v>
      </c>
      <c r="BJ26" s="20">
        <f>VLOOKUP(C26,[1]两年对比终版!$A:$W,23,0)</f>
        <v>228.72333399999999</v>
      </c>
      <c r="BK26" s="15">
        <f t="shared" si="23"/>
        <v>-1.57182651893197</v>
      </c>
    </row>
    <row r="27" spans="1:63">
      <c r="A27" s="12">
        <v>21</v>
      </c>
      <c r="B27" s="12" t="s">
        <v>31</v>
      </c>
      <c r="C27" s="12" t="s">
        <v>51</v>
      </c>
      <c r="D27" s="13">
        <v>66</v>
      </c>
      <c r="E27" s="13">
        <v>13</v>
      </c>
      <c r="F27" s="14">
        <v>0.19696969696969699</v>
      </c>
      <c r="G27" s="13">
        <v>13</v>
      </c>
      <c r="H27" s="15">
        <f t="shared" si="0"/>
        <v>0</v>
      </c>
      <c r="I27" s="13">
        <v>930</v>
      </c>
      <c r="J27" s="13">
        <v>260.053</v>
      </c>
      <c r="K27" s="14">
        <v>0.27962688172042999</v>
      </c>
      <c r="L27" s="13">
        <v>386.93598800000001</v>
      </c>
      <c r="M27" s="15">
        <f t="shared" si="1"/>
        <v>-0.48791203331628602</v>
      </c>
      <c r="N27" s="13">
        <v>27</v>
      </c>
      <c r="O27" s="13">
        <v>6</v>
      </c>
      <c r="P27" s="14">
        <v>0.22222222222222199</v>
      </c>
      <c r="Q27" s="13">
        <v>1</v>
      </c>
      <c r="R27" s="15">
        <f t="shared" si="2"/>
        <v>0.83333333333333304</v>
      </c>
      <c r="S27" s="13">
        <v>396.245</v>
      </c>
      <c r="T27" s="13">
        <v>68.513599999999997</v>
      </c>
      <c r="U27" s="14">
        <v>0.17290716602102199</v>
      </c>
      <c r="V27" s="13">
        <v>19.059999999999999</v>
      </c>
      <c r="W27" s="15">
        <f t="shared" si="3"/>
        <v>0.72180705728497696</v>
      </c>
      <c r="X27" s="13">
        <v>27</v>
      </c>
      <c r="Y27" s="13">
        <v>5</v>
      </c>
      <c r="Z27" s="14">
        <v>0.18518518518518501</v>
      </c>
      <c r="AA27" s="13">
        <v>0</v>
      </c>
      <c r="AB27" s="15">
        <f t="shared" si="4"/>
        <v>1</v>
      </c>
      <c r="AC27" s="13">
        <v>396.245</v>
      </c>
      <c r="AD27" s="13">
        <v>78.485399999999998</v>
      </c>
      <c r="AE27" s="14">
        <v>0.19807290943734299</v>
      </c>
      <c r="AF27" s="13">
        <v>0</v>
      </c>
      <c r="AG27" s="15">
        <f t="shared" si="5"/>
        <v>1</v>
      </c>
      <c r="AH27" s="7">
        <f>VLOOKUP(C27,'[2]5月汇总'!$C:$I,2,0)</f>
        <v>12</v>
      </c>
      <c r="AI27" s="16">
        <f t="shared" ref="AI27:AI36" si="34">E27+AH27</f>
        <v>25</v>
      </c>
      <c r="AJ27" s="17">
        <f t="shared" ref="AJ27:AJ38" si="35">AI27/D27</f>
        <v>0.37878787878787901</v>
      </c>
      <c r="AK27" s="18">
        <f>VLOOKUP(C27,[1]两年对比终版!$A:$C,3,0)</f>
        <v>23</v>
      </c>
      <c r="AL27" s="15">
        <f t="shared" si="8"/>
        <v>0.08</v>
      </c>
      <c r="AM27" s="7">
        <f>VLOOKUP(C27,'[2]5月汇总'!$C:$I,3,0)</f>
        <v>95.35</v>
      </c>
      <c r="AN27" s="16">
        <f t="shared" ref="AN27:AN38" si="36">AM27+J27</f>
        <v>355.40300000000002</v>
      </c>
      <c r="AO27" s="17">
        <f t="shared" ref="AO27:AO38" si="37">AN27/I27</f>
        <v>0.38215376344085999</v>
      </c>
      <c r="AP27" s="19">
        <f>VLOOKUP(C27,[1]两年对比终版!$A:$F,6,0)</f>
        <v>773.87896499999999</v>
      </c>
      <c r="AQ27" s="15">
        <f t="shared" si="11"/>
        <v>-1.1774688592949401</v>
      </c>
      <c r="AR27" s="7">
        <f>VLOOKUP(C27,'[2]5月汇总'!$C:$I,4,0)</f>
        <v>4</v>
      </c>
      <c r="AS27" s="16">
        <f t="shared" ref="AS27:AS38" si="38">AR27+O27</f>
        <v>10</v>
      </c>
      <c r="AT27" s="17">
        <f t="shared" ref="AT27:AT38" si="39">AS27/N27</f>
        <v>0.37037037037037002</v>
      </c>
      <c r="AU27" s="7">
        <f>VLOOKUP(C27,[1]两年对比终版!$A:$W,14,0)</f>
        <v>3</v>
      </c>
      <c r="AV27" s="15">
        <f t="shared" si="14"/>
        <v>0.7</v>
      </c>
      <c r="AW27" s="7">
        <f>VLOOKUP(C27,'[2]5月汇总'!$C:$I,5,0)</f>
        <v>23.936</v>
      </c>
      <c r="AX27" s="16">
        <f t="shared" ref="AX27:AX38" si="40">AW27+T27</f>
        <v>92.449600000000004</v>
      </c>
      <c r="AY27" s="17">
        <f t="shared" ref="AY27:AY38" si="41">AX27/S27</f>
        <v>0.233314237403627</v>
      </c>
      <c r="AZ27" s="19">
        <f>VLOOKUP(C27,[1]两年对比终版!$A:$W,17,0)</f>
        <v>44.012006999999997</v>
      </c>
      <c r="BA27" s="15">
        <f t="shared" si="17"/>
        <v>0.52393512789671304</v>
      </c>
      <c r="BB27" s="7">
        <f>VLOOKUP(C27,'[2]5月汇总'!$C:$I,6,0)</f>
        <v>6</v>
      </c>
      <c r="BC27" s="16">
        <f t="shared" ref="BC27:BC38" si="42">BB27+Y27</f>
        <v>11</v>
      </c>
      <c r="BD27" s="17">
        <f t="shared" ref="BD27:BD38" si="43">BC27/X27</f>
        <v>0.407407407407407</v>
      </c>
      <c r="BE27" s="18">
        <f>VLOOKUP(C27,[1]两年对比终版!$A:$W,20,0)</f>
        <v>0</v>
      </c>
      <c r="BF27" s="15">
        <f t="shared" si="20"/>
        <v>1</v>
      </c>
      <c r="BG27" s="7">
        <f>VLOOKUP(C27,'[2]5月汇总'!$C:$I,7,0)</f>
        <v>253.51148000000001</v>
      </c>
      <c r="BH27" s="16">
        <f t="shared" si="21"/>
        <v>331.99687999999998</v>
      </c>
      <c r="BI27" s="17">
        <f t="shared" si="22"/>
        <v>0.83785758810836697</v>
      </c>
      <c r="BJ27" s="20">
        <f>VLOOKUP(C27,[1]两年对比终版!$A:$W,23,0)</f>
        <v>0</v>
      </c>
      <c r="BK27" s="15">
        <f t="shared" si="23"/>
        <v>1</v>
      </c>
    </row>
    <row r="28" spans="1:63">
      <c r="A28" s="12">
        <v>22</v>
      </c>
      <c r="B28" s="12" t="s">
        <v>39</v>
      </c>
      <c r="C28" s="12" t="s">
        <v>52</v>
      </c>
      <c r="D28" s="13">
        <v>87</v>
      </c>
      <c r="E28" s="13">
        <v>20</v>
      </c>
      <c r="F28" s="14">
        <v>0.229885057471264</v>
      </c>
      <c r="G28" s="13">
        <v>0</v>
      </c>
      <c r="H28" s="15">
        <f t="shared" si="0"/>
        <v>1</v>
      </c>
      <c r="I28" s="13">
        <v>688</v>
      </c>
      <c r="J28" s="13">
        <v>154.48699999999999</v>
      </c>
      <c r="K28" s="14">
        <v>0.22454505813953499</v>
      </c>
      <c r="L28" s="13">
        <v>0</v>
      </c>
      <c r="M28" s="15">
        <f t="shared" si="1"/>
        <v>1</v>
      </c>
      <c r="N28" s="13">
        <v>32</v>
      </c>
      <c r="O28" s="13">
        <v>4</v>
      </c>
      <c r="P28" s="14">
        <v>0.125</v>
      </c>
      <c r="Q28" s="13">
        <v>0</v>
      </c>
      <c r="R28" s="15">
        <f t="shared" si="2"/>
        <v>1</v>
      </c>
      <c r="S28" s="13">
        <v>265</v>
      </c>
      <c r="T28" s="13">
        <v>23.250399999999999</v>
      </c>
      <c r="U28" s="14">
        <v>8.7737358490566006E-2</v>
      </c>
      <c r="V28" s="13">
        <v>0</v>
      </c>
      <c r="W28" s="15">
        <f t="shared" si="3"/>
        <v>1</v>
      </c>
      <c r="X28" s="13">
        <v>32</v>
      </c>
      <c r="Y28" s="13">
        <v>5</v>
      </c>
      <c r="Z28" s="14">
        <v>0.15625</v>
      </c>
      <c r="AA28" s="13">
        <v>0</v>
      </c>
      <c r="AB28" s="15">
        <f t="shared" si="4"/>
        <v>1</v>
      </c>
      <c r="AC28" s="13">
        <v>265</v>
      </c>
      <c r="AD28" s="13">
        <v>37.611199999999997</v>
      </c>
      <c r="AE28" s="14">
        <v>0.141929056603774</v>
      </c>
      <c r="AF28" s="13">
        <v>0</v>
      </c>
      <c r="AG28" s="15">
        <f t="shared" si="5"/>
        <v>1</v>
      </c>
      <c r="AH28" s="7">
        <f>VLOOKUP(C28,'[2]5月汇总'!$C:$I,2,0)</f>
        <v>7</v>
      </c>
      <c r="AI28" s="16">
        <f t="shared" si="34"/>
        <v>27</v>
      </c>
      <c r="AJ28" s="17">
        <f t="shared" si="35"/>
        <v>0.31034482758620702</v>
      </c>
      <c r="AK28" s="18">
        <f>VLOOKUP(C28,[1]两年对比终版!$A:$C,3,0)</f>
        <v>8</v>
      </c>
      <c r="AL28" s="15">
        <f t="shared" si="8"/>
        <v>0.70370370370370405</v>
      </c>
      <c r="AM28" s="7">
        <f>VLOOKUP(C28,'[2]5月汇总'!$C:$I,3,0)</f>
        <v>36</v>
      </c>
      <c r="AN28" s="16">
        <f t="shared" si="36"/>
        <v>190.48699999999999</v>
      </c>
      <c r="AO28" s="17">
        <f t="shared" si="37"/>
        <v>0.276870639534884</v>
      </c>
      <c r="AP28" s="19">
        <f>VLOOKUP(C28,[1]两年对比终版!$A:$F,6,0)</f>
        <v>74.024224000000004</v>
      </c>
      <c r="AQ28" s="15">
        <f t="shared" si="11"/>
        <v>0.61139487734071096</v>
      </c>
      <c r="AR28" s="7">
        <f>VLOOKUP(C28,'[2]5月汇总'!$C:$I,4,0)</f>
        <v>2</v>
      </c>
      <c r="AS28" s="16">
        <f t="shared" si="38"/>
        <v>6</v>
      </c>
      <c r="AT28" s="17">
        <f t="shared" si="39"/>
        <v>0.1875</v>
      </c>
      <c r="AU28" s="7">
        <f>VLOOKUP(C28,[1]两年对比终版!$A:$W,14,0)</f>
        <v>2</v>
      </c>
      <c r="AV28" s="15">
        <f t="shared" si="14"/>
        <v>0.66666666666666696</v>
      </c>
      <c r="AW28" s="7">
        <f>VLOOKUP(C28,'[2]5月汇总'!$C:$I,5,0)</f>
        <v>22</v>
      </c>
      <c r="AX28" s="16">
        <f t="shared" si="40"/>
        <v>45.250399999999999</v>
      </c>
      <c r="AY28" s="17">
        <f t="shared" si="41"/>
        <v>0.170756226415094</v>
      </c>
      <c r="AZ28" s="19">
        <f>VLOOKUP(C28,[1]两年对比终版!$A:$W,17,0)</f>
        <v>6.9127679999999998</v>
      </c>
      <c r="BA28" s="15">
        <f t="shared" si="17"/>
        <v>0.847232996835387</v>
      </c>
      <c r="BB28" s="7">
        <f>VLOOKUP(C28,'[2]5月汇总'!$C:$I,6,0)</f>
        <v>1</v>
      </c>
      <c r="BC28" s="16">
        <f t="shared" si="42"/>
        <v>6</v>
      </c>
      <c r="BD28" s="17">
        <f t="shared" si="43"/>
        <v>0.1875</v>
      </c>
      <c r="BE28" s="18">
        <f>VLOOKUP(C28,[1]两年对比终版!$A:$W,20,0)</f>
        <v>0</v>
      </c>
      <c r="BF28" s="15">
        <f t="shared" si="20"/>
        <v>1</v>
      </c>
      <c r="BG28" s="7">
        <f>VLOOKUP(C28,'[2]5月汇总'!$C:$I,7,0)</f>
        <v>7.98</v>
      </c>
      <c r="BH28" s="16">
        <f t="shared" si="21"/>
        <v>45.591200000000001</v>
      </c>
      <c r="BI28" s="17">
        <f t="shared" si="22"/>
        <v>0.17204226415094301</v>
      </c>
      <c r="BJ28" s="20">
        <f>VLOOKUP(C28,[1]两年对比终版!$A:$W,23,0)</f>
        <v>0</v>
      </c>
      <c r="BK28" s="15">
        <f t="shared" si="23"/>
        <v>1</v>
      </c>
    </row>
    <row r="29" spans="1:63">
      <c r="A29" s="12">
        <v>23</v>
      </c>
      <c r="B29" s="12" t="s">
        <v>31</v>
      </c>
      <c r="C29" s="12" t="s">
        <v>53</v>
      </c>
      <c r="D29" s="13">
        <v>238</v>
      </c>
      <c r="E29" s="13">
        <v>41</v>
      </c>
      <c r="F29" s="14">
        <v>0.17226890756302499</v>
      </c>
      <c r="G29" s="13">
        <v>84</v>
      </c>
      <c r="H29" s="15">
        <f t="shared" si="0"/>
        <v>-1.0487804878048801</v>
      </c>
      <c r="I29" s="13">
        <v>1768.9</v>
      </c>
      <c r="J29" s="13">
        <v>430.34500000000003</v>
      </c>
      <c r="K29" s="14">
        <v>0.24328396178416001</v>
      </c>
      <c r="L29" s="13">
        <v>732.27568699999995</v>
      </c>
      <c r="M29" s="15">
        <f t="shared" si="1"/>
        <v>-0.70160147556030605</v>
      </c>
      <c r="N29" s="13">
        <v>73</v>
      </c>
      <c r="O29" s="13">
        <v>15</v>
      </c>
      <c r="P29" s="14">
        <v>0.20547945205479501</v>
      </c>
      <c r="Q29" s="13">
        <v>16</v>
      </c>
      <c r="R29" s="15">
        <f t="shared" si="2"/>
        <v>-6.6666666666666693E-2</v>
      </c>
      <c r="S29" s="13">
        <v>722</v>
      </c>
      <c r="T29" s="13">
        <v>122.238</v>
      </c>
      <c r="U29" s="14">
        <v>0.16930470914127399</v>
      </c>
      <c r="V29" s="13">
        <v>135.723623</v>
      </c>
      <c r="W29" s="15">
        <f t="shared" si="3"/>
        <v>-0.110322673800291</v>
      </c>
      <c r="X29" s="13">
        <v>73</v>
      </c>
      <c r="Y29" s="13">
        <v>14</v>
      </c>
      <c r="Z29" s="14">
        <v>0.19178082191780799</v>
      </c>
      <c r="AA29" s="13">
        <v>12</v>
      </c>
      <c r="AB29" s="15">
        <f t="shared" si="4"/>
        <v>0.14285714285714299</v>
      </c>
      <c r="AC29" s="13">
        <v>722</v>
      </c>
      <c r="AD29" s="13">
        <v>114.248</v>
      </c>
      <c r="AE29" s="14">
        <v>0.15823822714681399</v>
      </c>
      <c r="AF29" s="13">
        <v>104.073207</v>
      </c>
      <c r="AG29" s="15">
        <f t="shared" si="5"/>
        <v>8.9058828163293996E-2</v>
      </c>
      <c r="AH29" s="7">
        <f>VLOOKUP(C29,'[2]5月汇总'!$C:$I,2,0)</f>
        <v>35</v>
      </c>
      <c r="AI29" s="16">
        <f t="shared" si="34"/>
        <v>76</v>
      </c>
      <c r="AJ29" s="17">
        <f t="shared" si="35"/>
        <v>0.31932773109243701</v>
      </c>
      <c r="AK29" s="18">
        <f>VLOOKUP(C29,[1]两年对比终版!$A:$C,3,0)</f>
        <v>128</v>
      </c>
      <c r="AL29" s="15">
        <f t="shared" si="8"/>
        <v>-0.68421052631578905</v>
      </c>
      <c r="AM29" s="7">
        <f>VLOOKUP(C29,'[2]5月汇总'!$C:$I,3,0)</f>
        <v>257.89999999999998</v>
      </c>
      <c r="AN29" s="16">
        <f t="shared" si="36"/>
        <v>688.245</v>
      </c>
      <c r="AO29" s="17">
        <f t="shared" si="37"/>
        <v>0.38908078466843798</v>
      </c>
      <c r="AP29" s="19">
        <f>VLOOKUP(C29,[1]两年对比终版!$A:$F,6,0)</f>
        <v>1268.9124690000001</v>
      </c>
      <c r="AQ29" s="15">
        <f t="shared" si="11"/>
        <v>-0.84369297125297005</v>
      </c>
      <c r="AR29" s="7">
        <f>VLOOKUP(C29,'[2]5月汇总'!$C:$I,4,0)</f>
        <v>10</v>
      </c>
      <c r="AS29" s="16">
        <f t="shared" si="38"/>
        <v>25</v>
      </c>
      <c r="AT29" s="17">
        <f t="shared" si="39"/>
        <v>0.34246575342465801</v>
      </c>
      <c r="AU29" s="7">
        <f>VLOOKUP(C29,[1]两年对比终版!$A:$W,14,0)</f>
        <v>27</v>
      </c>
      <c r="AV29" s="15">
        <f t="shared" si="14"/>
        <v>-0.08</v>
      </c>
      <c r="AW29" s="7">
        <f>VLOOKUP(C29,'[2]5月汇总'!$C:$I,5,0)</f>
        <v>85.85</v>
      </c>
      <c r="AX29" s="16">
        <f t="shared" si="40"/>
        <v>208.08799999999999</v>
      </c>
      <c r="AY29" s="17">
        <f t="shared" si="41"/>
        <v>0.28821052631578897</v>
      </c>
      <c r="AZ29" s="19">
        <f>VLOOKUP(C29,[1]两年对比终版!$A:$W,17,0)</f>
        <v>224.145533</v>
      </c>
      <c r="BA29" s="15">
        <f t="shared" si="17"/>
        <v>-7.7167030294875302E-2</v>
      </c>
      <c r="BB29" s="7">
        <f>VLOOKUP(C29,'[2]5月汇总'!$C:$I,6,0)</f>
        <v>1</v>
      </c>
      <c r="BC29" s="16">
        <f t="shared" si="42"/>
        <v>15</v>
      </c>
      <c r="BD29" s="17">
        <f t="shared" si="43"/>
        <v>0.20547945205479501</v>
      </c>
      <c r="BE29" s="18">
        <f>VLOOKUP(C29,[1]两年对比终版!$A:$W,20,0)</f>
        <v>20</v>
      </c>
      <c r="BF29" s="15">
        <f t="shared" si="20"/>
        <v>-0.33333333333333298</v>
      </c>
      <c r="BG29" s="7">
        <f>VLOOKUP(C29,'[2]5月汇总'!$C:$I,7,0)</f>
        <v>8.02</v>
      </c>
      <c r="BH29" s="16">
        <f t="shared" si="21"/>
        <v>122.268</v>
      </c>
      <c r="BI29" s="17">
        <f t="shared" si="22"/>
        <v>0.169346260387812</v>
      </c>
      <c r="BJ29" s="20">
        <f>VLOOKUP(C29,[1]两年对比终版!$A:$W,23,0)</f>
        <v>167.86765299999999</v>
      </c>
      <c r="BK29" s="15">
        <f t="shared" si="23"/>
        <v>-0.37294838387803803</v>
      </c>
    </row>
    <row r="30" spans="1:63">
      <c r="A30" s="12">
        <v>24</v>
      </c>
      <c r="B30" s="12" t="s">
        <v>34</v>
      </c>
      <c r="C30" s="12" t="s">
        <v>54</v>
      </c>
      <c r="D30" s="13">
        <v>136</v>
      </c>
      <c r="E30" s="13">
        <v>23</v>
      </c>
      <c r="F30" s="14">
        <v>0.16911764705882401</v>
      </c>
      <c r="G30" s="13">
        <v>38</v>
      </c>
      <c r="H30" s="15">
        <f t="shared" si="0"/>
        <v>-0.65217391304347805</v>
      </c>
      <c r="I30" s="13">
        <v>964</v>
      </c>
      <c r="J30" s="13">
        <v>320.911</v>
      </c>
      <c r="K30" s="14">
        <v>0.332895228215768</v>
      </c>
      <c r="L30" s="13">
        <v>580.17456100000004</v>
      </c>
      <c r="M30" s="15">
        <f t="shared" si="1"/>
        <v>-0.80789864167946901</v>
      </c>
      <c r="N30" s="13">
        <v>32</v>
      </c>
      <c r="O30" s="13">
        <v>8</v>
      </c>
      <c r="P30" s="14">
        <v>0.25</v>
      </c>
      <c r="Q30" s="13">
        <v>2</v>
      </c>
      <c r="R30" s="15">
        <f t="shared" si="2"/>
        <v>0.75</v>
      </c>
      <c r="S30" s="13">
        <v>380</v>
      </c>
      <c r="T30" s="13">
        <v>88.302300000000002</v>
      </c>
      <c r="U30" s="14">
        <v>0.23237447368420999</v>
      </c>
      <c r="V30" s="13">
        <v>29.534538999999999</v>
      </c>
      <c r="W30" s="15">
        <f t="shared" si="3"/>
        <v>0.66552922177564999</v>
      </c>
      <c r="X30" s="13">
        <v>32</v>
      </c>
      <c r="Y30" s="13">
        <v>3</v>
      </c>
      <c r="Z30" s="14">
        <v>9.375E-2</v>
      </c>
      <c r="AA30" s="13">
        <v>8</v>
      </c>
      <c r="AB30" s="15">
        <f t="shared" si="4"/>
        <v>-1.6666666666666701</v>
      </c>
      <c r="AC30" s="13">
        <v>380</v>
      </c>
      <c r="AD30" s="13">
        <v>53.710099999999997</v>
      </c>
      <c r="AE30" s="14">
        <v>0.14134236842105299</v>
      </c>
      <c r="AF30" s="13">
        <v>165.75891200000001</v>
      </c>
      <c r="AG30" s="15">
        <f t="shared" si="5"/>
        <v>-2.0861776835269299</v>
      </c>
      <c r="AH30" s="7">
        <f>VLOOKUP(C30,'[2]5月汇总'!$C:$I,2,0)</f>
        <v>8</v>
      </c>
      <c r="AI30" s="16">
        <f t="shared" si="34"/>
        <v>31</v>
      </c>
      <c r="AJ30" s="17">
        <f t="shared" si="35"/>
        <v>0.22794117647058801</v>
      </c>
      <c r="AK30" s="18">
        <f>VLOOKUP(C30,[1]两年对比终版!$A:$C,3,0)</f>
        <v>39</v>
      </c>
      <c r="AL30" s="15">
        <f t="shared" si="8"/>
        <v>-0.25806451612903197</v>
      </c>
      <c r="AM30" s="7">
        <f>VLOOKUP(C30,'[2]5月汇总'!$C:$I,3,0)</f>
        <v>100</v>
      </c>
      <c r="AN30" s="16">
        <f t="shared" si="36"/>
        <v>420.911</v>
      </c>
      <c r="AO30" s="17">
        <f t="shared" si="37"/>
        <v>0.43662966804979297</v>
      </c>
      <c r="AP30" s="19">
        <f>VLOOKUP(C30,[1]两年对比终版!$A:$F,6,0)</f>
        <v>592.24855300000002</v>
      </c>
      <c r="AQ30" s="15">
        <f t="shared" si="11"/>
        <v>-0.40706361439829303</v>
      </c>
      <c r="AR30" s="7">
        <f>VLOOKUP(C30,'[2]5月汇总'!$C:$I,4,0)</f>
        <v>4</v>
      </c>
      <c r="AS30" s="16">
        <f t="shared" si="38"/>
        <v>12</v>
      </c>
      <c r="AT30" s="17">
        <f t="shared" si="39"/>
        <v>0.375</v>
      </c>
      <c r="AU30" s="7">
        <f>VLOOKUP(C30,[1]两年对比终版!$A:$W,14,0)</f>
        <v>2</v>
      </c>
      <c r="AV30" s="15">
        <f t="shared" si="14"/>
        <v>0.83333333333333304</v>
      </c>
      <c r="AW30" s="7">
        <f>VLOOKUP(C30,'[2]5月汇总'!$C:$I,5,0)</f>
        <v>40</v>
      </c>
      <c r="AX30" s="16">
        <f t="shared" si="40"/>
        <v>128.3023</v>
      </c>
      <c r="AY30" s="17">
        <f t="shared" si="41"/>
        <v>0.337637631578947</v>
      </c>
      <c r="AZ30" s="19">
        <f>VLOOKUP(C30,[1]两年对比终版!$A:$W,17,0)</f>
        <v>29.534538999999999</v>
      </c>
      <c r="BA30" s="15">
        <f t="shared" si="17"/>
        <v>0.76980506974543705</v>
      </c>
      <c r="BB30" s="7">
        <f>VLOOKUP(C30,'[2]5月汇总'!$C:$I,6,0)</f>
        <v>4</v>
      </c>
      <c r="BC30" s="16">
        <f t="shared" si="42"/>
        <v>7</v>
      </c>
      <c r="BD30" s="17">
        <f t="shared" si="43"/>
        <v>0.21875</v>
      </c>
      <c r="BE30" s="18">
        <f>VLOOKUP(C30,[1]两年对比终版!$A:$W,20,0)</f>
        <v>9</v>
      </c>
      <c r="BF30" s="15">
        <f t="shared" si="20"/>
        <v>-0.28571428571428598</v>
      </c>
      <c r="BG30" s="7">
        <f>VLOOKUP(C30,'[2]5月汇总'!$C:$I,7,0)</f>
        <v>24.4</v>
      </c>
      <c r="BH30" s="16">
        <f t="shared" si="21"/>
        <v>78.110100000000003</v>
      </c>
      <c r="BI30" s="17">
        <f t="shared" si="22"/>
        <v>0.20555289473684199</v>
      </c>
      <c r="BJ30" s="20">
        <f>VLOOKUP(C30,[1]两年对比终版!$A:$W,23,0)</f>
        <v>179.53971200000001</v>
      </c>
      <c r="BK30" s="15">
        <f t="shared" si="23"/>
        <v>-1.2985466924251801</v>
      </c>
    </row>
    <row r="31" spans="1:63">
      <c r="A31" s="12">
        <v>25</v>
      </c>
      <c r="B31" s="12" t="s">
        <v>34</v>
      </c>
      <c r="C31" s="12" t="s">
        <v>55</v>
      </c>
      <c r="D31" s="13">
        <v>69</v>
      </c>
      <c r="E31" s="13">
        <v>26</v>
      </c>
      <c r="F31" s="14">
        <v>0.376811594202899</v>
      </c>
      <c r="G31" s="13">
        <v>0</v>
      </c>
      <c r="H31" s="15">
        <f t="shared" si="0"/>
        <v>1</v>
      </c>
      <c r="I31" s="13">
        <v>710</v>
      </c>
      <c r="J31" s="13">
        <v>214.36</v>
      </c>
      <c r="K31" s="14">
        <v>0.301915492957747</v>
      </c>
      <c r="L31" s="13">
        <v>0</v>
      </c>
      <c r="M31" s="15">
        <f t="shared" si="1"/>
        <v>1</v>
      </c>
      <c r="N31" s="13">
        <v>27</v>
      </c>
      <c r="O31" s="13">
        <v>0</v>
      </c>
      <c r="P31" s="14">
        <v>0</v>
      </c>
      <c r="Q31" s="13">
        <v>0</v>
      </c>
      <c r="R31" s="15" t="e">
        <f t="shared" si="2"/>
        <v>#DIV/0!</v>
      </c>
      <c r="S31" s="13">
        <v>350</v>
      </c>
      <c r="T31" s="13">
        <v>0</v>
      </c>
      <c r="U31" s="14">
        <v>0</v>
      </c>
      <c r="V31" s="13">
        <v>0</v>
      </c>
      <c r="W31" s="15" t="e">
        <f t="shared" si="3"/>
        <v>#DIV/0!</v>
      </c>
      <c r="X31" s="13">
        <v>27</v>
      </c>
      <c r="Y31" s="13">
        <v>0</v>
      </c>
      <c r="Z31" s="14">
        <v>0</v>
      </c>
      <c r="AA31" s="13">
        <v>0</v>
      </c>
      <c r="AB31" s="15" t="e">
        <f t="shared" si="4"/>
        <v>#DIV/0!</v>
      </c>
      <c r="AC31" s="13">
        <v>350</v>
      </c>
      <c r="AD31" s="13">
        <v>0</v>
      </c>
      <c r="AE31" s="14">
        <v>0</v>
      </c>
      <c r="AF31" s="13">
        <v>0</v>
      </c>
      <c r="AG31" s="15" t="e">
        <f t="shared" si="5"/>
        <v>#DIV/0!</v>
      </c>
      <c r="AH31" s="7">
        <f>VLOOKUP(C31,'[2]5月汇总'!$C:$I,2,0)</f>
        <v>0</v>
      </c>
      <c r="AI31" s="16">
        <f t="shared" si="34"/>
        <v>26</v>
      </c>
      <c r="AJ31" s="17">
        <f t="shared" si="35"/>
        <v>0.376811594202899</v>
      </c>
      <c r="AK31" s="18">
        <f>VLOOKUP(C31,[1]两年对比终版!$A:$C,3,0)</f>
        <v>0</v>
      </c>
      <c r="AL31" s="15">
        <f t="shared" si="8"/>
        <v>1</v>
      </c>
      <c r="AM31" s="7">
        <f>VLOOKUP(C31,'[2]5月汇总'!$C:$I,3,0)</f>
        <v>0</v>
      </c>
      <c r="AN31" s="16">
        <f t="shared" si="36"/>
        <v>214.36</v>
      </c>
      <c r="AO31" s="17">
        <f t="shared" si="37"/>
        <v>0.301915492957747</v>
      </c>
      <c r="AP31" s="19">
        <f>VLOOKUP(C31,[1]两年对比终版!$A:$F,6,0)</f>
        <v>0</v>
      </c>
      <c r="AQ31" s="15">
        <f t="shared" si="11"/>
        <v>1</v>
      </c>
      <c r="AR31" s="7">
        <f>VLOOKUP(C31,'[2]5月汇总'!$C:$I,4,0)</f>
        <v>0</v>
      </c>
      <c r="AS31" s="16">
        <f t="shared" si="38"/>
        <v>0</v>
      </c>
      <c r="AT31" s="17">
        <f t="shared" si="39"/>
        <v>0</v>
      </c>
      <c r="AU31" s="7">
        <f>VLOOKUP(C31,[1]两年对比终版!$A:$W,14,0)</f>
        <v>0</v>
      </c>
      <c r="AV31" s="15" t="e">
        <f t="shared" si="14"/>
        <v>#DIV/0!</v>
      </c>
      <c r="AW31" s="7">
        <f>VLOOKUP(C31,'[2]5月汇总'!$C:$I,5,0)</f>
        <v>15</v>
      </c>
      <c r="AX31" s="16">
        <f t="shared" si="40"/>
        <v>15</v>
      </c>
      <c r="AY31" s="17">
        <f t="shared" si="41"/>
        <v>4.2857142857142899E-2</v>
      </c>
      <c r="AZ31" s="19">
        <f>VLOOKUP(C31,[1]两年对比终版!$A:$W,17,0)</f>
        <v>0</v>
      </c>
      <c r="BA31" s="15">
        <f t="shared" si="17"/>
        <v>1</v>
      </c>
      <c r="BB31" s="7">
        <f>VLOOKUP(C31,'[2]5月汇总'!$C:$I,6,0)</f>
        <v>0</v>
      </c>
      <c r="BC31" s="16">
        <f t="shared" si="42"/>
        <v>0</v>
      </c>
      <c r="BD31" s="17">
        <f t="shared" si="43"/>
        <v>0</v>
      </c>
      <c r="BE31" s="18">
        <f>VLOOKUP(C31,[1]两年对比终版!$A:$W,20,0)</f>
        <v>0</v>
      </c>
      <c r="BF31" s="15" t="e">
        <f t="shared" si="20"/>
        <v>#DIV/0!</v>
      </c>
      <c r="BG31" s="7">
        <f>VLOOKUP(C31,'[2]5月汇总'!$C:$I,7,0)</f>
        <v>7.5</v>
      </c>
      <c r="BH31" s="16">
        <f t="shared" si="21"/>
        <v>7.5</v>
      </c>
      <c r="BI31" s="17">
        <f t="shared" si="22"/>
        <v>2.1428571428571401E-2</v>
      </c>
      <c r="BJ31" s="20">
        <f>VLOOKUP(C31,[1]两年对比终版!$A:$W,23,0)</f>
        <v>0</v>
      </c>
      <c r="BK31" s="15">
        <f t="shared" si="23"/>
        <v>1</v>
      </c>
    </row>
    <row r="32" spans="1:63">
      <c r="A32" s="12">
        <v>26</v>
      </c>
      <c r="B32" s="12" t="s">
        <v>34</v>
      </c>
      <c r="C32" s="12" t="s">
        <v>56</v>
      </c>
      <c r="D32" s="13">
        <v>263</v>
      </c>
      <c r="E32" s="13">
        <v>48</v>
      </c>
      <c r="F32" s="14">
        <v>0.182509505703422</v>
      </c>
      <c r="G32" s="13">
        <v>35</v>
      </c>
      <c r="H32" s="15">
        <f t="shared" si="0"/>
        <v>0.27083333333333298</v>
      </c>
      <c r="I32" s="13">
        <v>1640</v>
      </c>
      <c r="J32" s="13">
        <v>499.416</v>
      </c>
      <c r="K32" s="14">
        <v>0.30452195121951198</v>
      </c>
      <c r="L32" s="13">
        <v>300.423338</v>
      </c>
      <c r="M32" s="15">
        <f t="shared" si="1"/>
        <v>0.39845071443445901</v>
      </c>
      <c r="N32" s="13">
        <v>42</v>
      </c>
      <c r="O32" s="13">
        <v>8</v>
      </c>
      <c r="P32" s="14">
        <v>0.19047619047618999</v>
      </c>
      <c r="Q32" s="13">
        <v>1</v>
      </c>
      <c r="R32" s="15">
        <f t="shared" si="2"/>
        <v>0.875</v>
      </c>
      <c r="S32" s="13">
        <v>400</v>
      </c>
      <c r="T32" s="13">
        <v>77.599699999999999</v>
      </c>
      <c r="U32" s="14">
        <v>0.19399925000000001</v>
      </c>
      <c r="V32" s="13">
        <v>7.43</v>
      </c>
      <c r="W32" s="15">
        <f t="shared" si="3"/>
        <v>0.90425220716059496</v>
      </c>
      <c r="X32" s="13">
        <v>42</v>
      </c>
      <c r="Y32" s="13">
        <v>8</v>
      </c>
      <c r="Z32" s="14">
        <v>0.19047619047618999</v>
      </c>
      <c r="AA32" s="13">
        <v>1</v>
      </c>
      <c r="AB32" s="15">
        <f t="shared" si="4"/>
        <v>0.875</v>
      </c>
      <c r="AC32" s="13">
        <v>400</v>
      </c>
      <c r="AD32" s="13">
        <v>77.599699999999999</v>
      </c>
      <c r="AE32" s="14">
        <v>0.19399925000000001</v>
      </c>
      <c r="AF32" s="13">
        <v>7.43</v>
      </c>
      <c r="AG32" s="15">
        <f t="shared" si="5"/>
        <v>0.90425220716059496</v>
      </c>
      <c r="AH32" s="7">
        <f>VLOOKUP(C32,'[2]5月汇总'!$C:$I,2,0)</f>
        <v>0</v>
      </c>
      <c r="AI32" s="16">
        <f t="shared" si="34"/>
        <v>48</v>
      </c>
      <c r="AJ32" s="17">
        <f t="shared" si="35"/>
        <v>0.182509505703422</v>
      </c>
      <c r="AK32" s="18">
        <f>VLOOKUP(C32,[1]两年对比终版!$A:$C,3,0)</f>
        <v>97</v>
      </c>
      <c r="AL32" s="15">
        <f t="shared" si="8"/>
        <v>-1.0208333333333299</v>
      </c>
      <c r="AM32" s="7">
        <f>VLOOKUP(C32,'[2]5月汇总'!$C:$I,3,0)</f>
        <v>0</v>
      </c>
      <c r="AN32" s="16">
        <f t="shared" si="36"/>
        <v>499.416</v>
      </c>
      <c r="AO32" s="17">
        <f t="shared" si="37"/>
        <v>0.30452195121951198</v>
      </c>
      <c r="AP32" s="19">
        <f>VLOOKUP(C32,[1]两年对比终版!$A:$F,6,0)</f>
        <v>1049.8086599999999</v>
      </c>
      <c r="AQ32" s="15">
        <f t="shared" si="11"/>
        <v>-1.10207254072757</v>
      </c>
      <c r="AR32" s="7">
        <f>VLOOKUP(C32,'[2]5月汇总'!$C:$I,4,0)</f>
        <v>0</v>
      </c>
      <c r="AS32" s="16">
        <f t="shared" si="38"/>
        <v>8</v>
      </c>
      <c r="AT32" s="17">
        <f t="shared" si="39"/>
        <v>0.19047619047618999</v>
      </c>
      <c r="AU32" s="7">
        <f>VLOOKUP(C32,[1]两年对比终版!$A:$W,14,0)</f>
        <v>1</v>
      </c>
      <c r="AV32" s="15">
        <f t="shared" si="14"/>
        <v>0.875</v>
      </c>
      <c r="AW32" s="7">
        <f>VLOOKUP(C32,'[2]5月汇总'!$C:$I,5,0)</f>
        <v>50</v>
      </c>
      <c r="AX32" s="16">
        <f t="shared" si="40"/>
        <v>127.5997</v>
      </c>
      <c r="AY32" s="17">
        <f t="shared" si="41"/>
        <v>0.31899925000000001</v>
      </c>
      <c r="AZ32" s="19">
        <f>VLOOKUP(C32,[1]两年对比终版!$A:$W,17,0)</f>
        <v>7.43</v>
      </c>
      <c r="BA32" s="15">
        <f t="shared" si="17"/>
        <v>0.94177102297262505</v>
      </c>
      <c r="BB32" s="7">
        <f>VLOOKUP(C32,'[2]5月汇总'!$C:$I,6,0)</f>
        <v>0</v>
      </c>
      <c r="BC32" s="16">
        <f t="shared" si="42"/>
        <v>8</v>
      </c>
      <c r="BD32" s="17">
        <f t="shared" si="43"/>
        <v>0.19047619047618999</v>
      </c>
      <c r="BE32" s="18">
        <f>VLOOKUP(C32,[1]两年对比终版!$A:$W,20,0)</f>
        <v>1</v>
      </c>
      <c r="BF32" s="15">
        <f t="shared" si="20"/>
        <v>0.875</v>
      </c>
      <c r="BG32" s="7">
        <f>VLOOKUP(C32,'[2]5月汇总'!$C:$I,7,0)</f>
        <v>0</v>
      </c>
      <c r="BH32" s="16">
        <f t="shared" si="21"/>
        <v>77.599699999999999</v>
      </c>
      <c r="BI32" s="17">
        <f t="shared" si="22"/>
        <v>0.19399925000000001</v>
      </c>
      <c r="BJ32" s="20">
        <f>VLOOKUP(C32,[1]两年对比终版!$A:$W,23,0)</f>
        <v>7.43</v>
      </c>
      <c r="BK32" s="15">
        <f t="shared" si="23"/>
        <v>0.90425220716059496</v>
      </c>
    </row>
    <row r="33" spans="1:63">
      <c r="A33" s="12">
        <v>27</v>
      </c>
      <c r="B33" s="12" t="s">
        <v>31</v>
      </c>
      <c r="C33" s="12" t="s">
        <v>57</v>
      </c>
      <c r="D33" s="13">
        <v>148</v>
      </c>
      <c r="E33" s="13">
        <v>23</v>
      </c>
      <c r="F33" s="14">
        <v>0.15540540540540501</v>
      </c>
      <c r="G33" s="13">
        <v>9</v>
      </c>
      <c r="H33" s="15">
        <f t="shared" si="0"/>
        <v>0.60869565217391297</v>
      </c>
      <c r="I33" s="13">
        <v>1470</v>
      </c>
      <c r="J33" s="13">
        <v>311.15499999999997</v>
      </c>
      <c r="K33" s="14">
        <v>0.211670068027211</v>
      </c>
      <c r="L33" s="13">
        <v>98.864647000000005</v>
      </c>
      <c r="M33" s="15">
        <f t="shared" si="1"/>
        <v>0.68226560074560905</v>
      </c>
      <c r="N33" s="13">
        <v>55</v>
      </c>
      <c r="O33" s="13">
        <v>10</v>
      </c>
      <c r="P33" s="14">
        <v>0.18181818181818199</v>
      </c>
      <c r="Q33" s="13">
        <v>0</v>
      </c>
      <c r="R33" s="15">
        <f t="shared" si="2"/>
        <v>1</v>
      </c>
      <c r="S33" s="13">
        <v>600</v>
      </c>
      <c r="T33" s="13">
        <v>74.216800000000006</v>
      </c>
      <c r="U33" s="14">
        <v>0.12369466666666699</v>
      </c>
      <c r="V33" s="13">
        <v>0</v>
      </c>
      <c r="W33" s="15">
        <f t="shared" si="3"/>
        <v>1</v>
      </c>
      <c r="X33" s="13">
        <v>55</v>
      </c>
      <c r="Y33" s="13">
        <v>4</v>
      </c>
      <c r="Z33" s="14">
        <v>7.2727272727272696E-2</v>
      </c>
      <c r="AA33" s="13">
        <v>0</v>
      </c>
      <c r="AB33" s="15">
        <f t="shared" si="4"/>
        <v>1</v>
      </c>
      <c r="AC33" s="13">
        <v>600</v>
      </c>
      <c r="AD33" s="13">
        <v>24.643799999999999</v>
      </c>
      <c r="AE33" s="14">
        <v>4.1072999999999998E-2</v>
      </c>
      <c r="AF33" s="13">
        <v>0</v>
      </c>
      <c r="AG33" s="15">
        <f t="shared" si="5"/>
        <v>1</v>
      </c>
      <c r="AH33" s="7">
        <f>VLOOKUP(C33,'[2]5月汇总'!$C:$I,2,0)</f>
        <v>10</v>
      </c>
      <c r="AI33" s="16">
        <f t="shared" si="34"/>
        <v>33</v>
      </c>
      <c r="AJ33" s="17">
        <f t="shared" si="35"/>
        <v>0.222972972972973</v>
      </c>
      <c r="AK33" s="18">
        <f>VLOOKUP(C33,[1]两年对比终版!$A:$C,3,0)</f>
        <v>10</v>
      </c>
      <c r="AL33" s="15">
        <f t="shared" si="8"/>
        <v>0.69696969696969702</v>
      </c>
      <c r="AM33" s="7">
        <f>VLOOKUP(C33,'[2]5月汇总'!$C:$I,3,0)</f>
        <v>120</v>
      </c>
      <c r="AN33" s="16">
        <f t="shared" si="36"/>
        <v>431.15499999999997</v>
      </c>
      <c r="AO33" s="17">
        <f t="shared" si="37"/>
        <v>0.29330272108843503</v>
      </c>
      <c r="AP33" s="19">
        <f>VLOOKUP(C33,[1]两年对比终版!$A:$F,6,0)</f>
        <v>106.425487</v>
      </c>
      <c r="AQ33" s="15">
        <f t="shared" si="11"/>
        <v>0.75316188609664703</v>
      </c>
      <c r="AR33" s="7">
        <f>VLOOKUP(C33,'[2]5月汇总'!$C:$I,4,0)</f>
        <v>1</v>
      </c>
      <c r="AS33" s="16">
        <f t="shared" si="38"/>
        <v>11</v>
      </c>
      <c r="AT33" s="17">
        <f t="shared" si="39"/>
        <v>0.2</v>
      </c>
      <c r="AU33" s="7">
        <f>VLOOKUP(C33,[1]两年对比终版!$A:$W,14,0)</f>
        <v>1</v>
      </c>
      <c r="AV33" s="15">
        <f t="shared" si="14"/>
        <v>0.90909090909090895</v>
      </c>
      <c r="AW33" s="7">
        <f>VLOOKUP(C33,'[2]5月汇总'!$C:$I,5,0)</f>
        <v>6.8</v>
      </c>
      <c r="AX33" s="16">
        <f t="shared" si="40"/>
        <v>81.016800000000003</v>
      </c>
      <c r="AY33" s="17">
        <f t="shared" si="41"/>
        <v>0.13502800000000001</v>
      </c>
      <c r="AZ33" s="19">
        <f>VLOOKUP(C33,[1]两年对比终版!$A:$W,17,0)</f>
        <v>7.5608399999999998</v>
      </c>
      <c r="BA33" s="15">
        <f t="shared" si="17"/>
        <v>0.906675652457268</v>
      </c>
      <c r="BB33" s="7">
        <f>VLOOKUP(C33,'[2]5月汇总'!$C:$I,6,0)</f>
        <v>6</v>
      </c>
      <c r="BC33" s="16">
        <f t="shared" si="42"/>
        <v>10</v>
      </c>
      <c r="BD33" s="17">
        <f t="shared" si="43"/>
        <v>0.18181818181818199</v>
      </c>
      <c r="BE33" s="18">
        <f>VLOOKUP(C33,[1]两年对比终版!$A:$W,20,0)</f>
        <v>0</v>
      </c>
      <c r="BF33" s="15">
        <f t="shared" si="20"/>
        <v>1</v>
      </c>
      <c r="BG33" s="7">
        <f>VLOOKUP(C33,'[2]5月汇总'!$C:$I,7,0)</f>
        <v>42.7</v>
      </c>
      <c r="BH33" s="16">
        <f t="shared" si="21"/>
        <v>67.343800000000002</v>
      </c>
      <c r="BI33" s="17">
        <f t="shared" si="22"/>
        <v>0.112239666666667</v>
      </c>
      <c r="BJ33" s="20">
        <f>VLOOKUP(C33,[1]两年对比终版!$A:$W,23,0)</f>
        <v>0</v>
      </c>
      <c r="BK33" s="15">
        <f t="shared" si="23"/>
        <v>1</v>
      </c>
    </row>
    <row r="34" spans="1:63">
      <c r="A34" s="12">
        <v>28</v>
      </c>
      <c r="B34" s="12" t="s">
        <v>25</v>
      </c>
      <c r="C34" s="12" t="s">
        <v>58</v>
      </c>
      <c r="D34" s="13">
        <v>246</v>
      </c>
      <c r="E34" s="13">
        <v>63</v>
      </c>
      <c r="F34" s="14">
        <v>0.25609756097560998</v>
      </c>
      <c r="G34" s="13">
        <v>36</v>
      </c>
      <c r="H34" s="15">
        <f t="shared" si="0"/>
        <v>0.42857142857142899</v>
      </c>
      <c r="I34" s="13">
        <v>2934</v>
      </c>
      <c r="J34" s="13">
        <v>788.16099999999994</v>
      </c>
      <c r="K34" s="14">
        <v>0.26863019768234497</v>
      </c>
      <c r="L34" s="13">
        <v>555.16877999999997</v>
      </c>
      <c r="M34" s="15">
        <f t="shared" si="1"/>
        <v>0.29561500759362602</v>
      </c>
      <c r="N34" s="13">
        <v>81</v>
      </c>
      <c r="O34" s="13">
        <v>23</v>
      </c>
      <c r="P34" s="14">
        <v>0.28395061728395099</v>
      </c>
      <c r="Q34" s="13">
        <v>12</v>
      </c>
      <c r="R34" s="15">
        <f t="shared" si="2"/>
        <v>0.47826086956521702</v>
      </c>
      <c r="S34" s="13">
        <v>1600</v>
      </c>
      <c r="T34" s="13">
        <v>269.24</v>
      </c>
      <c r="U34" s="14">
        <v>0.16827500000000001</v>
      </c>
      <c r="V34" s="13">
        <v>275.38668000000001</v>
      </c>
      <c r="W34" s="15">
        <f t="shared" si="3"/>
        <v>-2.2829742980240701E-2</v>
      </c>
      <c r="X34" s="13">
        <v>81</v>
      </c>
      <c r="Y34" s="13">
        <v>6</v>
      </c>
      <c r="Z34" s="14">
        <v>7.4074074074074098E-2</v>
      </c>
      <c r="AA34" s="13">
        <v>14</v>
      </c>
      <c r="AB34" s="15">
        <f t="shared" si="4"/>
        <v>-1.3333333333333299</v>
      </c>
      <c r="AC34" s="13">
        <v>1600</v>
      </c>
      <c r="AD34" s="13">
        <v>78.962000000000003</v>
      </c>
      <c r="AE34" s="14">
        <v>4.9351249999999999E-2</v>
      </c>
      <c r="AF34" s="13">
        <v>254.07978600000001</v>
      </c>
      <c r="AG34" s="15">
        <f t="shared" si="5"/>
        <v>-2.21774760011145</v>
      </c>
      <c r="AH34" s="7">
        <f>VLOOKUP(C34,'[2]5月汇总'!$C:$I,2,0)</f>
        <v>18</v>
      </c>
      <c r="AI34" s="16">
        <f t="shared" si="34"/>
        <v>81</v>
      </c>
      <c r="AJ34" s="17">
        <f t="shared" si="35"/>
        <v>0.32926829268292701</v>
      </c>
      <c r="AK34" s="18">
        <f>VLOOKUP(C34,[1]两年对比终版!$A:$C,3,0)</f>
        <v>110</v>
      </c>
      <c r="AL34" s="15">
        <f t="shared" si="8"/>
        <v>-0.358024691358025</v>
      </c>
      <c r="AM34" s="7">
        <f>VLOOKUP(C34,'[2]5月汇总'!$C:$I,3,0)</f>
        <v>200</v>
      </c>
      <c r="AN34" s="16">
        <f t="shared" si="36"/>
        <v>988.16099999999994</v>
      </c>
      <c r="AO34" s="17">
        <f t="shared" si="37"/>
        <v>0.33679652351738198</v>
      </c>
      <c r="AP34" s="19">
        <f>VLOOKUP(C34,[1]两年对比终版!$A:$F,6,0)</f>
        <v>1592.6827720000001</v>
      </c>
      <c r="AQ34" s="15">
        <f t="shared" si="11"/>
        <v>-0.61176445133940704</v>
      </c>
      <c r="AR34" s="7">
        <f>VLOOKUP(C34,'[2]5月汇总'!$C:$I,4,0)</f>
        <v>13</v>
      </c>
      <c r="AS34" s="16">
        <f t="shared" si="38"/>
        <v>36</v>
      </c>
      <c r="AT34" s="17">
        <f t="shared" si="39"/>
        <v>0.44444444444444398</v>
      </c>
      <c r="AU34" s="7">
        <f>VLOOKUP(C34,[1]两年对比终版!$A:$W,14,0)</f>
        <v>30</v>
      </c>
      <c r="AV34" s="15">
        <f t="shared" si="14"/>
        <v>0.16666666666666699</v>
      </c>
      <c r="AW34" s="7">
        <f>VLOOKUP(C34,'[2]5月汇总'!$C:$I,5,0)</f>
        <v>126</v>
      </c>
      <c r="AX34" s="16">
        <f t="shared" si="40"/>
        <v>395.24</v>
      </c>
      <c r="AY34" s="17">
        <f t="shared" si="41"/>
        <v>0.24702499999999999</v>
      </c>
      <c r="AZ34" s="19">
        <f>VLOOKUP(C34,[1]两年对比终版!$A:$W,17,0)</f>
        <v>723.49246400000004</v>
      </c>
      <c r="BA34" s="15">
        <f t="shared" si="17"/>
        <v>-0.83051427993118099</v>
      </c>
      <c r="BB34" s="7">
        <f>VLOOKUP(C34,'[2]5月汇总'!$C:$I,6,0)</f>
        <v>4</v>
      </c>
      <c r="BC34" s="16">
        <f t="shared" si="42"/>
        <v>10</v>
      </c>
      <c r="BD34" s="17">
        <f t="shared" si="43"/>
        <v>0.12345679012345701</v>
      </c>
      <c r="BE34" s="18">
        <f>VLOOKUP(C34,[1]两年对比终版!$A:$W,20,0)</f>
        <v>19</v>
      </c>
      <c r="BF34" s="15">
        <f t="shared" si="20"/>
        <v>-0.9</v>
      </c>
      <c r="BG34" s="7">
        <f>VLOOKUP(C34,'[2]5月汇总'!$C:$I,7,0)</f>
        <v>47</v>
      </c>
      <c r="BH34" s="16">
        <f t="shared" si="21"/>
        <v>125.962</v>
      </c>
      <c r="BI34" s="17">
        <f t="shared" si="22"/>
        <v>7.8726249999999998E-2</v>
      </c>
      <c r="BJ34" s="20">
        <f>VLOOKUP(C34,[1]两年对比终版!$A:$W,23,0)</f>
        <v>329.72867100000002</v>
      </c>
      <c r="BK34" s="15">
        <f t="shared" si="23"/>
        <v>-1.6176836744415</v>
      </c>
    </row>
    <row r="35" spans="1:63">
      <c r="A35" s="12">
        <v>29</v>
      </c>
      <c r="B35" s="12" t="s">
        <v>34</v>
      </c>
      <c r="C35" s="12" t="s">
        <v>59</v>
      </c>
      <c r="D35" s="13">
        <v>85</v>
      </c>
      <c r="E35" s="13">
        <v>29</v>
      </c>
      <c r="F35" s="14">
        <v>0.34117647058823503</v>
      </c>
      <c r="G35" s="13">
        <v>0</v>
      </c>
      <c r="H35" s="15">
        <f t="shared" si="0"/>
        <v>1</v>
      </c>
      <c r="I35" s="13">
        <v>650</v>
      </c>
      <c r="J35" s="13">
        <v>214.149</v>
      </c>
      <c r="K35" s="14">
        <v>0.32945999999999998</v>
      </c>
      <c r="L35" s="13">
        <v>0</v>
      </c>
      <c r="M35" s="15">
        <f t="shared" si="1"/>
        <v>1</v>
      </c>
      <c r="N35" s="13">
        <v>27</v>
      </c>
      <c r="O35" s="13">
        <v>0</v>
      </c>
      <c r="P35" s="14">
        <v>0</v>
      </c>
      <c r="Q35" s="13">
        <v>0</v>
      </c>
      <c r="R35" s="15" t="e">
        <f t="shared" si="2"/>
        <v>#DIV/0!</v>
      </c>
      <c r="S35" s="13">
        <v>350</v>
      </c>
      <c r="T35" s="13">
        <v>0</v>
      </c>
      <c r="U35" s="14">
        <v>0</v>
      </c>
      <c r="V35" s="13">
        <v>0</v>
      </c>
      <c r="W35" s="15" t="e">
        <f t="shared" si="3"/>
        <v>#DIV/0!</v>
      </c>
      <c r="X35" s="13">
        <v>27</v>
      </c>
      <c r="Y35" s="13">
        <v>0</v>
      </c>
      <c r="Z35" s="14">
        <v>0</v>
      </c>
      <c r="AA35" s="13">
        <v>0</v>
      </c>
      <c r="AB35" s="15" t="e">
        <f t="shared" si="4"/>
        <v>#DIV/0!</v>
      </c>
      <c r="AC35" s="13">
        <v>350</v>
      </c>
      <c r="AD35" s="13">
        <v>0</v>
      </c>
      <c r="AE35" s="14">
        <v>0</v>
      </c>
      <c r="AF35" s="13">
        <v>0</v>
      </c>
      <c r="AG35" s="15" t="e">
        <f t="shared" si="5"/>
        <v>#DIV/0!</v>
      </c>
      <c r="AH35" s="7">
        <f>VLOOKUP(C35,'[2]5月汇总'!$C:$I,2,0)</f>
        <v>3</v>
      </c>
      <c r="AI35" s="16">
        <f t="shared" si="34"/>
        <v>32</v>
      </c>
      <c r="AJ35" s="17">
        <f t="shared" si="35"/>
        <v>0.376470588235294</v>
      </c>
      <c r="AK35" s="18">
        <f>VLOOKUP(C35,[1]两年对比终版!$A:$C,3,0)</f>
        <v>0</v>
      </c>
      <c r="AL35" s="15">
        <f t="shared" si="8"/>
        <v>1</v>
      </c>
      <c r="AM35" s="7">
        <f>VLOOKUP(C35,'[2]5月汇总'!$C:$I,3,0)</f>
        <v>35</v>
      </c>
      <c r="AN35" s="16">
        <f t="shared" si="36"/>
        <v>249.149</v>
      </c>
      <c r="AO35" s="17">
        <f t="shared" si="37"/>
        <v>0.38330615384615402</v>
      </c>
      <c r="AP35" s="19">
        <f>VLOOKUP(C35,[1]两年对比终版!$A:$F,6,0)</f>
        <v>0</v>
      </c>
      <c r="AQ35" s="15">
        <f t="shared" si="11"/>
        <v>1</v>
      </c>
      <c r="AR35" s="7">
        <f>VLOOKUP(C35,'[2]5月汇总'!$C:$I,4,0)</f>
        <v>3</v>
      </c>
      <c r="AS35" s="16">
        <f t="shared" si="38"/>
        <v>3</v>
      </c>
      <c r="AT35" s="17">
        <f t="shared" si="39"/>
        <v>0.11111111111111099</v>
      </c>
      <c r="AU35" s="7">
        <f>VLOOKUP(C35,[1]两年对比终版!$A:$W,14,0)</f>
        <v>0</v>
      </c>
      <c r="AV35" s="15">
        <f t="shared" si="14"/>
        <v>1</v>
      </c>
      <c r="AW35" s="7">
        <f>VLOOKUP(C35,'[2]5月汇总'!$C:$I,5,0)</f>
        <v>35</v>
      </c>
      <c r="AX35" s="16">
        <f t="shared" si="40"/>
        <v>35</v>
      </c>
      <c r="AY35" s="17">
        <f t="shared" si="41"/>
        <v>0.1</v>
      </c>
      <c r="AZ35" s="19">
        <f>VLOOKUP(C35,[1]两年对比终版!$A:$W,17,0)</f>
        <v>0</v>
      </c>
      <c r="BA35" s="15">
        <f t="shared" si="17"/>
        <v>1</v>
      </c>
      <c r="BB35" s="7">
        <f>VLOOKUP(C35,'[2]5月汇总'!$C:$I,6,0)</f>
        <v>1</v>
      </c>
      <c r="BC35" s="16">
        <f t="shared" si="42"/>
        <v>1</v>
      </c>
      <c r="BD35" s="17">
        <f t="shared" si="43"/>
        <v>3.7037037037037E-2</v>
      </c>
      <c r="BE35" s="18">
        <f>VLOOKUP(C35,[1]两年对比终版!$A:$W,20,0)</f>
        <v>0</v>
      </c>
      <c r="BF35" s="15">
        <f t="shared" si="20"/>
        <v>1</v>
      </c>
      <c r="BG35" s="7">
        <f>VLOOKUP(C35,'[2]5月汇总'!$C:$I,7,0)</f>
        <v>10</v>
      </c>
      <c r="BH35" s="16">
        <f t="shared" si="21"/>
        <v>10</v>
      </c>
      <c r="BI35" s="17">
        <f t="shared" si="22"/>
        <v>2.8571428571428598E-2</v>
      </c>
      <c r="BJ35" s="20">
        <f>VLOOKUP(C35,[1]两年对比终版!$A:$W,23,0)</f>
        <v>0</v>
      </c>
      <c r="BK35" s="15">
        <f t="shared" si="23"/>
        <v>1</v>
      </c>
    </row>
    <row r="36" spans="1:63">
      <c r="A36" s="12">
        <v>30</v>
      </c>
      <c r="B36" s="12" t="s">
        <v>34</v>
      </c>
      <c r="C36" s="12" t="s">
        <v>60</v>
      </c>
      <c r="D36" s="13">
        <v>250</v>
      </c>
      <c r="E36" s="13">
        <v>51</v>
      </c>
      <c r="F36" s="14">
        <v>0.20399999999999999</v>
      </c>
      <c r="G36" s="13">
        <v>0</v>
      </c>
      <c r="H36" s="15">
        <f t="shared" si="0"/>
        <v>1</v>
      </c>
      <c r="I36" s="13">
        <v>1700</v>
      </c>
      <c r="J36" s="13">
        <v>530.63199999999995</v>
      </c>
      <c r="K36" s="14">
        <v>0.31213647058823502</v>
      </c>
      <c r="L36" s="13">
        <v>0</v>
      </c>
      <c r="M36" s="15">
        <f t="shared" si="1"/>
        <v>1</v>
      </c>
      <c r="N36" s="13">
        <v>42</v>
      </c>
      <c r="O36" s="13">
        <v>0</v>
      </c>
      <c r="P36" s="14">
        <v>0</v>
      </c>
      <c r="Q36" s="13">
        <v>0</v>
      </c>
      <c r="R36" s="15" t="e">
        <f t="shared" si="2"/>
        <v>#DIV/0!</v>
      </c>
      <c r="S36" s="13">
        <v>400</v>
      </c>
      <c r="T36" s="13">
        <v>0</v>
      </c>
      <c r="U36" s="14">
        <v>0</v>
      </c>
      <c r="V36" s="13">
        <v>0</v>
      </c>
      <c r="W36" s="15" t="e">
        <f t="shared" si="3"/>
        <v>#DIV/0!</v>
      </c>
      <c r="X36" s="13">
        <v>42</v>
      </c>
      <c r="Y36" s="13">
        <v>0</v>
      </c>
      <c r="Z36" s="14">
        <v>0</v>
      </c>
      <c r="AA36" s="13">
        <v>0</v>
      </c>
      <c r="AB36" s="15" t="e">
        <f t="shared" si="4"/>
        <v>#DIV/0!</v>
      </c>
      <c r="AC36" s="13">
        <v>400</v>
      </c>
      <c r="AD36" s="13">
        <v>0</v>
      </c>
      <c r="AE36" s="14">
        <v>0</v>
      </c>
      <c r="AF36" s="13">
        <v>0</v>
      </c>
      <c r="AG36" s="15" t="e">
        <f t="shared" si="5"/>
        <v>#DIV/0!</v>
      </c>
      <c r="AH36" s="7">
        <f>VLOOKUP(C36,'[2]5月汇总'!$C:$I,2,0)</f>
        <v>0</v>
      </c>
      <c r="AI36" s="16">
        <f t="shared" si="34"/>
        <v>51</v>
      </c>
      <c r="AJ36" s="17">
        <f t="shared" si="35"/>
        <v>0.20399999999999999</v>
      </c>
      <c r="AK36" s="18">
        <f>VLOOKUP(C36,[1]两年对比终版!$A:$C,3,0)</f>
        <v>0</v>
      </c>
      <c r="AL36" s="15">
        <f t="shared" si="8"/>
        <v>1</v>
      </c>
      <c r="AM36" s="7">
        <f>VLOOKUP(C36,'[2]5月汇总'!$C:$I,3,0)</f>
        <v>0</v>
      </c>
      <c r="AN36" s="16">
        <f t="shared" si="36"/>
        <v>530.63199999999995</v>
      </c>
      <c r="AO36" s="17">
        <f t="shared" si="37"/>
        <v>0.31213647058823502</v>
      </c>
      <c r="AP36" s="19">
        <f>VLOOKUP(C36,[1]两年对比终版!$A:$F,6,0)</f>
        <v>0</v>
      </c>
      <c r="AQ36" s="15">
        <f t="shared" si="11"/>
        <v>1</v>
      </c>
      <c r="AR36" s="7">
        <f>VLOOKUP(C36,'[2]5月汇总'!$C:$I,4,0)</f>
        <v>0</v>
      </c>
      <c r="AS36" s="16">
        <f t="shared" si="38"/>
        <v>0</v>
      </c>
      <c r="AT36" s="17">
        <f t="shared" si="39"/>
        <v>0</v>
      </c>
      <c r="AU36" s="7">
        <f>VLOOKUP(C36,[1]两年对比终版!$A:$W,14,0)</f>
        <v>0</v>
      </c>
      <c r="AV36" s="15" t="e">
        <f t="shared" si="14"/>
        <v>#DIV/0!</v>
      </c>
      <c r="AW36" s="7">
        <f>VLOOKUP(C36,'[2]5月汇总'!$C:$I,5,0)</f>
        <v>0</v>
      </c>
      <c r="AX36" s="16">
        <f t="shared" si="40"/>
        <v>0</v>
      </c>
      <c r="AY36" s="17">
        <f t="shared" si="41"/>
        <v>0</v>
      </c>
      <c r="AZ36" s="19">
        <f>VLOOKUP(C36,[1]两年对比终版!$A:$W,17,0)</f>
        <v>0</v>
      </c>
      <c r="BA36" s="15" t="e">
        <f t="shared" si="17"/>
        <v>#DIV/0!</v>
      </c>
      <c r="BB36" s="7">
        <f>VLOOKUP(C36,'[2]5月汇总'!$C:$I,6,0)</f>
        <v>0</v>
      </c>
      <c r="BC36" s="16">
        <f t="shared" si="42"/>
        <v>0</v>
      </c>
      <c r="BD36" s="17">
        <f t="shared" si="43"/>
        <v>0</v>
      </c>
      <c r="BE36" s="18">
        <f>VLOOKUP(C36,[1]两年对比终版!$A:$W,20,0)</f>
        <v>0</v>
      </c>
      <c r="BF36" s="15" t="e">
        <f t="shared" si="20"/>
        <v>#DIV/0!</v>
      </c>
      <c r="BG36" s="7">
        <f>VLOOKUP(C36,'[2]5月汇总'!$C:$I,7,0)</f>
        <v>85</v>
      </c>
      <c r="BH36" s="16">
        <f t="shared" si="21"/>
        <v>85</v>
      </c>
      <c r="BI36" s="17">
        <f t="shared" si="22"/>
        <v>0.21249999999999999</v>
      </c>
      <c r="BJ36" s="20">
        <f>VLOOKUP(C36,[1]两年对比终版!$A:$W,23,0)</f>
        <v>0</v>
      </c>
      <c r="BK36" s="15">
        <f t="shared" si="23"/>
        <v>1</v>
      </c>
    </row>
    <row r="37" spans="1:63" s="4" customFormat="1">
      <c r="A37" s="93" t="s">
        <v>61</v>
      </c>
      <c r="B37" s="94"/>
      <c r="C37" s="94"/>
      <c r="D37" s="21">
        <v>1823</v>
      </c>
      <c r="E37" s="21">
        <v>401</v>
      </c>
      <c r="F37" s="22">
        <v>0.21996708721887001</v>
      </c>
      <c r="G37" s="21">
        <v>257</v>
      </c>
      <c r="H37" s="23">
        <f t="shared" si="0"/>
        <v>0.35910224438902699</v>
      </c>
      <c r="I37" s="21">
        <v>15128.25</v>
      </c>
      <c r="J37" s="21">
        <v>4161.3010000000004</v>
      </c>
      <c r="K37" s="22">
        <v>0.27506823327218899</v>
      </c>
      <c r="L37" s="21">
        <v>2972.949615</v>
      </c>
      <c r="M37" s="23">
        <f t="shared" si="1"/>
        <v>0.285572080702646</v>
      </c>
      <c r="N37" s="21">
        <v>501</v>
      </c>
      <c r="O37" s="21">
        <v>86</v>
      </c>
      <c r="P37" s="22">
        <v>0.17165668662674599</v>
      </c>
      <c r="Q37" s="21">
        <v>46</v>
      </c>
      <c r="R37" s="23">
        <f t="shared" si="2"/>
        <v>0.46511627906976699</v>
      </c>
      <c r="S37" s="21">
        <v>6146.2449999999999</v>
      </c>
      <c r="T37" s="21">
        <v>789.06179999999995</v>
      </c>
      <c r="U37" s="22">
        <v>0.128381117251265</v>
      </c>
      <c r="V37" s="21">
        <v>584.48013200000003</v>
      </c>
      <c r="W37" s="23">
        <f t="shared" si="3"/>
        <v>0.25927204687896399</v>
      </c>
      <c r="X37" s="21">
        <v>501</v>
      </c>
      <c r="Y37" s="21">
        <v>55</v>
      </c>
      <c r="Z37" s="22">
        <v>0.109780439121757</v>
      </c>
      <c r="AA37" s="21">
        <v>59</v>
      </c>
      <c r="AB37" s="23">
        <f t="shared" si="4"/>
        <v>-7.2727272727272696E-2</v>
      </c>
      <c r="AC37" s="21">
        <v>6146.2449999999999</v>
      </c>
      <c r="AD37" s="21">
        <v>521.07740000000001</v>
      </c>
      <c r="AE37" s="22">
        <v>8.4779796444821198E-2</v>
      </c>
      <c r="AF37" s="21">
        <v>727.50165000000004</v>
      </c>
      <c r="AG37" s="23">
        <f t="shared" si="5"/>
        <v>-0.39614892144621899</v>
      </c>
      <c r="AH37" s="21">
        <f>SUM(AH26:AH36)</f>
        <v>108</v>
      </c>
      <c r="AI37" s="24">
        <f>AH37+E37</f>
        <v>509</v>
      </c>
      <c r="AJ37" s="25">
        <f t="shared" si="35"/>
        <v>0.27921009325287999</v>
      </c>
      <c r="AK37" s="21">
        <f>SUM(AK26:AK36)</f>
        <v>467</v>
      </c>
      <c r="AL37" s="23">
        <f t="shared" si="8"/>
        <v>8.2514734774066803E-2</v>
      </c>
      <c r="AM37" s="21">
        <f>SUM(AM26:AM36)</f>
        <v>919.25</v>
      </c>
      <c r="AN37" s="24">
        <f t="shared" si="36"/>
        <v>5080.5510000000004</v>
      </c>
      <c r="AO37" s="25">
        <f t="shared" si="37"/>
        <v>0.33583203609141798</v>
      </c>
      <c r="AP37" s="21">
        <f>SUM(AP26:AP36)</f>
        <v>5851.5673800000004</v>
      </c>
      <c r="AQ37" s="23">
        <f t="shared" si="11"/>
        <v>-0.15175841754172001</v>
      </c>
      <c r="AR37" s="21">
        <f>SUM(AR26:AR36)</f>
        <v>45</v>
      </c>
      <c r="AS37" s="24">
        <f t="shared" si="38"/>
        <v>131</v>
      </c>
      <c r="AT37" s="25">
        <f t="shared" si="39"/>
        <v>0.26147704590818399</v>
      </c>
      <c r="AU37" s="21">
        <f>SUM(AU26:AU36)</f>
        <v>88</v>
      </c>
      <c r="AV37" s="23">
        <f t="shared" si="14"/>
        <v>0.32824427480916002</v>
      </c>
      <c r="AW37" s="21">
        <f>SUM(AW26:AW36)</f>
        <v>444.58600000000001</v>
      </c>
      <c r="AX37" s="24">
        <f t="shared" si="40"/>
        <v>1233.6478</v>
      </c>
      <c r="AY37" s="25">
        <f t="shared" si="41"/>
        <v>0.20071568901011899</v>
      </c>
      <c r="AZ37" s="21">
        <f>SUM(AZ26:AZ36)</f>
        <v>1221.545443</v>
      </c>
      <c r="BA37" s="23">
        <f t="shared" si="17"/>
        <v>9.8102205507925207E-3</v>
      </c>
      <c r="BB37" s="21">
        <f>SUM(BB26:BB36)</f>
        <v>27</v>
      </c>
      <c r="BC37" s="24">
        <f t="shared" si="42"/>
        <v>82</v>
      </c>
      <c r="BD37" s="25">
        <f t="shared" si="43"/>
        <v>0.16367265469061901</v>
      </c>
      <c r="BE37" s="21">
        <f>SUM(BE26:BE36)</f>
        <v>78</v>
      </c>
      <c r="BF37" s="23">
        <f t="shared" si="20"/>
        <v>4.8780487804878099E-2</v>
      </c>
      <c r="BG37" s="21">
        <f>SUM(BG26:BG36)</f>
        <v>519.22847999999999</v>
      </c>
      <c r="BH37" s="24">
        <f t="shared" si="21"/>
        <v>1040.3058799999999</v>
      </c>
      <c r="BI37" s="25">
        <f t="shared" si="22"/>
        <v>0.169258771819216</v>
      </c>
      <c r="BJ37" s="21">
        <f>SUM(BJ26:BJ36)</f>
        <v>913.28936999999996</v>
      </c>
      <c r="BK37" s="23">
        <f t="shared" si="23"/>
        <v>0.122095349494708</v>
      </c>
    </row>
    <row r="38" spans="1:63">
      <c r="A38" s="12">
        <v>31</v>
      </c>
      <c r="B38" s="12" t="s">
        <v>31</v>
      </c>
      <c r="C38" s="12" t="s">
        <v>62</v>
      </c>
      <c r="D38" s="13">
        <v>63</v>
      </c>
      <c r="E38" s="13">
        <v>43</v>
      </c>
      <c r="F38" s="14">
        <v>0.682539682539683</v>
      </c>
      <c r="G38" s="13">
        <v>40</v>
      </c>
      <c r="H38" s="15">
        <f t="shared" ref="H38:H69" si="44">(E38-G38)/E38</f>
        <v>6.9767441860465101E-2</v>
      </c>
      <c r="I38" s="13">
        <v>2450</v>
      </c>
      <c r="J38" s="13">
        <v>490.78699999999998</v>
      </c>
      <c r="K38" s="14">
        <v>0.200321224489796</v>
      </c>
      <c r="L38" s="13">
        <v>1027.712235</v>
      </c>
      <c r="M38" s="15">
        <f t="shared" ref="M38:M69" si="45">(J38-L38)/J38</f>
        <v>-1.0940086738238799</v>
      </c>
      <c r="N38" s="13">
        <v>20</v>
      </c>
      <c r="O38" s="13">
        <v>5</v>
      </c>
      <c r="P38" s="14">
        <v>0.25</v>
      </c>
      <c r="Q38" s="13">
        <v>25</v>
      </c>
      <c r="R38" s="15">
        <f t="shared" ref="R38:R69" si="46">(O38-Q38)/O38</f>
        <v>-4</v>
      </c>
      <c r="S38" s="13">
        <v>900</v>
      </c>
      <c r="T38" s="13">
        <v>55.939300000000003</v>
      </c>
      <c r="U38" s="14">
        <v>6.2154777777777802E-2</v>
      </c>
      <c r="V38" s="13">
        <v>891.86092499999995</v>
      </c>
      <c r="W38" s="15">
        <f t="shared" ref="W38:W69" si="47">(T38-V38)/T38</f>
        <v>-14.9433694200678</v>
      </c>
      <c r="X38" s="13">
        <v>20</v>
      </c>
      <c r="Y38" s="13">
        <v>1</v>
      </c>
      <c r="Z38" s="14">
        <v>0.05</v>
      </c>
      <c r="AA38" s="13">
        <v>16</v>
      </c>
      <c r="AB38" s="15">
        <f t="shared" ref="AB38:AB69" si="48">(Y38-AA38)/Y38</f>
        <v>-15</v>
      </c>
      <c r="AC38" s="13">
        <v>900</v>
      </c>
      <c r="AD38" s="13">
        <v>26.676100000000002</v>
      </c>
      <c r="AE38" s="14">
        <v>2.96401111111111E-2</v>
      </c>
      <c r="AF38" s="13">
        <v>539.00554999999997</v>
      </c>
      <c r="AG38" s="15">
        <f t="shared" ref="AG38:AG69" si="49">(AD38-AF38)/AD38</f>
        <v>-19.205560408005699</v>
      </c>
      <c r="AH38" s="7">
        <f>VLOOKUP(C38,'[2]5月汇总'!$C:$I,2,0)</f>
        <v>50</v>
      </c>
      <c r="AI38" s="16">
        <f>E38+AH38</f>
        <v>93</v>
      </c>
      <c r="AJ38" s="17">
        <f t="shared" si="35"/>
        <v>1.47619047619048</v>
      </c>
      <c r="AK38" s="18">
        <f>VLOOKUP(C38,[1]两年对比终版!$A:$C,3,0)</f>
        <v>42</v>
      </c>
      <c r="AL38" s="15">
        <f t="shared" ref="AL38:AL69" si="50">(AI38-AK38)/AI38</f>
        <v>0.54838709677419395</v>
      </c>
      <c r="AM38" s="7">
        <f>VLOOKUP(C38,'[2]5月汇总'!$C:$I,3,0)</f>
        <v>267.5</v>
      </c>
      <c r="AN38" s="16">
        <f t="shared" si="36"/>
        <v>758.28700000000003</v>
      </c>
      <c r="AO38" s="17">
        <f t="shared" si="37"/>
        <v>0.30950489795918401</v>
      </c>
      <c r="AP38" s="19">
        <f>VLOOKUP(C38,[1]两年对比终版!$A:$F,6,0)</f>
        <v>1049.7855669999999</v>
      </c>
      <c r="AQ38" s="15">
        <f t="shared" ref="AQ38:AQ69" si="51">(AN38-AP38)/AN38</f>
        <v>-0.38441720219389203</v>
      </c>
      <c r="AR38" s="7">
        <f>VLOOKUP(C38,'[2]5月汇总'!$C:$I,4,0)</f>
        <v>15</v>
      </c>
      <c r="AS38" s="16">
        <f t="shared" si="38"/>
        <v>20</v>
      </c>
      <c r="AT38" s="17">
        <f t="shared" si="39"/>
        <v>1</v>
      </c>
      <c r="AU38" s="7">
        <f>VLOOKUP(C38,[1]两年对比终版!$A:$W,14,0)</f>
        <v>27</v>
      </c>
      <c r="AV38" s="15">
        <f t="shared" ref="AV38:AV69" si="52">(AS38-AU38)/AS38</f>
        <v>-0.35</v>
      </c>
      <c r="AW38" s="7">
        <f>VLOOKUP(C38,'[2]5月汇总'!$C:$I,5,0)</f>
        <v>157.5</v>
      </c>
      <c r="AX38" s="16">
        <f t="shared" si="40"/>
        <v>213.4393</v>
      </c>
      <c r="AY38" s="17">
        <f t="shared" si="41"/>
        <v>0.23715477777777799</v>
      </c>
      <c r="AZ38" s="19">
        <f>VLOOKUP(C38,[1]两年对比终版!$A:$W,17,0)</f>
        <v>913.934257</v>
      </c>
      <c r="BA38" s="15">
        <f t="shared" ref="BA38:BA69" si="53">(AX38-AZ38)/AX38</f>
        <v>-3.2819399098479001</v>
      </c>
      <c r="BB38" s="7">
        <f>VLOOKUP(C38,'[2]5月汇总'!$C:$I,6,0)</f>
        <v>15</v>
      </c>
      <c r="BC38" s="16">
        <f t="shared" si="42"/>
        <v>16</v>
      </c>
      <c r="BD38" s="17">
        <f t="shared" si="43"/>
        <v>0.8</v>
      </c>
      <c r="BE38" s="18">
        <f>VLOOKUP(C38,[1]两年对比终版!$A:$W,20,0)</f>
        <v>26</v>
      </c>
      <c r="BF38" s="15">
        <f t="shared" ref="BF38:BF69" si="54">(BC38-BE38)/BC38</f>
        <v>-0.625</v>
      </c>
      <c r="BG38" s="7">
        <f>VLOOKUP(C38,'[2]5月汇总'!$C:$I,7,0)</f>
        <v>157.5</v>
      </c>
      <c r="BH38" s="16">
        <f t="shared" ref="BH38:BH69" si="55">BG38+AD38</f>
        <v>184.17609999999999</v>
      </c>
      <c r="BI38" s="17">
        <f t="shared" ref="BI38:BI69" si="56">BH38/AC38</f>
        <v>0.20464011111111099</v>
      </c>
      <c r="BJ38" s="20">
        <f>VLOOKUP(C38,[1]两年对比终版!$A:$W,23,0)</f>
        <v>895.74991999999997</v>
      </c>
      <c r="BK38" s="15">
        <f t="shared" ref="BK38:BK69" si="57">(BH38-BJ38)/BH38</f>
        <v>-3.8635513511253601</v>
      </c>
    </row>
    <row r="39" spans="1:63">
      <c r="A39" s="12">
        <v>32</v>
      </c>
      <c r="B39" s="12" t="s">
        <v>25</v>
      </c>
      <c r="C39" s="12" t="s">
        <v>63</v>
      </c>
      <c r="D39" s="13">
        <v>733</v>
      </c>
      <c r="E39" s="13">
        <v>213</v>
      </c>
      <c r="F39" s="14">
        <v>0.29058663028649401</v>
      </c>
      <c r="G39" s="13">
        <v>288</v>
      </c>
      <c r="H39" s="15">
        <f t="shared" si="44"/>
        <v>-0.352112676056338</v>
      </c>
      <c r="I39" s="13">
        <v>6860</v>
      </c>
      <c r="J39" s="13">
        <v>1838.18</v>
      </c>
      <c r="K39" s="14">
        <v>0.26795626822157398</v>
      </c>
      <c r="L39" s="13">
        <v>2858.8190140000002</v>
      </c>
      <c r="M39" s="15">
        <f t="shared" si="45"/>
        <v>-0.55524432536530699</v>
      </c>
      <c r="N39" s="13">
        <v>200</v>
      </c>
      <c r="O39" s="13">
        <v>29</v>
      </c>
      <c r="P39" s="14">
        <v>0.14499999999999999</v>
      </c>
      <c r="Q39" s="13">
        <v>56</v>
      </c>
      <c r="R39" s="15">
        <f t="shared" si="46"/>
        <v>-0.931034482758621</v>
      </c>
      <c r="S39" s="13">
        <v>2360</v>
      </c>
      <c r="T39" s="13">
        <v>257.589</v>
      </c>
      <c r="U39" s="14">
        <v>0.10914788135593199</v>
      </c>
      <c r="V39" s="13">
        <v>513.03621799999996</v>
      </c>
      <c r="W39" s="15">
        <f t="shared" si="47"/>
        <v>-0.99168527382768701</v>
      </c>
      <c r="X39" s="13">
        <v>200</v>
      </c>
      <c r="Y39" s="13">
        <v>29</v>
      </c>
      <c r="Z39" s="14">
        <v>0.14499999999999999</v>
      </c>
      <c r="AA39" s="13">
        <v>60</v>
      </c>
      <c r="AB39" s="15">
        <f t="shared" si="48"/>
        <v>-1.0689655172413799</v>
      </c>
      <c r="AC39" s="13">
        <v>2360</v>
      </c>
      <c r="AD39" s="13">
        <v>257.589</v>
      </c>
      <c r="AE39" s="14">
        <v>0.10914788135593199</v>
      </c>
      <c r="AF39" s="13">
        <v>501.76314000000002</v>
      </c>
      <c r="AG39" s="15">
        <f t="shared" si="49"/>
        <v>-0.94792145627336599</v>
      </c>
      <c r="AH39" s="7">
        <f>VLOOKUP(C39,'[2]5月汇总'!$C:$I,2,0)</f>
        <v>60</v>
      </c>
      <c r="AI39" s="16">
        <f t="shared" ref="AI39:AI47" si="58">E39+AH39</f>
        <v>273</v>
      </c>
      <c r="AJ39" s="17">
        <f t="shared" ref="AJ39:AJ49" si="59">AI39/D39</f>
        <v>0.37244201909959102</v>
      </c>
      <c r="AK39" s="18">
        <f>VLOOKUP(C39,[1]两年对比终版!$A:$C,3,0)</f>
        <v>860</v>
      </c>
      <c r="AL39" s="15">
        <f t="shared" si="50"/>
        <v>-2.1501831501831501</v>
      </c>
      <c r="AM39" s="7">
        <f>VLOOKUP(C39,'[2]5月汇总'!$C:$I,3,0)</f>
        <v>480</v>
      </c>
      <c r="AN39" s="16">
        <f t="shared" ref="AN39:AN49" si="60">AM39+J39</f>
        <v>2318.1799999999998</v>
      </c>
      <c r="AO39" s="17">
        <f t="shared" ref="AO39:AO49" si="61">AN39/I39</f>
        <v>0.33792711370262402</v>
      </c>
      <c r="AP39" s="19">
        <f>VLOOKUP(C39,[1]两年对比终版!$A:$F,6,0)</f>
        <v>7680.8760709999397</v>
      </c>
      <c r="AQ39" s="15">
        <f t="shared" si="51"/>
        <v>-2.3133216881346299</v>
      </c>
      <c r="AR39" s="7">
        <f>VLOOKUP(C39,'[2]5月汇总'!$C:$I,4,0)</f>
        <v>40</v>
      </c>
      <c r="AS39" s="16">
        <f t="shared" ref="AS39:AS49" si="62">AR39+O39</f>
        <v>69</v>
      </c>
      <c r="AT39" s="17">
        <f t="shared" ref="AT39:AT49" si="63">AS39/N39</f>
        <v>0.34499999999999997</v>
      </c>
      <c r="AU39" s="7">
        <f>VLOOKUP(C39,[1]两年对比终版!$A:$W,14,0)</f>
        <v>115</v>
      </c>
      <c r="AV39" s="15">
        <f t="shared" si="52"/>
        <v>-0.66666666666666696</v>
      </c>
      <c r="AW39" s="7">
        <f>VLOOKUP(C39,'[2]5月汇总'!$C:$I,5,0)</f>
        <v>320</v>
      </c>
      <c r="AX39" s="16">
        <f t="shared" ref="AX39:AX49" si="64">AW39+T39</f>
        <v>577.58900000000006</v>
      </c>
      <c r="AY39" s="17">
        <f t="shared" ref="AY39:AY49" si="65">AX39/S39</f>
        <v>0.244741101694915</v>
      </c>
      <c r="AZ39" s="19">
        <f>VLOOKUP(C39,[1]两年对比终版!$A:$W,17,0)</f>
        <v>999.50570600000003</v>
      </c>
      <c r="BA39" s="15">
        <f t="shared" si="53"/>
        <v>-0.73047912269797499</v>
      </c>
      <c r="BB39" s="7">
        <f>VLOOKUP(C39,'[2]5月汇总'!$C:$I,6,0)</f>
        <v>30</v>
      </c>
      <c r="BC39" s="16">
        <f t="shared" ref="BC39:BC49" si="66">BB39+Y39</f>
        <v>59</v>
      </c>
      <c r="BD39" s="17">
        <f t="shared" ref="BD39:BD49" si="67">BC39/X39</f>
        <v>0.29499999999999998</v>
      </c>
      <c r="BE39" s="18">
        <f>VLOOKUP(C39,[1]两年对比终版!$A:$W,20,0)</f>
        <v>132</v>
      </c>
      <c r="BF39" s="15">
        <f t="shared" si="54"/>
        <v>-1.2372881355932199</v>
      </c>
      <c r="BG39" s="7">
        <f>VLOOKUP(C39,'[2]5月汇总'!$C:$I,7,0)</f>
        <v>240</v>
      </c>
      <c r="BH39" s="16">
        <f t="shared" si="55"/>
        <v>497.589</v>
      </c>
      <c r="BI39" s="17">
        <f t="shared" si="56"/>
        <v>0.210842796610169</v>
      </c>
      <c r="BJ39" s="20">
        <f>VLOOKUP(C39,[1]两年对比终版!$A:$W,23,0)</f>
        <v>1132.2965879999999</v>
      </c>
      <c r="BK39" s="15">
        <f t="shared" si="57"/>
        <v>-1.2755659550351801</v>
      </c>
    </row>
    <row r="40" spans="1:63">
      <c r="A40" s="12">
        <v>33</v>
      </c>
      <c r="B40" s="12" t="s">
        <v>25</v>
      </c>
      <c r="C40" s="12" t="s">
        <v>64</v>
      </c>
      <c r="D40" s="13">
        <v>299</v>
      </c>
      <c r="E40" s="13">
        <v>89</v>
      </c>
      <c r="F40" s="14">
        <v>0.29765886287625398</v>
      </c>
      <c r="G40" s="13">
        <v>115</v>
      </c>
      <c r="H40" s="15">
        <f t="shared" si="44"/>
        <v>-0.29213483146067398</v>
      </c>
      <c r="I40" s="13">
        <v>3710</v>
      </c>
      <c r="J40" s="13">
        <v>696.21100000000001</v>
      </c>
      <c r="K40" s="14">
        <v>0.18765795148247999</v>
      </c>
      <c r="L40" s="13">
        <v>884.79748700000096</v>
      </c>
      <c r="M40" s="15">
        <f t="shared" si="45"/>
        <v>-0.27087547740555801</v>
      </c>
      <c r="N40" s="13">
        <v>150</v>
      </c>
      <c r="O40" s="13">
        <v>13</v>
      </c>
      <c r="P40" s="14">
        <v>8.6666666666666697E-2</v>
      </c>
      <c r="Q40" s="13">
        <v>14</v>
      </c>
      <c r="R40" s="15">
        <f t="shared" si="46"/>
        <v>-7.69230769230769E-2</v>
      </c>
      <c r="S40" s="13">
        <v>1500</v>
      </c>
      <c r="T40" s="13">
        <v>108.78700000000001</v>
      </c>
      <c r="U40" s="14">
        <v>7.2524666666666696E-2</v>
      </c>
      <c r="V40" s="13">
        <v>188.043645</v>
      </c>
      <c r="W40" s="15">
        <f t="shared" si="47"/>
        <v>-0.72854886153676401</v>
      </c>
      <c r="X40" s="13">
        <v>150</v>
      </c>
      <c r="Y40" s="13">
        <v>22</v>
      </c>
      <c r="Z40" s="14">
        <v>0.146666666666667</v>
      </c>
      <c r="AA40" s="13">
        <v>8</v>
      </c>
      <c r="AB40" s="15">
        <f t="shared" si="48"/>
        <v>0.63636363636363602</v>
      </c>
      <c r="AC40" s="13">
        <v>1500</v>
      </c>
      <c r="AD40" s="13">
        <v>239.50200000000001</v>
      </c>
      <c r="AE40" s="14">
        <v>0.159668</v>
      </c>
      <c r="AF40" s="13">
        <v>74.390415000000004</v>
      </c>
      <c r="AG40" s="15">
        <f t="shared" si="49"/>
        <v>0.68939543302352402</v>
      </c>
      <c r="AH40" s="7">
        <f>VLOOKUP(C40,'[2]5月汇总'!$C:$I,2,0)</f>
        <v>24</v>
      </c>
      <c r="AI40" s="16">
        <f t="shared" si="58"/>
        <v>113</v>
      </c>
      <c r="AJ40" s="17">
        <f t="shared" si="59"/>
        <v>0.37792642140468202</v>
      </c>
      <c r="AK40" s="18">
        <f>VLOOKUP(C40,[1]两年对比终版!$A:$C,3,0)</f>
        <v>380</v>
      </c>
      <c r="AL40" s="15">
        <f t="shared" si="50"/>
        <v>-2.36283185840708</v>
      </c>
      <c r="AM40" s="7">
        <f>VLOOKUP(C40,'[2]5月汇总'!$C:$I,3,0)</f>
        <v>190</v>
      </c>
      <c r="AN40" s="16">
        <f t="shared" si="60"/>
        <v>886.21100000000001</v>
      </c>
      <c r="AO40" s="17">
        <f t="shared" si="61"/>
        <v>0.238870889487871</v>
      </c>
      <c r="AP40" s="19">
        <f>VLOOKUP(C40,[1]两年对比终版!$A:$F,6,0)</f>
        <v>2999.3153000000002</v>
      </c>
      <c r="AQ40" s="15">
        <f t="shared" si="51"/>
        <v>-2.38442571802877</v>
      </c>
      <c r="AR40" s="7">
        <f>VLOOKUP(C40,'[2]5月汇总'!$C:$I,4,0)</f>
        <v>2</v>
      </c>
      <c r="AS40" s="16">
        <f t="shared" si="62"/>
        <v>15</v>
      </c>
      <c r="AT40" s="17">
        <f t="shared" si="63"/>
        <v>0.1</v>
      </c>
      <c r="AU40" s="7">
        <f>VLOOKUP(C40,[1]两年对比终版!$A:$W,14,0)</f>
        <v>18</v>
      </c>
      <c r="AV40" s="15">
        <f t="shared" si="52"/>
        <v>-0.2</v>
      </c>
      <c r="AW40" s="7">
        <f>VLOOKUP(C40,'[2]5月汇总'!$C:$I,5,0)</f>
        <v>21</v>
      </c>
      <c r="AX40" s="16">
        <f t="shared" si="64"/>
        <v>129.78700000000001</v>
      </c>
      <c r="AY40" s="17">
        <f t="shared" si="65"/>
        <v>8.6524666666666694E-2</v>
      </c>
      <c r="AZ40" s="19">
        <f>VLOOKUP(C40,[1]两年对比终版!$A:$W,17,0)</f>
        <v>244.92996500000001</v>
      </c>
      <c r="BA40" s="15">
        <f t="shared" si="53"/>
        <v>-0.88716870718947105</v>
      </c>
      <c r="BB40" s="7">
        <f>VLOOKUP(C40,'[2]5月汇总'!$C:$I,6,0)</f>
        <v>15</v>
      </c>
      <c r="BC40" s="16">
        <f t="shared" si="66"/>
        <v>37</v>
      </c>
      <c r="BD40" s="17">
        <f t="shared" si="67"/>
        <v>0.24666666666666701</v>
      </c>
      <c r="BE40" s="18">
        <f>VLOOKUP(C40,[1]两年对比终版!$A:$W,20,0)</f>
        <v>22</v>
      </c>
      <c r="BF40" s="15">
        <f t="shared" si="54"/>
        <v>0.40540540540540498</v>
      </c>
      <c r="BG40" s="7">
        <f>VLOOKUP(C40,'[2]5月汇总'!$C:$I,7,0)</f>
        <v>160</v>
      </c>
      <c r="BH40" s="16">
        <f t="shared" si="55"/>
        <v>399.50200000000001</v>
      </c>
      <c r="BI40" s="17">
        <f t="shared" si="56"/>
        <v>0.266334666666667</v>
      </c>
      <c r="BJ40" s="20">
        <f>VLOOKUP(C40,[1]两年对比终版!$A:$W,23,0)</f>
        <v>262.43405999999999</v>
      </c>
      <c r="BK40" s="15">
        <f t="shared" si="57"/>
        <v>0.34309700577218699</v>
      </c>
    </row>
    <row r="41" spans="1:63">
      <c r="A41" s="12">
        <v>34</v>
      </c>
      <c r="B41" s="12" t="s">
        <v>34</v>
      </c>
      <c r="C41" s="12" t="s">
        <v>65</v>
      </c>
      <c r="D41" s="13">
        <v>136</v>
      </c>
      <c r="E41" s="13">
        <v>25</v>
      </c>
      <c r="F41" s="14">
        <v>0.183823529411765</v>
      </c>
      <c r="G41" s="13">
        <v>30</v>
      </c>
      <c r="H41" s="15">
        <f t="shared" si="44"/>
        <v>-0.2</v>
      </c>
      <c r="I41" s="13">
        <v>1820</v>
      </c>
      <c r="J41" s="13">
        <v>479.952</v>
      </c>
      <c r="K41" s="14">
        <v>0.26370989010988999</v>
      </c>
      <c r="L41" s="13">
        <v>304.12705499999998</v>
      </c>
      <c r="M41" s="15">
        <f t="shared" si="45"/>
        <v>0.36633860261026102</v>
      </c>
      <c r="N41" s="13">
        <v>64</v>
      </c>
      <c r="O41" s="13">
        <v>0</v>
      </c>
      <c r="P41" s="14">
        <v>0</v>
      </c>
      <c r="Q41" s="13">
        <v>10</v>
      </c>
      <c r="R41" s="15" t="e">
        <f t="shared" si="46"/>
        <v>#DIV/0!</v>
      </c>
      <c r="S41" s="13">
        <v>732</v>
      </c>
      <c r="T41" s="13">
        <v>0</v>
      </c>
      <c r="U41" s="14">
        <v>0</v>
      </c>
      <c r="V41" s="13">
        <v>117.15049500000001</v>
      </c>
      <c r="W41" s="15" t="e">
        <f t="shared" si="47"/>
        <v>#DIV/0!</v>
      </c>
      <c r="X41" s="13">
        <v>64</v>
      </c>
      <c r="Y41" s="13">
        <v>9</v>
      </c>
      <c r="Z41" s="14">
        <v>0.140625</v>
      </c>
      <c r="AA41" s="13">
        <v>5</v>
      </c>
      <c r="AB41" s="15">
        <f t="shared" si="48"/>
        <v>0.44444444444444398</v>
      </c>
      <c r="AC41" s="13">
        <v>732</v>
      </c>
      <c r="AD41" s="13">
        <v>87.084900000000005</v>
      </c>
      <c r="AE41" s="14">
        <v>0.118968442622951</v>
      </c>
      <c r="AF41" s="13">
        <v>62.953740000000003</v>
      </c>
      <c r="AG41" s="15">
        <f t="shared" si="49"/>
        <v>0.27709924453033802</v>
      </c>
      <c r="AH41" s="7">
        <f>VLOOKUP(C41,'[2]5月汇总'!$C:$I,2,0)</f>
        <v>20</v>
      </c>
      <c r="AI41" s="16">
        <f t="shared" si="58"/>
        <v>45</v>
      </c>
      <c r="AJ41" s="17">
        <f t="shared" si="59"/>
        <v>0.33088235294117602</v>
      </c>
      <c r="AK41" s="18">
        <f>VLOOKUP(C41,[1]两年对比终版!$A:$C,3,0)</f>
        <v>77</v>
      </c>
      <c r="AL41" s="15">
        <f t="shared" si="50"/>
        <v>-0.71111111111111103</v>
      </c>
      <c r="AM41" s="7">
        <f>VLOOKUP(C41,'[2]5月汇总'!$C:$I,3,0)</f>
        <v>200</v>
      </c>
      <c r="AN41" s="16">
        <f t="shared" si="60"/>
        <v>679.952</v>
      </c>
      <c r="AO41" s="17">
        <f t="shared" si="61"/>
        <v>0.37359999999999999</v>
      </c>
      <c r="AP41" s="19">
        <f>VLOOKUP(C41,[1]两年对比终版!$A:$F,6,0)</f>
        <v>1017.1580300000001</v>
      </c>
      <c r="AQ41" s="15">
        <f t="shared" si="51"/>
        <v>-0.49592622714544599</v>
      </c>
      <c r="AR41" s="7">
        <f>VLOOKUP(C41,'[2]5月汇总'!$C:$I,4,0)</f>
        <v>4</v>
      </c>
      <c r="AS41" s="16">
        <f t="shared" si="62"/>
        <v>4</v>
      </c>
      <c r="AT41" s="17">
        <f t="shared" si="63"/>
        <v>6.25E-2</v>
      </c>
      <c r="AU41" s="7">
        <f>VLOOKUP(C41,[1]两年对比终版!$A:$W,14,0)</f>
        <v>11</v>
      </c>
      <c r="AV41" s="15">
        <f t="shared" si="52"/>
        <v>-1.75</v>
      </c>
      <c r="AW41" s="7">
        <f>VLOOKUP(C41,'[2]5月汇总'!$C:$I,5,0)</f>
        <v>45</v>
      </c>
      <c r="AX41" s="16">
        <f t="shared" si="64"/>
        <v>45</v>
      </c>
      <c r="AY41" s="17">
        <f t="shared" si="65"/>
        <v>6.14754098360656E-2</v>
      </c>
      <c r="AZ41" s="19">
        <f>VLOOKUP(C41,[1]两年对比终版!$A:$W,17,0)</f>
        <v>126.799567</v>
      </c>
      <c r="BA41" s="15">
        <f t="shared" si="53"/>
        <v>-1.81776815555556</v>
      </c>
      <c r="BB41" s="7">
        <f>VLOOKUP(C41,'[2]5月汇总'!$C:$I,6,0)</f>
        <v>1</v>
      </c>
      <c r="BC41" s="16">
        <f t="shared" si="66"/>
        <v>10</v>
      </c>
      <c r="BD41" s="17">
        <f t="shared" si="67"/>
        <v>0.15625</v>
      </c>
      <c r="BE41" s="18">
        <f>VLOOKUP(C41,[1]两年对比终版!$A:$W,20,0)</f>
        <v>12</v>
      </c>
      <c r="BF41" s="15">
        <f t="shared" si="54"/>
        <v>-0.2</v>
      </c>
      <c r="BG41" s="7">
        <f>VLOOKUP(C41,'[2]5月汇总'!$C:$I,7,0)</f>
        <v>4</v>
      </c>
      <c r="BH41" s="16">
        <f t="shared" si="55"/>
        <v>91.084900000000005</v>
      </c>
      <c r="BI41" s="17">
        <f t="shared" si="56"/>
        <v>0.12443292349726801</v>
      </c>
      <c r="BJ41" s="20">
        <f>VLOOKUP(C41,[1]两年对比终版!$A:$W,23,0)</f>
        <v>134.82774499999999</v>
      </c>
      <c r="BK41" s="15">
        <f t="shared" si="57"/>
        <v>-0.48024255392496501</v>
      </c>
    </row>
    <row r="42" spans="1:63">
      <c r="A42" s="12">
        <v>35</v>
      </c>
      <c r="B42" s="12" t="s">
        <v>25</v>
      </c>
      <c r="C42" s="12" t="s">
        <v>66</v>
      </c>
      <c r="D42" s="13">
        <v>416</v>
      </c>
      <c r="E42" s="13">
        <v>88</v>
      </c>
      <c r="F42" s="14">
        <v>0.21153846153846201</v>
      </c>
      <c r="G42" s="13">
        <v>103</v>
      </c>
      <c r="H42" s="15">
        <f t="shared" si="44"/>
        <v>-0.170454545454545</v>
      </c>
      <c r="I42" s="13">
        <v>3710</v>
      </c>
      <c r="J42" s="13">
        <v>778.69600000000003</v>
      </c>
      <c r="K42" s="14">
        <v>0.209891105121294</v>
      </c>
      <c r="L42" s="13">
        <v>727.193523999999</v>
      </c>
      <c r="M42" s="15">
        <f t="shared" si="45"/>
        <v>6.6139386872413594E-2</v>
      </c>
      <c r="N42" s="13">
        <v>150</v>
      </c>
      <c r="O42" s="13">
        <v>34</v>
      </c>
      <c r="P42" s="14">
        <v>0.22666666666666699</v>
      </c>
      <c r="Q42" s="13">
        <v>46</v>
      </c>
      <c r="R42" s="15">
        <f t="shared" si="46"/>
        <v>-0.35294117647058798</v>
      </c>
      <c r="S42" s="13">
        <v>1500</v>
      </c>
      <c r="T42" s="13">
        <v>246.24600000000001</v>
      </c>
      <c r="U42" s="14">
        <v>0.164164</v>
      </c>
      <c r="V42" s="13">
        <v>332.66630500000002</v>
      </c>
      <c r="W42" s="15">
        <f t="shared" si="47"/>
        <v>-0.35095110174378502</v>
      </c>
      <c r="X42" s="13">
        <v>150</v>
      </c>
      <c r="Y42" s="13">
        <v>32</v>
      </c>
      <c r="Z42" s="14">
        <v>0.21333333333333299</v>
      </c>
      <c r="AA42" s="13">
        <v>32</v>
      </c>
      <c r="AB42" s="15">
        <f t="shared" si="48"/>
        <v>0</v>
      </c>
      <c r="AC42" s="13">
        <v>1500</v>
      </c>
      <c r="AD42" s="13">
        <v>217.11699999999999</v>
      </c>
      <c r="AE42" s="14">
        <v>0.14474466666666699</v>
      </c>
      <c r="AF42" s="13">
        <v>238.98826600000001</v>
      </c>
      <c r="AG42" s="15">
        <f t="shared" si="49"/>
        <v>-0.100734930935855</v>
      </c>
      <c r="AH42" s="7">
        <f>VLOOKUP(C42,'[2]5月汇总'!$C:$I,2,0)</f>
        <v>9</v>
      </c>
      <c r="AI42" s="16">
        <f t="shared" si="58"/>
        <v>97</v>
      </c>
      <c r="AJ42" s="17">
        <f t="shared" si="59"/>
        <v>0.23317307692307701</v>
      </c>
      <c r="AK42" s="18">
        <f>VLOOKUP(C42,[1]两年对比终版!$A:$C,3,0)</f>
        <v>404</v>
      </c>
      <c r="AL42" s="15">
        <f t="shared" si="50"/>
        <v>-3.1649484536082499</v>
      </c>
      <c r="AM42" s="7">
        <f>VLOOKUP(C42,'[2]5月汇总'!$C:$I,3,0)</f>
        <v>110</v>
      </c>
      <c r="AN42" s="16">
        <f t="shared" si="60"/>
        <v>888.69600000000003</v>
      </c>
      <c r="AO42" s="17">
        <f t="shared" si="61"/>
        <v>0.239540700808625</v>
      </c>
      <c r="AP42" s="19">
        <f>VLOOKUP(C42,[1]两年对比终版!$A:$F,6,0)</f>
        <v>3426.458329</v>
      </c>
      <c r="AQ42" s="15">
        <f t="shared" si="51"/>
        <v>-2.8556022858210199</v>
      </c>
      <c r="AR42" s="7">
        <f>VLOOKUP(C42,'[2]5月汇总'!$C:$I,4,0)</f>
        <v>34</v>
      </c>
      <c r="AS42" s="16">
        <f t="shared" si="62"/>
        <v>68</v>
      </c>
      <c r="AT42" s="17">
        <f t="shared" si="63"/>
        <v>0.45333333333333298</v>
      </c>
      <c r="AU42" s="7">
        <f>VLOOKUP(C42,[1]两年对比终版!$A:$W,14,0)</f>
        <v>63</v>
      </c>
      <c r="AV42" s="15">
        <f t="shared" si="52"/>
        <v>7.3529411764705899E-2</v>
      </c>
      <c r="AW42" s="7">
        <f>VLOOKUP(C42,'[2]5月汇总'!$C:$I,5,0)</f>
        <v>300</v>
      </c>
      <c r="AX42" s="16">
        <f t="shared" si="64"/>
        <v>546.24599999999998</v>
      </c>
      <c r="AY42" s="17">
        <f t="shared" si="65"/>
        <v>0.36416399999999999</v>
      </c>
      <c r="AZ42" s="19">
        <f>VLOOKUP(C42,[1]两年对比终版!$A:$W,17,0)</f>
        <v>500.02766100000002</v>
      </c>
      <c r="BA42" s="15">
        <f t="shared" si="53"/>
        <v>8.4610851154974201E-2</v>
      </c>
      <c r="BB42" s="7">
        <f>VLOOKUP(C42,'[2]5月汇总'!$C:$I,6,0)</f>
        <v>6</v>
      </c>
      <c r="BC42" s="16">
        <f t="shared" si="66"/>
        <v>38</v>
      </c>
      <c r="BD42" s="17">
        <f t="shared" si="67"/>
        <v>0.25333333333333302</v>
      </c>
      <c r="BE42" s="18">
        <f>VLOOKUP(C42,[1]两年对比终版!$A:$W,20,0)</f>
        <v>52</v>
      </c>
      <c r="BF42" s="15">
        <f t="shared" si="54"/>
        <v>-0.36842105263157898</v>
      </c>
      <c r="BG42" s="7">
        <f>VLOOKUP(C42,'[2]5月汇总'!$C:$I,7,0)</f>
        <v>80</v>
      </c>
      <c r="BH42" s="16">
        <f t="shared" si="55"/>
        <v>297.11700000000002</v>
      </c>
      <c r="BI42" s="17">
        <f t="shared" si="56"/>
        <v>0.198078</v>
      </c>
      <c r="BJ42" s="20">
        <f>VLOOKUP(C42,[1]两年对比终版!$A:$W,23,0)</f>
        <v>388.01157699999999</v>
      </c>
      <c r="BK42" s="15">
        <f t="shared" si="57"/>
        <v>-0.30592183214020002</v>
      </c>
    </row>
    <row r="43" spans="1:63">
      <c r="A43" s="12">
        <v>36</v>
      </c>
      <c r="B43" s="12" t="s">
        <v>34</v>
      </c>
      <c r="C43" s="12" t="s">
        <v>67</v>
      </c>
      <c r="D43" s="13">
        <v>50</v>
      </c>
      <c r="E43" s="13">
        <v>12</v>
      </c>
      <c r="F43" s="14">
        <v>0.24</v>
      </c>
      <c r="G43" s="13">
        <v>0</v>
      </c>
      <c r="H43" s="15">
        <f t="shared" si="44"/>
        <v>1</v>
      </c>
      <c r="I43" s="13">
        <v>700</v>
      </c>
      <c r="J43" s="13">
        <v>155.36600000000001</v>
      </c>
      <c r="K43" s="14">
        <v>0.22195142857142899</v>
      </c>
      <c r="L43" s="13">
        <v>0</v>
      </c>
      <c r="M43" s="15">
        <f t="shared" si="45"/>
        <v>1</v>
      </c>
      <c r="N43" s="13">
        <v>42</v>
      </c>
      <c r="O43" s="13">
        <v>0</v>
      </c>
      <c r="P43" s="14">
        <v>0</v>
      </c>
      <c r="Q43" s="13">
        <v>0</v>
      </c>
      <c r="R43" s="15" t="e">
        <f t="shared" si="46"/>
        <v>#DIV/0!</v>
      </c>
      <c r="S43" s="13">
        <v>500</v>
      </c>
      <c r="T43" s="13">
        <v>0</v>
      </c>
      <c r="U43" s="14">
        <v>0</v>
      </c>
      <c r="V43" s="13">
        <v>0</v>
      </c>
      <c r="W43" s="15" t="e">
        <f t="shared" si="47"/>
        <v>#DIV/0!</v>
      </c>
      <c r="X43" s="13">
        <v>42</v>
      </c>
      <c r="Y43" s="13">
        <v>0</v>
      </c>
      <c r="Z43" s="14">
        <v>0</v>
      </c>
      <c r="AA43" s="13">
        <v>0</v>
      </c>
      <c r="AB43" s="15" t="e">
        <f t="shared" si="48"/>
        <v>#DIV/0!</v>
      </c>
      <c r="AC43" s="13">
        <v>500</v>
      </c>
      <c r="AD43" s="13">
        <v>0</v>
      </c>
      <c r="AE43" s="14">
        <v>0</v>
      </c>
      <c r="AF43" s="13">
        <v>0</v>
      </c>
      <c r="AG43" s="15" t="e">
        <f t="shared" si="49"/>
        <v>#DIV/0!</v>
      </c>
      <c r="AH43" s="7">
        <f>VLOOKUP(C43,'[2]5月汇总'!$C:$I,2,0)</f>
        <v>6</v>
      </c>
      <c r="AI43" s="16">
        <f t="shared" si="58"/>
        <v>18</v>
      </c>
      <c r="AJ43" s="17">
        <f t="shared" si="59"/>
        <v>0.36</v>
      </c>
      <c r="AK43" s="18">
        <f>VLOOKUP(C43,[1]两年对比终版!$A:$C,3,0)</f>
        <v>0</v>
      </c>
      <c r="AL43" s="15">
        <f t="shared" si="50"/>
        <v>1</v>
      </c>
      <c r="AM43" s="7">
        <f>VLOOKUP(C43,'[2]5月汇总'!$C:$I,3,0)</f>
        <v>36.72</v>
      </c>
      <c r="AN43" s="16">
        <f t="shared" si="60"/>
        <v>192.08600000000001</v>
      </c>
      <c r="AO43" s="17">
        <f t="shared" si="61"/>
        <v>0.274408571428571</v>
      </c>
      <c r="AP43" s="19">
        <f>VLOOKUP(C43,[1]两年对比终版!$A:$F,6,0)</f>
        <v>0</v>
      </c>
      <c r="AQ43" s="15">
        <f t="shared" si="51"/>
        <v>1</v>
      </c>
      <c r="AR43" s="7">
        <f>VLOOKUP(C43,'[2]5月汇总'!$C:$I,4,0)</f>
        <v>2</v>
      </c>
      <c r="AS43" s="16">
        <f t="shared" si="62"/>
        <v>2</v>
      </c>
      <c r="AT43" s="17">
        <f t="shared" si="63"/>
        <v>4.7619047619047603E-2</v>
      </c>
      <c r="AU43" s="7">
        <f>VLOOKUP(C43,[1]两年对比终版!$A:$W,14,0)</f>
        <v>0</v>
      </c>
      <c r="AV43" s="15">
        <f t="shared" si="52"/>
        <v>1</v>
      </c>
      <c r="AW43" s="7">
        <f>VLOOKUP(C43,'[2]5月汇总'!$C:$I,5,0)</f>
        <v>12.24</v>
      </c>
      <c r="AX43" s="16">
        <f t="shared" si="64"/>
        <v>12.24</v>
      </c>
      <c r="AY43" s="17">
        <f t="shared" si="65"/>
        <v>2.4479999999999998E-2</v>
      </c>
      <c r="AZ43" s="19">
        <f>VLOOKUP(C43,[1]两年对比终版!$A:$W,17,0)</f>
        <v>0</v>
      </c>
      <c r="BA43" s="15">
        <f t="shared" si="53"/>
        <v>1</v>
      </c>
      <c r="BB43" s="7">
        <f>VLOOKUP(C43,'[2]5月汇总'!$C:$I,6,0)</f>
        <v>0</v>
      </c>
      <c r="BC43" s="16">
        <f t="shared" si="66"/>
        <v>0</v>
      </c>
      <c r="BD43" s="17">
        <f t="shared" si="67"/>
        <v>0</v>
      </c>
      <c r="BE43" s="18">
        <f>VLOOKUP(C43,[1]两年对比终版!$A:$W,20,0)</f>
        <v>0</v>
      </c>
      <c r="BF43" s="15" t="e">
        <f t="shared" si="54"/>
        <v>#DIV/0!</v>
      </c>
      <c r="BG43" s="7">
        <f>VLOOKUP(C43,'[2]5月汇总'!$C:$I,7,0)</f>
        <v>0</v>
      </c>
      <c r="BH43" s="16">
        <f t="shared" si="55"/>
        <v>0</v>
      </c>
      <c r="BI43" s="17">
        <f t="shared" si="56"/>
        <v>0</v>
      </c>
      <c r="BJ43" s="20">
        <f>VLOOKUP(C43,[1]两年对比终版!$A:$W,23,0)</f>
        <v>0</v>
      </c>
      <c r="BK43" s="15" t="e">
        <f t="shared" si="57"/>
        <v>#DIV/0!</v>
      </c>
    </row>
    <row r="44" spans="1:63">
      <c r="A44" s="12">
        <v>37</v>
      </c>
      <c r="B44" s="12" t="s">
        <v>39</v>
      </c>
      <c r="C44" s="12" t="s">
        <v>68</v>
      </c>
      <c r="D44" s="13">
        <v>81</v>
      </c>
      <c r="E44" s="13">
        <v>24</v>
      </c>
      <c r="F44" s="14">
        <v>0.296296296296296</v>
      </c>
      <c r="G44" s="13">
        <v>19</v>
      </c>
      <c r="H44" s="15">
        <f t="shared" si="44"/>
        <v>0.20833333333333301</v>
      </c>
      <c r="I44" s="13">
        <v>700</v>
      </c>
      <c r="J44" s="13">
        <v>292.14400000000001</v>
      </c>
      <c r="K44" s="14">
        <v>0.41734857142857201</v>
      </c>
      <c r="L44" s="13">
        <v>141.60718600000001</v>
      </c>
      <c r="M44" s="15">
        <f t="shared" si="45"/>
        <v>0.51528292212059801</v>
      </c>
      <c r="N44" s="13">
        <v>42</v>
      </c>
      <c r="O44" s="13">
        <v>8</v>
      </c>
      <c r="P44" s="14">
        <v>0.19047619047618999</v>
      </c>
      <c r="Q44" s="13">
        <v>5</v>
      </c>
      <c r="R44" s="15">
        <f t="shared" si="46"/>
        <v>0.375</v>
      </c>
      <c r="S44" s="13">
        <v>300</v>
      </c>
      <c r="T44" s="13">
        <v>65.929400000000001</v>
      </c>
      <c r="U44" s="14">
        <v>0.219764666666667</v>
      </c>
      <c r="V44" s="13">
        <v>36.667755</v>
      </c>
      <c r="W44" s="15">
        <f t="shared" si="47"/>
        <v>0.44383302441702799</v>
      </c>
      <c r="X44" s="13">
        <v>42</v>
      </c>
      <c r="Y44" s="13">
        <v>4</v>
      </c>
      <c r="Z44" s="14">
        <v>9.5238095238095205E-2</v>
      </c>
      <c r="AA44" s="13">
        <v>0</v>
      </c>
      <c r="AB44" s="15">
        <f t="shared" si="48"/>
        <v>1</v>
      </c>
      <c r="AC44" s="13">
        <v>300</v>
      </c>
      <c r="AD44" s="13">
        <v>29.107900000000001</v>
      </c>
      <c r="AE44" s="14">
        <v>9.7026333333333298E-2</v>
      </c>
      <c r="AF44" s="13">
        <v>0</v>
      </c>
      <c r="AG44" s="15">
        <f t="shared" si="49"/>
        <v>1</v>
      </c>
      <c r="AH44" s="7">
        <f>VLOOKUP(C44,'[2]5月汇总'!$C:$I,2,0)</f>
        <v>4</v>
      </c>
      <c r="AI44" s="16">
        <f t="shared" si="58"/>
        <v>28</v>
      </c>
      <c r="AJ44" s="17">
        <f t="shared" si="59"/>
        <v>0.34567901234567899</v>
      </c>
      <c r="AK44" s="18">
        <f>VLOOKUP(C44,[1]两年对比终版!$A:$C,3,0)</f>
        <v>53</v>
      </c>
      <c r="AL44" s="15">
        <f t="shared" si="50"/>
        <v>-0.89285714285714302</v>
      </c>
      <c r="AM44" s="7">
        <f>VLOOKUP(C44,'[2]5月汇总'!$C:$I,3,0)</f>
        <v>30</v>
      </c>
      <c r="AN44" s="16">
        <f t="shared" si="60"/>
        <v>322.14400000000001</v>
      </c>
      <c r="AO44" s="17">
        <f t="shared" si="61"/>
        <v>0.460205714285714</v>
      </c>
      <c r="AP44" s="19">
        <f>VLOOKUP(C44,[1]两年对比终版!$A:$F,6,0)</f>
        <v>592.63861599999996</v>
      </c>
      <c r="AQ44" s="15">
        <f t="shared" si="51"/>
        <v>-0.83966988675871601</v>
      </c>
      <c r="AR44" s="7">
        <f>VLOOKUP(C44,'[2]5月汇总'!$C:$I,4,0)</f>
        <v>4</v>
      </c>
      <c r="AS44" s="16">
        <f t="shared" si="62"/>
        <v>12</v>
      </c>
      <c r="AT44" s="17">
        <f t="shared" si="63"/>
        <v>0.28571428571428598</v>
      </c>
      <c r="AU44" s="7">
        <f>VLOOKUP(C44,[1]两年对比终版!$A:$W,14,0)</f>
        <v>8</v>
      </c>
      <c r="AV44" s="15">
        <f t="shared" si="52"/>
        <v>0.33333333333333298</v>
      </c>
      <c r="AW44" s="7">
        <f>VLOOKUP(C44,'[2]5月汇总'!$C:$I,5,0)</f>
        <v>30</v>
      </c>
      <c r="AX44" s="16">
        <f t="shared" si="64"/>
        <v>95.929400000000001</v>
      </c>
      <c r="AY44" s="17">
        <f t="shared" si="65"/>
        <v>0.31976466666666697</v>
      </c>
      <c r="AZ44" s="19">
        <f>VLOOKUP(C44,[1]两年对比终版!$A:$W,17,0)</f>
        <v>61.438507000000001</v>
      </c>
      <c r="BA44" s="15">
        <f t="shared" si="53"/>
        <v>0.35954455047149197</v>
      </c>
      <c r="BB44" s="7">
        <f>VLOOKUP(C44,'[2]5月汇总'!$C:$I,6,0)</f>
        <v>7</v>
      </c>
      <c r="BC44" s="16">
        <f t="shared" si="66"/>
        <v>11</v>
      </c>
      <c r="BD44" s="17">
        <f t="shared" si="67"/>
        <v>0.26190476190476197</v>
      </c>
      <c r="BE44" s="18">
        <f>VLOOKUP(C44,[1]两年对比终版!$A:$W,20,0)</f>
        <v>8</v>
      </c>
      <c r="BF44" s="15">
        <f t="shared" si="54"/>
        <v>0.27272727272727298</v>
      </c>
      <c r="BG44" s="7">
        <f>VLOOKUP(C44,'[2]5月汇总'!$C:$I,7,0)</f>
        <v>51.3</v>
      </c>
      <c r="BH44" s="16">
        <f t="shared" si="55"/>
        <v>80.407899999999998</v>
      </c>
      <c r="BI44" s="17">
        <f t="shared" si="56"/>
        <v>0.26802633333333298</v>
      </c>
      <c r="BJ44" s="20">
        <f>VLOOKUP(C44,[1]两年对比终版!$A:$W,23,0)</f>
        <v>61.438507000000001</v>
      </c>
      <c r="BK44" s="15">
        <f t="shared" si="57"/>
        <v>0.235914543222743</v>
      </c>
    </row>
    <row r="45" spans="1:63">
      <c r="A45" s="12">
        <v>38</v>
      </c>
      <c r="B45" s="12" t="s">
        <v>34</v>
      </c>
      <c r="C45" s="12" t="s">
        <v>69</v>
      </c>
      <c r="D45" s="13">
        <v>181</v>
      </c>
      <c r="E45" s="13">
        <v>18</v>
      </c>
      <c r="F45" s="14">
        <v>9.9447513812154706E-2</v>
      </c>
      <c r="G45" s="13">
        <v>0</v>
      </c>
      <c r="H45" s="15">
        <f t="shared" si="44"/>
        <v>1</v>
      </c>
      <c r="I45" s="13">
        <v>1680</v>
      </c>
      <c r="J45" s="13">
        <v>333.39699999999999</v>
      </c>
      <c r="K45" s="14">
        <v>0.198450595238095</v>
      </c>
      <c r="L45" s="13">
        <v>0</v>
      </c>
      <c r="M45" s="15">
        <f t="shared" si="45"/>
        <v>1</v>
      </c>
      <c r="N45" s="13">
        <v>80</v>
      </c>
      <c r="O45" s="13">
        <v>3</v>
      </c>
      <c r="P45" s="14">
        <v>3.7499999999999999E-2</v>
      </c>
      <c r="Q45" s="13">
        <v>0</v>
      </c>
      <c r="R45" s="15">
        <f t="shared" si="46"/>
        <v>1</v>
      </c>
      <c r="S45" s="13">
        <v>700</v>
      </c>
      <c r="T45" s="13">
        <v>24.950800000000001</v>
      </c>
      <c r="U45" s="14">
        <v>3.5644000000000002E-2</v>
      </c>
      <c r="V45" s="13">
        <v>0</v>
      </c>
      <c r="W45" s="15">
        <f t="shared" si="47"/>
        <v>1</v>
      </c>
      <c r="X45" s="13">
        <v>80</v>
      </c>
      <c r="Y45" s="13">
        <v>0</v>
      </c>
      <c r="Z45" s="14">
        <v>0</v>
      </c>
      <c r="AA45" s="13">
        <v>0</v>
      </c>
      <c r="AB45" s="15" t="e">
        <f t="shared" si="48"/>
        <v>#DIV/0!</v>
      </c>
      <c r="AC45" s="13">
        <v>700</v>
      </c>
      <c r="AD45" s="13">
        <v>0</v>
      </c>
      <c r="AE45" s="14">
        <v>0</v>
      </c>
      <c r="AF45" s="13">
        <v>0</v>
      </c>
      <c r="AG45" s="15" t="e">
        <f t="shared" si="49"/>
        <v>#DIV/0!</v>
      </c>
      <c r="AH45" s="7">
        <f>VLOOKUP(C45,'[2]5月汇总'!$C:$I,2,0)</f>
        <v>2</v>
      </c>
      <c r="AI45" s="16">
        <f t="shared" si="58"/>
        <v>20</v>
      </c>
      <c r="AJ45" s="17">
        <f t="shared" si="59"/>
        <v>0.110497237569061</v>
      </c>
      <c r="AK45" s="18">
        <f>VLOOKUP(C45,[1]两年对比终版!$A:$C,3,0)</f>
        <v>0</v>
      </c>
      <c r="AL45" s="15">
        <f t="shared" si="50"/>
        <v>1</v>
      </c>
      <c r="AM45" s="7">
        <f>VLOOKUP(C45,'[2]5月汇总'!$C:$I,3,0)</f>
        <v>15</v>
      </c>
      <c r="AN45" s="16">
        <f t="shared" si="60"/>
        <v>348.39699999999999</v>
      </c>
      <c r="AO45" s="17">
        <f t="shared" si="61"/>
        <v>0.207379166666667</v>
      </c>
      <c r="AP45" s="19">
        <f>VLOOKUP(C45,[1]两年对比终版!$A:$F,6,0)</f>
        <v>0</v>
      </c>
      <c r="AQ45" s="15">
        <f t="shared" si="51"/>
        <v>1</v>
      </c>
      <c r="AR45" s="7">
        <f>VLOOKUP(C45,'[2]5月汇总'!$C:$I,4,0)</f>
        <v>2</v>
      </c>
      <c r="AS45" s="16">
        <f t="shared" si="62"/>
        <v>5</v>
      </c>
      <c r="AT45" s="17">
        <f t="shared" si="63"/>
        <v>6.25E-2</v>
      </c>
      <c r="AU45" s="7">
        <f>VLOOKUP(C45,[1]两年对比终版!$A:$W,14,0)</f>
        <v>0</v>
      </c>
      <c r="AV45" s="15">
        <f t="shared" si="52"/>
        <v>1</v>
      </c>
      <c r="AW45" s="7">
        <f>VLOOKUP(C45,'[2]5月汇总'!$C:$I,5,0)</f>
        <v>15</v>
      </c>
      <c r="AX45" s="16">
        <f t="shared" si="64"/>
        <v>39.950800000000001</v>
      </c>
      <c r="AY45" s="17">
        <f t="shared" si="65"/>
        <v>5.7072571428571403E-2</v>
      </c>
      <c r="AZ45" s="19">
        <f>VLOOKUP(C45,[1]两年对比终版!$A:$W,17,0)</f>
        <v>0</v>
      </c>
      <c r="BA45" s="15">
        <f t="shared" si="53"/>
        <v>1</v>
      </c>
      <c r="BB45" s="7">
        <f>VLOOKUP(C45,'[2]5月汇总'!$C:$I,6,0)</f>
        <v>3</v>
      </c>
      <c r="BC45" s="16">
        <f t="shared" si="66"/>
        <v>3</v>
      </c>
      <c r="BD45" s="17">
        <f t="shared" si="67"/>
        <v>3.7499999999999999E-2</v>
      </c>
      <c r="BE45" s="18">
        <f>VLOOKUP(C45,[1]两年对比终版!$A:$W,20,0)</f>
        <v>0</v>
      </c>
      <c r="BF45" s="15">
        <f t="shared" si="54"/>
        <v>1</v>
      </c>
      <c r="BG45" s="7">
        <f>VLOOKUP(C45,'[2]5月汇总'!$C:$I,7,0)</f>
        <v>25</v>
      </c>
      <c r="BH45" s="16">
        <f t="shared" si="55"/>
        <v>25</v>
      </c>
      <c r="BI45" s="17">
        <f t="shared" si="56"/>
        <v>3.5714285714285698E-2</v>
      </c>
      <c r="BJ45" s="20">
        <f>VLOOKUP(C45,[1]两年对比终版!$A:$W,23,0)</f>
        <v>0</v>
      </c>
      <c r="BK45" s="15">
        <f t="shared" si="57"/>
        <v>1</v>
      </c>
    </row>
    <row r="46" spans="1:63">
      <c r="A46" s="12">
        <v>39</v>
      </c>
      <c r="B46" s="12" t="s">
        <v>34</v>
      </c>
      <c r="C46" s="12" t="s">
        <v>70</v>
      </c>
      <c r="D46" s="13">
        <v>59</v>
      </c>
      <c r="E46" s="13">
        <v>0</v>
      </c>
      <c r="F46" s="14">
        <v>0</v>
      </c>
      <c r="G46" s="13">
        <v>0</v>
      </c>
      <c r="H46" s="15" t="e">
        <f t="shared" si="44"/>
        <v>#DIV/0!</v>
      </c>
      <c r="I46" s="13">
        <v>910</v>
      </c>
      <c r="J46" s="13">
        <v>0</v>
      </c>
      <c r="K46" s="14">
        <v>0</v>
      </c>
      <c r="L46" s="13">
        <v>0</v>
      </c>
      <c r="M46" s="15" t="e">
        <f t="shared" si="45"/>
        <v>#DIV/0!</v>
      </c>
      <c r="N46" s="13">
        <v>44</v>
      </c>
      <c r="O46" s="13">
        <v>0</v>
      </c>
      <c r="P46" s="14">
        <v>0</v>
      </c>
      <c r="Q46" s="13">
        <v>0</v>
      </c>
      <c r="R46" s="15" t="e">
        <f t="shared" si="46"/>
        <v>#DIV/0!</v>
      </c>
      <c r="S46" s="13">
        <v>600</v>
      </c>
      <c r="T46" s="13">
        <v>0</v>
      </c>
      <c r="U46" s="14">
        <v>0</v>
      </c>
      <c r="V46" s="13">
        <v>0</v>
      </c>
      <c r="W46" s="15" t="e">
        <f t="shared" si="47"/>
        <v>#DIV/0!</v>
      </c>
      <c r="X46" s="13">
        <v>44</v>
      </c>
      <c r="Y46" s="13">
        <v>0</v>
      </c>
      <c r="Z46" s="14">
        <v>0</v>
      </c>
      <c r="AA46" s="13">
        <v>0</v>
      </c>
      <c r="AB46" s="15" t="e">
        <f t="shared" si="48"/>
        <v>#DIV/0!</v>
      </c>
      <c r="AC46" s="13">
        <v>600</v>
      </c>
      <c r="AD46" s="13">
        <v>0</v>
      </c>
      <c r="AE46" s="14">
        <v>0</v>
      </c>
      <c r="AF46" s="13">
        <v>0</v>
      </c>
      <c r="AG46" s="15" t="e">
        <f t="shared" si="49"/>
        <v>#DIV/0!</v>
      </c>
      <c r="AH46" s="7">
        <f>VLOOKUP(C46,'[2]5月汇总'!$C:$I,2,0)</f>
        <v>30</v>
      </c>
      <c r="AI46" s="16">
        <f t="shared" si="58"/>
        <v>30</v>
      </c>
      <c r="AJ46" s="17">
        <f t="shared" si="59"/>
        <v>0.50847457627118597</v>
      </c>
      <c r="AK46" s="18">
        <f>VLOOKUP(C46,[1]两年对比终版!$A:$C,3,0)</f>
        <v>0</v>
      </c>
      <c r="AL46" s="15">
        <f t="shared" si="50"/>
        <v>1</v>
      </c>
      <c r="AM46" s="7">
        <f>VLOOKUP(C46,'[2]5月汇总'!$C:$I,3,0)</f>
        <v>205</v>
      </c>
      <c r="AN46" s="16">
        <f t="shared" si="60"/>
        <v>205</v>
      </c>
      <c r="AO46" s="17">
        <f t="shared" si="61"/>
        <v>0.225274725274725</v>
      </c>
      <c r="AP46" s="19">
        <f>VLOOKUP(C46,[1]两年对比终版!$A:$F,6,0)</f>
        <v>0</v>
      </c>
      <c r="AQ46" s="15">
        <f t="shared" si="51"/>
        <v>1</v>
      </c>
      <c r="AR46" s="7">
        <f>VLOOKUP(C46,'[2]5月汇总'!$C:$I,4,0)</f>
        <v>9</v>
      </c>
      <c r="AS46" s="16">
        <f t="shared" si="62"/>
        <v>9</v>
      </c>
      <c r="AT46" s="17">
        <f t="shared" si="63"/>
        <v>0.204545454545455</v>
      </c>
      <c r="AU46" s="7">
        <f>VLOOKUP(C46,[1]两年对比终版!$A:$W,14,0)</f>
        <v>0</v>
      </c>
      <c r="AV46" s="15">
        <f t="shared" si="52"/>
        <v>1</v>
      </c>
      <c r="AW46" s="7">
        <f>VLOOKUP(C46,'[2]5月汇总'!$C:$I,5,0)</f>
        <v>135</v>
      </c>
      <c r="AX46" s="16">
        <f t="shared" si="64"/>
        <v>135</v>
      </c>
      <c r="AY46" s="17">
        <f t="shared" si="65"/>
        <v>0.22500000000000001</v>
      </c>
      <c r="AZ46" s="19">
        <f>VLOOKUP(C46,[1]两年对比终版!$A:$W,17,0)</f>
        <v>0</v>
      </c>
      <c r="BA46" s="15">
        <f t="shared" si="53"/>
        <v>1</v>
      </c>
      <c r="BB46" s="7">
        <f>VLOOKUP(C46,'[2]5月汇总'!$C:$I,6,0)</f>
        <v>9</v>
      </c>
      <c r="BC46" s="16">
        <f t="shared" si="66"/>
        <v>9</v>
      </c>
      <c r="BD46" s="17">
        <f t="shared" si="67"/>
        <v>0.204545454545455</v>
      </c>
      <c r="BE46" s="18">
        <f>VLOOKUP(C46,[1]两年对比终版!$A:$W,20,0)</f>
        <v>0</v>
      </c>
      <c r="BF46" s="15">
        <f t="shared" si="54"/>
        <v>1</v>
      </c>
      <c r="BG46" s="7">
        <f>VLOOKUP(C46,'[2]5月汇总'!$C:$I,7,0)</f>
        <v>135</v>
      </c>
      <c r="BH46" s="16">
        <f t="shared" si="55"/>
        <v>135</v>
      </c>
      <c r="BI46" s="17">
        <f t="shared" si="56"/>
        <v>0.22500000000000001</v>
      </c>
      <c r="BJ46" s="20">
        <f>VLOOKUP(C46,[1]两年对比终版!$A:$W,23,0)</f>
        <v>0</v>
      </c>
      <c r="BK46" s="15">
        <f t="shared" si="57"/>
        <v>1</v>
      </c>
    </row>
    <row r="47" spans="1:63">
      <c r="A47" s="12">
        <v>40</v>
      </c>
      <c r="B47" s="12" t="s">
        <v>39</v>
      </c>
      <c r="C47" s="12" t="s">
        <v>71</v>
      </c>
      <c r="D47" s="13">
        <v>45</v>
      </c>
      <c r="E47" s="13">
        <v>29</v>
      </c>
      <c r="F47" s="14">
        <v>0.64444444444444404</v>
      </c>
      <c r="G47" s="13">
        <v>34</v>
      </c>
      <c r="H47" s="15">
        <f t="shared" si="44"/>
        <v>-0.17241379310344801</v>
      </c>
      <c r="I47" s="13">
        <v>700</v>
      </c>
      <c r="J47" s="13">
        <v>198.864</v>
      </c>
      <c r="K47" s="14">
        <v>0.28409142857142899</v>
      </c>
      <c r="L47" s="13">
        <v>259.53637099999997</v>
      </c>
      <c r="M47" s="15">
        <f t="shared" si="45"/>
        <v>-0.30509479342666301</v>
      </c>
      <c r="N47" s="13">
        <v>25</v>
      </c>
      <c r="O47" s="13">
        <v>15</v>
      </c>
      <c r="P47" s="14">
        <v>0.6</v>
      </c>
      <c r="Q47" s="13">
        <v>10</v>
      </c>
      <c r="R47" s="15">
        <f t="shared" si="46"/>
        <v>0.33333333333333298</v>
      </c>
      <c r="S47" s="13">
        <v>300</v>
      </c>
      <c r="T47" s="13">
        <v>95.056299999999993</v>
      </c>
      <c r="U47" s="14">
        <v>0.31685433333333302</v>
      </c>
      <c r="V47" s="13">
        <v>114.989859</v>
      </c>
      <c r="W47" s="15">
        <f t="shared" si="47"/>
        <v>-0.20970266042334901</v>
      </c>
      <c r="X47" s="13">
        <v>25</v>
      </c>
      <c r="Y47" s="13">
        <v>2</v>
      </c>
      <c r="Z47" s="14">
        <v>0.08</v>
      </c>
      <c r="AA47" s="13">
        <v>8</v>
      </c>
      <c r="AB47" s="15">
        <f t="shared" si="48"/>
        <v>-3</v>
      </c>
      <c r="AC47" s="13">
        <v>300</v>
      </c>
      <c r="AD47" s="13">
        <v>12.4017</v>
      </c>
      <c r="AE47" s="14">
        <v>4.1339000000000001E-2</v>
      </c>
      <c r="AF47" s="13">
        <v>48.080717</v>
      </c>
      <c r="AG47" s="15">
        <f t="shared" si="49"/>
        <v>-2.8769456606755499</v>
      </c>
      <c r="AH47" s="7">
        <f>VLOOKUP(C47,'[2]5月汇总'!$C:$I,2,0)</f>
        <v>16</v>
      </c>
      <c r="AI47" s="16">
        <f t="shared" si="58"/>
        <v>45</v>
      </c>
      <c r="AJ47" s="17">
        <f t="shared" si="59"/>
        <v>1</v>
      </c>
      <c r="AK47" s="18">
        <f>VLOOKUP(C47,[1]两年对比终版!$A:$C,3,0)</f>
        <v>92</v>
      </c>
      <c r="AL47" s="15">
        <f t="shared" si="50"/>
        <v>-1.0444444444444401</v>
      </c>
      <c r="AM47" s="7">
        <f>VLOOKUP(C47,'[2]5月汇总'!$C:$I,3,0)</f>
        <v>85</v>
      </c>
      <c r="AN47" s="16">
        <f t="shared" si="60"/>
        <v>283.86399999999998</v>
      </c>
      <c r="AO47" s="17">
        <f t="shared" si="61"/>
        <v>0.40551999999999999</v>
      </c>
      <c r="AP47" s="19">
        <f>VLOOKUP(C47,[1]两年对比终版!$A:$F,6,0)</f>
        <v>1001.540992</v>
      </c>
      <c r="AQ47" s="15">
        <f t="shared" si="51"/>
        <v>-2.5282423695854299</v>
      </c>
      <c r="AR47" s="7">
        <f>VLOOKUP(C47,'[2]5月汇总'!$C:$I,4,0)</f>
        <v>7</v>
      </c>
      <c r="AS47" s="16">
        <f t="shared" si="62"/>
        <v>22</v>
      </c>
      <c r="AT47" s="17">
        <f t="shared" si="63"/>
        <v>0.88</v>
      </c>
      <c r="AU47" s="7">
        <f>VLOOKUP(C47,[1]两年对比终版!$A:$W,14,0)</f>
        <v>20</v>
      </c>
      <c r="AV47" s="15">
        <f t="shared" si="52"/>
        <v>9.0909090909090898E-2</v>
      </c>
      <c r="AW47" s="7">
        <f>VLOOKUP(C47,'[2]5月汇总'!$C:$I,5,0)</f>
        <v>37.4</v>
      </c>
      <c r="AX47" s="16">
        <f t="shared" si="64"/>
        <v>132.4563</v>
      </c>
      <c r="AY47" s="17">
        <f t="shared" si="65"/>
        <v>0.441521</v>
      </c>
      <c r="AZ47" s="19">
        <f>VLOOKUP(C47,[1]两年对比终版!$A:$W,17,0)</f>
        <v>200.807132</v>
      </c>
      <c r="BA47" s="15">
        <f t="shared" si="53"/>
        <v>-0.51602552690962999</v>
      </c>
      <c r="BB47" s="7">
        <f>VLOOKUP(C47,'[2]5月汇总'!$C:$I,6,0)</f>
        <v>15</v>
      </c>
      <c r="BC47" s="16">
        <f t="shared" si="66"/>
        <v>17</v>
      </c>
      <c r="BD47" s="17">
        <f t="shared" si="67"/>
        <v>0.68</v>
      </c>
      <c r="BE47" s="18">
        <f>VLOOKUP(C47,[1]两年对比终版!$A:$W,20,0)</f>
        <v>15</v>
      </c>
      <c r="BF47" s="15">
        <f t="shared" si="54"/>
        <v>0.11764705882352899</v>
      </c>
      <c r="BG47" s="7">
        <f>VLOOKUP(C47,'[2]5月汇总'!$C:$I,7,0)</f>
        <v>92.683999999999997</v>
      </c>
      <c r="BH47" s="16">
        <f t="shared" si="55"/>
        <v>105.0857</v>
      </c>
      <c r="BI47" s="17">
        <f t="shared" si="56"/>
        <v>0.35028566666666699</v>
      </c>
      <c r="BJ47" s="20">
        <f>VLOOKUP(C47,[1]两年对比终版!$A:$W,23,0)</f>
        <v>137.57912400000001</v>
      </c>
      <c r="BK47" s="15">
        <f t="shared" si="57"/>
        <v>-0.30920880766840803</v>
      </c>
    </row>
    <row r="48" spans="1:63" s="4" customFormat="1">
      <c r="A48" s="93" t="s">
        <v>72</v>
      </c>
      <c r="B48" s="94"/>
      <c r="C48" s="94"/>
      <c r="D48" s="21">
        <v>2063</v>
      </c>
      <c r="E48" s="21">
        <v>541</v>
      </c>
      <c r="F48" s="22">
        <v>0.26223945710130903</v>
      </c>
      <c r="G48" s="21">
        <v>629</v>
      </c>
      <c r="H48" s="23">
        <f t="shared" si="44"/>
        <v>-0.162661737523105</v>
      </c>
      <c r="I48" s="21">
        <v>23240</v>
      </c>
      <c r="J48" s="21">
        <v>5263.5969999999998</v>
      </c>
      <c r="K48" s="22">
        <v>0.226488683304647</v>
      </c>
      <c r="L48" s="21">
        <v>6203.792872</v>
      </c>
      <c r="M48" s="23">
        <f t="shared" si="45"/>
        <v>-0.178622313220408</v>
      </c>
      <c r="N48" s="21">
        <v>817</v>
      </c>
      <c r="O48" s="21">
        <v>107</v>
      </c>
      <c r="P48" s="22">
        <v>0.13096695226438201</v>
      </c>
      <c r="Q48" s="21">
        <v>166</v>
      </c>
      <c r="R48" s="23">
        <f t="shared" si="46"/>
        <v>-0.55140186915887801</v>
      </c>
      <c r="S48" s="21">
        <v>9392</v>
      </c>
      <c r="T48" s="21">
        <v>854.49779999999998</v>
      </c>
      <c r="U48" s="22">
        <v>9.0981452299829596E-2</v>
      </c>
      <c r="V48" s="21">
        <v>2194.4152020000001</v>
      </c>
      <c r="W48" s="23">
        <f t="shared" si="47"/>
        <v>-1.5680758944025399</v>
      </c>
      <c r="X48" s="21">
        <v>817</v>
      </c>
      <c r="Y48" s="21">
        <v>99</v>
      </c>
      <c r="Z48" s="22">
        <v>0.121175030599755</v>
      </c>
      <c r="AA48" s="21">
        <v>129</v>
      </c>
      <c r="AB48" s="23">
        <f t="shared" si="48"/>
        <v>-0.30303030303030298</v>
      </c>
      <c r="AC48" s="21">
        <v>9392</v>
      </c>
      <c r="AD48" s="21">
        <v>869.47860000000003</v>
      </c>
      <c r="AE48" s="22">
        <v>9.2576511925042598E-2</v>
      </c>
      <c r="AF48" s="21">
        <v>1465.181828</v>
      </c>
      <c r="AG48" s="23">
        <f t="shared" si="49"/>
        <v>-0.68512695769625598</v>
      </c>
      <c r="AH48" s="21">
        <f>SUM(AH38:AH47)</f>
        <v>221</v>
      </c>
      <c r="AI48" s="24">
        <f>AH48+E48</f>
        <v>762</v>
      </c>
      <c r="AJ48" s="25">
        <f t="shared" si="59"/>
        <v>0.369365002423655</v>
      </c>
      <c r="AK48" s="21">
        <f>SUM(AK38:AK47)</f>
        <v>1908</v>
      </c>
      <c r="AL48" s="23">
        <f t="shared" si="50"/>
        <v>-1.50393700787402</v>
      </c>
      <c r="AM48" s="21">
        <f>SUM(AM38:AM47)</f>
        <v>1619.22</v>
      </c>
      <c r="AN48" s="24">
        <f t="shared" si="60"/>
        <v>6882.817</v>
      </c>
      <c r="AO48" s="25">
        <f t="shared" si="61"/>
        <v>0.29616252151463002</v>
      </c>
      <c r="AP48" s="21">
        <f>SUM(AP38:AP47)</f>
        <v>17767.7729049999</v>
      </c>
      <c r="AQ48" s="23">
        <f t="shared" si="51"/>
        <v>-1.58146815540787</v>
      </c>
      <c r="AR48" s="21">
        <f>SUM(AR38:AR47)</f>
        <v>119</v>
      </c>
      <c r="AS48" s="24">
        <f t="shared" si="62"/>
        <v>226</v>
      </c>
      <c r="AT48" s="25">
        <f t="shared" si="63"/>
        <v>0.276621787025704</v>
      </c>
      <c r="AU48" s="21">
        <f>SUM(AU38:AU47)</f>
        <v>262</v>
      </c>
      <c r="AV48" s="23">
        <f t="shared" si="52"/>
        <v>-0.15929203539823</v>
      </c>
      <c r="AW48" s="21">
        <f>SUM(AW38:AW47)</f>
        <v>1073.1400000000001</v>
      </c>
      <c r="AX48" s="24">
        <f t="shared" si="64"/>
        <v>1927.6378</v>
      </c>
      <c r="AY48" s="25">
        <f t="shared" si="65"/>
        <v>0.20524252555366301</v>
      </c>
      <c r="AZ48" s="21">
        <f>SUM(AZ38:AZ47)</f>
        <v>3047.4427949999999</v>
      </c>
      <c r="BA48" s="23">
        <f t="shared" si="53"/>
        <v>-0.58092085297352003</v>
      </c>
      <c r="BB48" s="21">
        <f>SUM(BB38:BB47)</f>
        <v>101</v>
      </c>
      <c r="BC48" s="24">
        <f t="shared" si="66"/>
        <v>200</v>
      </c>
      <c r="BD48" s="25">
        <f t="shared" si="67"/>
        <v>0.24479804161566701</v>
      </c>
      <c r="BE48" s="21">
        <f>SUM(BE38:BE47)</f>
        <v>267</v>
      </c>
      <c r="BF48" s="23">
        <f t="shared" si="54"/>
        <v>-0.33500000000000002</v>
      </c>
      <c r="BG48" s="21">
        <f>SUM(BG38:BG47)</f>
        <v>945.48400000000004</v>
      </c>
      <c r="BH48" s="24">
        <f t="shared" si="55"/>
        <v>1814.9626000000001</v>
      </c>
      <c r="BI48" s="25">
        <f t="shared" si="56"/>
        <v>0.193245591993186</v>
      </c>
      <c r="BJ48" s="21">
        <f>SUM(BJ38:BJ47)</f>
        <v>3012.3375209999999</v>
      </c>
      <c r="BK48" s="23">
        <f t="shared" si="57"/>
        <v>-0.65972429459427995</v>
      </c>
    </row>
    <row r="49" spans="1:63">
      <c r="A49" s="12">
        <v>41</v>
      </c>
      <c r="B49" s="12" t="s">
        <v>34</v>
      </c>
      <c r="C49" s="12" t="s">
        <v>73</v>
      </c>
      <c r="D49" s="13">
        <v>81</v>
      </c>
      <c r="E49" s="13">
        <v>36</v>
      </c>
      <c r="F49" s="14">
        <v>0.44444444444444398</v>
      </c>
      <c r="G49" s="13">
        <v>52</v>
      </c>
      <c r="H49" s="15">
        <f t="shared" si="44"/>
        <v>-0.44444444444444398</v>
      </c>
      <c r="I49" s="13">
        <v>1260</v>
      </c>
      <c r="J49" s="13">
        <v>411.43700000000001</v>
      </c>
      <c r="K49" s="14">
        <v>0.32653730158730199</v>
      </c>
      <c r="L49" s="13">
        <v>552.75037799999996</v>
      </c>
      <c r="M49" s="15">
        <f t="shared" si="45"/>
        <v>-0.34346297975145601</v>
      </c>
      <c r="N49" s="13">
        <v>32.4</v>
      </c>
      <c r="O49" s="13">
        <v>10</v>
      </c>
      <c r="P49" s="14">
        <v>0.30864197530864201</v>
      </c>
      <c r="Q49" s="13">
        <v>8</v>
      </c>
      <c r="R49" s="15">
        <f t="shared" si="46"/>
        <v>0.2</v>
      </c>
      <c r="S49" s="13">
        <v>500</v>
      </c>
      <c r="T49" s="13">
        <v>110.11799999999999</v>
      </c>
      <c r="U49" s="14">
        <v>0.22023599999999999</v>
      </c>
      <c r="V49" s="13">
        <v>101.21029799999999</v>
      </c>
      <c r="W49" s="15">
        <f t="shared" si="47"/>
        <v>8.0892333678417694E-2</v>
      </c>
      <c r="X49" s="13">
        <v>32.4</v>
      </c>
      <c r="Y49" s="13">
        <v>2</v>
      </c>
      <c r="Z49" s="14">
        <v>6.1728395061728399E-2</v>
      </c>
      <c r="AA49" s="13">
        <v>3</v>
      </c>
      <c r="AB49" s="15">
        <f t="shared" si="48"/>
        <v>-0.5</v>
      </c>
      <c r="AC49" s="13">
        <v>500</v>
      </c>
      <c r="AD49" s="13">
        <v>33.6813</v>
      </c>
      <c r="AE49" s="14">
        <v>6.7362599999999995E-2</v>
      </c>
      <c r="AF49" s="13">
        <v>68.495232999999999</v>
      </c>
      <c r="AG49" s="15">
        <f t="shared" si="49"/>
        <v>-1.03362794785237</v>
      </c>
      <c r="AH49" s="7">
        <f>VLOOKUP(C49,'[2]5月汇总'!$C:$I,2,0)</f>
        <v>10</v>
      </c>
      <c r="AI49" s="16">
        <f>E49+AH49</f>
        <v>46</v>
      </c>
      <c r="AJ49" s="17">
        <f t="shared" si="59"/>
        <v>0.56790123456790098</v>
      </c>
      <c r="AK49" s="18">
        <f>VLOOKUP(C49,[1]两年对比终版!$A:$C,3,0)</f>
        <v>73</v>
      </c>
      <c r="AL49" s="15">
        <f t="shared" si="50"/>
        <v>-0.58695652173913004</v>
      </c>
      <c r="AM49" s="7">
        <f>VLOOKUP(C49,'[2]5月汇总'!$C:$I,3,0)</f>
        <v>110</v>
      </c>
      <c r="AN49" s="16">
        <f t="shared" si="60"/>
        <v>521.43700000000001</v>
      </c>
      <c r="AO49" s="17">
        <f t="shared" si="61"/>
        <v>0.41383888888888898</v>
      </c>
      <c r="AP49" s="19">
        <f>VLOOKUP(C49,[1]两年对比终版!$A:$F,6,0)</f>
        <v>800.21296800000005</v>
      </c>
      <c r="AQ49" s="15">
        <f t="shared" si="51"/>
        <v>-0.534630200772097</v>
      </c>
      <c r="AR49" s="7">
        <f>VLOOKUP(C49,'[2]5月汇总'!$C:$I,4,0)</f>
        <v>3</v>
      </c>
      <c r="AS49" s="16">
        <f t="shared" si="62"/>
        <v>13</v>
      </c>
      <c r="AT49" s="17">
        <f t="shared" si="63"/>
        <v>0.40123456790123502</v>
      </c>
      <c r="AU49" s="7">
        <f>VLOOKUP(C49,[1]两年对比终版!$A:$W,14,0)</f>
        <v>15</v>
      </c>
      <c r="AV49" s="15">
        <f t="shared" si="52"/>
        <v>-0.15384615384615399</v>
      </c>
      <c r="AW49" s="7">
        <f>VLOOKUP(C49,'[2]5月汇总'!$C:$I,5,0)</f>
        <v>35</v>
      </c>
      <c r="AX49" s="16">
        <f t="shared" si="64"/>
        <v>145.11799999999999</v>
      </c>
      <c r="AY49" s="17">
        <f t="shared" si="65"/>
        <v>0.29023599999999999</v>
      </c>
      <c r="AZ49" s="19">
        <f>VLOOKUP(C49,[1]两年对比终版!$A:$W,17,0)</f>
        <v>187.86055999999999</v>
      </c>
      <c r="BA49" s="15">
        <f t="shared" si="53"/>
        <v>-0.29453658402127902</v>
      </c>
      <c r="BB49" s="7">
        <f>VLOOKUP(C49,'[2]5月汇总'!$C:$I,6,0)</f>
        <v>0</v>
      </c>
      <c r="BC49" s="16">
        <f t="shared" si="66"/>
        <v>2</v>
      </c>
      <c r="BD49" s="17">
        <f t="shared" si="67"/>
        <v>6.1728395061728399E-2</v>
      </c>
      <c r="BE49" s="18">
        <f>VLOOKUP(C49,[1]两年对比终版!$A:$W,20,0)</f>
        <v>10</v>
      </c>
      <c r="BF49" s="15">
        <f t="shared" si="54"/>
        <v>-4</v>
      </c>
      <c r="BG49" s="7">
        <f>VLOOKUP(C49,'[2]5月汇总'!$C:$I,7,0)</f>
        <v>0</v>
      </c>
      <c r="BH49" s="16">
        <f t="shared" si="55"/>
        <v>33.6813</v>
      </c>
      <c r="BI49" s="17">
        <f t="shared" si="56"/>
        <v>6.7362599999999995E-2</v>
      </c>
      <c r="BJ49" s="20">
        <f>VLOOKUP(C49,[1]两年对比终版!$A:$W,23,0)</f>
        <v>152.329161</v>
      </c>
      <c r="BK49" s="15">
        <f t="shared" si="57"/>
        <v>-3.52266275351605</v>
      </c>
    </row>
    <row r="50" spans="1:63">
      <c r="A50" s="12">
        <v>42</v>
      </c>
      <c r="B50" s="12" t="s">
        <v>25</v>
      </c>
      <c r="C50" s="12" t="s">
        <v>74</v>
      </c>
      <c r="D50" s="13">
        <v>581</v>
      </c>
      <c r="E50" s="13">
        <v>143</v>
      </c>
      <c r="F50" s="14">
        <v>0.24612736660929399</v>
      </c>
      <c r="G50" s="13">
        <v>99</v>
      </c>
      <c r="H50" s="15">
        <f t="shared" si="44"/>
        <v>0.30769230769230799</v>
      </c>
      <c r="I50" s="13">
        <v>5575.68</v>
      </c>
      <c r="J50" s="13">
        <v>1185.1400000000001</v>
      </c>
      <c r="K50" s="14">
        <v>0.21255523989899</v>
      </c>
      <c r="L50" s="13">
        <v>839.67044499999895</v>
      </c>
      <c r="M50" s="15">
        <f t="shared" si="45"/>
        <v>0.29150105050880198</v>
      </c>
      <c r="N50" s="13">
        <v>239.4</v>
      </c>
      <c r="O50" s="13">
        <v>66</v>
      </c>
      <c r="P50" s="14">
        <v>0.27568922305764398</v>
      </c>
      <c r="Q50" s="13">
        <v>38</v>
      </c>
      <c r="R50" s="15">
        <f t="shared" si="46"/>
        <v>0.42424242424242398</v>
      </c>
      <c r="S50" s="13">
        <v>2304</v>
      </c>
      <c r="T50" s="13">
        <v>585.58600000000001</v>
      </c>
      <c r="U50" s="14">
        <v>0.25416059027777799</v>
      </c>
      <c r="V50" s="13">
        <v>395.34701799999999</v>
      </c>
      <c r="W50" s="15">
        <f t="shared" si="47"/>
        <v>0.32486941627702898</v>
      </c>
      <c r="X50" s="13">
        <v>239.4</v>
      </c>
      <c r="Y50" s="13">
        <v>24</v>
      </c>
      <c r="Z50" s="14">
        <v>0.10025062656641601</v>
      </c>
      <c r="AA50" s="13">
        <v>36</v>
      </c>
      <c r="AB50" s="15">
        <f t="shared" si="48"/>
        <v>-0.5</v>
      </c>
      <c r="AC50" s="13">
        <v>2304</v>
      </c>
      <c r="AD50" s="13">
        <v>208.989</v>
      </c>
      <c r="AE50" s="14">
        <v>9.070703125E-2</v>
      </c>
      <c r="AF50" s="13">
        <v>410.04933199999999</v>
      </c>
      <c r="AG50" s="15">
        <f t="shared" si="49"/>
        <v>-0.96206179272593295</v>
      </c>
      <c r="AH50" s="7">
        <f>VLOOKUP(C50,'[2]5月汇总'!$C:$I,2,0)</f>
        <v>52</v>
      </c>
      <c r="AI50" s="16">
        <f t="shared" ref="AI50:AI56" si="68">E50+AH50</f>
        <v>195</v>
      </c>
      <c r="AJ50" s="17">
        <f t="shared" ref="AJ50:AJ58" si="69">AI50/D50</f>
        <v>0.33562822719449198</v>
      </c>
      <c r="AK50" s="18">
        <f>VLOOKUP(C50,[1]两年对比终版!$A:$C,3,0)</f>
        <v>155</v>
      </c>
      <c r="AL50" s="15">
        <f t="shared" si="50"/>
        <v>0.20512820512820501</v>
      </c>
      <c r="AM50" s="7">
        <f>VLOOKUP(C50,'[2]5月汇总'!$C:$I,3,0)</f>
        <v>500</v>
      </c>
      <c r="AN50" s="16">
        <f t="shared" ref="AN50:AN58" si="70">AM50+J50</f>
        <v>1685.14</v>
      </c>
      <c r="AO50" s="17">
        <f t="shared" ref="AO50:AO58" si="71">AN50/I50</f>
        <v>0.302230400596878</v>
      </c>
      <c r="AP50" s="19">
        <f>VLOOKUP(C50,[1]两年对比终版!$A:$F,6,0)</f>
        <v>1270.468435</v>
      </c>
      <c r="AQ50" s="15">
        <f t="shared" si="51"/>
        <v>0.24607543883594299</v>
      </c>
      <c r="AR50" s="7">
        <f>VLOOKUP(C50,'[2]5月汇总'!$C:$I,4,0)</f>
        <v>20</v>
      </c>
      <c r="AS50" s="16">
        <f t="shared" ref="AS50:AS58" si="72">AR50+O50</f>
        <v>86</v>
      </c>
      <c r="AT50" s="17">
        <f t="shared" ref="AT50:AT58" si="73">AS50/N50</f>
        <v>0.35923141186299101</v>
      </c>
      <c r="AU50" s="7">
        <f>VLOOKUP(C50,[1]两年对比终版!$A:$W,14,0)</f>
        <v>55</v>
      </c>
      <c r="AV50" s="15">
        <f t="shared" si="52"/>
        <v>0.36046511627907002</v>
      </c>
      <c r="AW50" s="7">
        <f>VLOOKUP(C50,'[2]5月汇总'!$C:$I,5,0)</f>
        <v>200</v>
      </c>
      <c r="AX50" s="16">
        <f t="shared" ref="AX50:AX58" si="74">AW50+T50</f>
        <v>785.58600000000001</v>
      </c>
      <c r="AY50" s="17">
        <f t="shared" ref="AY50:AY58" si="75">AX50/S50</f>
        <v>0.34096614583333301</v>
      </c>
      <c r="AZ50" s="19">
        <f>VLOOKUP(C50,[1]两年对比终版!$A:$W,17,0)</f>
        <v>530.29769199999998</v>
      </c>
      <c r="BA50" s="15">
        <f t="shared" si="53"/>
        <v>0.32496544999528998</v>
      </c>
      <c r="BB50" s="7">
        <f>VLOOKUP(C50,'[2]5月汇总'!$C:$I,6,0)</f>
        <v>35</v>
      </c>
      <c r="BC50" s="16">
        <f t="shared" ref="BC50:BC58" si="76">BB50+Y50</f>
        <v>59</v>
      </c>
      <c r="BD50" s="17">
        <f t="shared" ref="BD50:BD58" si="77">BC50/X50</f>
        <v>0.246449456975773</v>
      </c>
      <c r="BE50" s="18">
        <f>VLOOKUP(C50,[1]两年对比终版!$A:$W,20,0)</f>
        <v>48</v>
      </c>
      <c r="BF50" s="15">
        <f t="shared" si="54"/>
        <v>0.186440677966102</v>
      </c>
      <c r="BG50" s="7">
        <f>VLOOKUP(C50,'[2]5月汇总'!$C:$I,7,0)</f>
        <v>350</v>
      </c>
      <c r="BH50" s="16">
        <f t="shared" si="55"/>
        <v>558.98900000000003</v>
      </c>
      <c r="BI50" s="17">
        <f t="shared" si="56"/>
        <v>0.242616753472222</v>
      </c>
      <c r="BJ50" s="20">
        <f>VLOOKUP(C50,[1]两年对比终版!$A:$W,23,0)</f>
        <v>502.43066499999998</v>
      </c>
      <c r="BK50" s="15">
        <f t="shared" si="57"/>
        <v>0.101179692265859</v>
      </c>
    </row>
    <row r="51" spans="1:63">
      <c r="A51" s="12">
        <v>43</v>
      </c>
      <c r="B51" s="12" t="s">
        <v>31</v>
      </c>
      <c r="C51" s="12" t="s">
        <v>75</v>
      </c>
      <c r="D51" s="13">
        <v>207</v>
      </c>
      <c r="E51" s="13">
        <v>59</v>
      </c>
      <c r="F51" s="14">
        <v>0.28502415458937203</v>
      </c>
      <c r="G51" s="13">
        <v>129</v>
      </c>
      <c r="H51" s="15">
        <f t="shared" si="44"/>
        <v>-1.1864406779661001</v>
      </c>
      <c r="I51" s="13">
        <v>2082.5</v>
      </c>
      <c r="J51" s="13">
        <v>482.47199999999998</v>
      </c>
      <c r="K51" s="14">
        <v>0.23167923169267701</v>
      </c>
      <c r="L51" s="13">
        <v>1185.6855430000001</v>
      </c>
      <c r="M51" s="15">
        <f t="shared" si="45"/>
        <v>-1.4575219764048499</v>
      </c>
      <c r="N51" s="13">
        <v>84.6</v>
      </c>
      <c r="O51" s="13">
        <v>25</v>
      </c>
      <c r="P51" s="14">
        <v>0.29550827423167902</v>
      </c>
      <c r="Q51" s="13">
        <v>22</v>
      </c>
      <c r="R51" s="15">
        <f t="shared" si="46"/>
        <v>0.12</v>
      </c>
      <c r="S51" s="13">
        <v>850</v>
      </c>
      <c r="T51" s="13">
        <v>169.881</v>
      </c>
      <c r="U51" s="14">
        <v>0.19986000000000001</v>
      </c>
      <c r="V51" s="13">
        <v>200.811781</v>
      </c>
      <c r="W51" s="15">
        <f t="shared" si="47"/>
        <v>-0.18207322184352601</v>
      </c>
      <c r="X51" s="13">
        <v>84.6</v>
      </c>
      <c r="Y51" s="13">
        <v>5</v>
      </c>
      <c r="Z51" s="14">
        <v>5.9101654846335699E-2</v>
      </c>
      <c r="AA51" s="13">
        <v>15</v>
      </c>
      <c r="AB51" s="15">
        <f t="shared" si="48"/>
        <v>-2</v>
      </c>
      <c r="AC51" s="13">
        <v>850</v>
      </c>
      <c r="AD51" s="13">
        <v>46.000599999999999</v>
      </c>
      <c r="AE51" s="14">
        <v>5.4118352941176499E-2</v>
      </c>
      <c r="AF51" s="13">
        <v>177.32531</v>
      </c>
      <c r="AG51" s="15">
        <f t="shared" si="49"/>
        <v>-2.85484776285527</v>
      </c>
      <c r="AH51" s="7">
        <f>VLOOKUP(C51,'[2]5月汇总'!$C:$I,2,0)</f>
        <v>30</v>
      </c>
      <c r="AI51" s="16">
        <f t="shared" si="68"/>
        <v>89</v>
      </c>
      <c r="AJ51" s="17">
        <f t="shared" si="69"/>
        <v>0.42995169082125601</v>
      </c>
      <c r="AK51" s="18">
        <f>VLOOKUP(C51,[1]两年对比终版!$A:$C,3,0)</f>
        <v>210</v>
      </c>
      <c r="AL51" s="15">
        <f t="shared" si="50"/>
        <v>-1.3595505617977499</v>
      </c>
      <c r="AM51" s="7">
        <f>VLOOKUP(C51,'[2]5月汇总'!$C:$I,3,0)</f>
        <v>183</v>
      </c>
      <c r="AN51" s="16">
        <f t="shared" si="70"/>
        <v>665.47199999999998</v>
      </c>
      <c r="AO51" s="17">
        <f t="shared" si="71"/>
        <v>0.31955438175270101</v>
      </c>
      <c r="AP51" s="19">
        <f>VLOOKUP(C51,[1]两年对比终版!$A:$F,6,0)</f>
        <v>2098.8549979999998</v>
      </c>
      <c r="AQ51" s="15">
        <f t="shared" si="51"/>
        <v>-2.1539343473504502</v>
      </c>
      <c r="AR51" s="7">
        <f>VLOOKUP(C51,'[2]5月汇总'!$C:$I,4,0)</f>
        <v>20</v>
      </c>
      <c r="AS51" s="16">
        <f t="shared" si="72"/>
        <v>45</v>
      </c>
      <c r="AT51" s="17">
        <f t="shared" si="73"/>
        <v>0.53191489361702105</v>
      </c>
      <c r="AU51" s="7">
        <f>VLOOKUP(C51,[1]两年对比终版!$A:$W,14,0)</f>
        <v>36</v>
      </c>
      <c r="AV51" s="15">
        <f t="shared" si="52"/>
        <v>0.2</v>
      </c>
      <c r="AW51" s="7">
        <f>VLOOKUP(C51,'[2]5月汇总'!$C:$I,5,0)</f>
        <v>120</v>
      </c>
      <c r="AX51" s="16">
        <f t="shared" si="74"/>
        <v>289.88099999999997</v>
      </c>
      <c r="AY51" s="17">
        <f t="shared" si="75"/>
        <v>0.341036470588235</v>
      </c>
      <c r="AZ51" s="19">
        <f>VLOOKUP(C51,[1]两年对比终版!$A:$W,17,0)</f>
        <v>317.42713099999997</v>
      </c>
      <c r="BA51" s="15">
        <f t="shared" si="53"/>
        <v>-9.50256519054367E-2</v>
      </c>
      <c r="BB51" s="7">
        <f>VLOOKUP(C51,'[2]5月汇总'!$C:$I,6,0)</f>
        <v>16</v>
      </c>
      <c r="BC51" s="16">
        <f t="shared" si="76"/>
        <v>21</v>
      </c>
      <c r="BD51" s="17">
        <f t="shared" si="77"/>
        <v>0.24822695035461001</v>
      </c>
      <c r="BE51" s="18">
        <f>VLOOKUP(C51,[1]两年对比终版!$A:$W,20,0)</f>
        <v>29</v>
      </c>
      <c r="BF51" s="15">
        <f t="shared" si="54"/>
        <v>-0.38095238095238099</v>
      </c>
      <c r="BG51" s="7">
        <f>VLOOKUP(C51,'[2]5月汇总'!$C:$I,7,0)</f>
        <v>95</v>
      </c>
      <c r="BH51" s="16">
        <f t="shared" si="55"/>
        <v>141.00059999999999</v>
      </c>
      <c r="BI51" s="17">
        <f t="shared" si="56"/>
        <v>0.16588305882352899</v>
      </c>
      <c r="BJ51" s="20">
        <f>VLOOKUP(C51,[1]两年对比终版!$A:$W,23,0)</f>
        <v>276.05057599999998</v>
      </c>
      <c r="BK51" s="15">
        <f t="shared" si="57"/>
        <v>-0.95779717249430196</v>
      </c>
    </row>
    <row r="52" spans="1:63">
      <c r="A52" s="12">
        <v>44</v>
      </c>
      <c r="B52" s="12" t="s">
        <v>34</v>
      </c>
      <c r="C52" s="12" t="s">
        <v>76</v>
      </c>
      <c r="D52" s="13">
        <v>145</v>
      </c>
      <c r="E52" s="13">
        <v>54</v>
      </c>
      <c r="F52" s="14">
        <v>0.37241379310344802</v>
      </c>
      <c r="G52" s="13">
        <v>0</v>
      </c>
      <c r="H52" s="15">
        <f t="shared" si="44"/>
        <v>1</v>
      </c>
      <c r="I52" s="13">
        <v>1500</v>
      </c>
      <c r="J52" s="13">
        <v>376.35399999999998</v>
      </c>
      <c r="K52" s="14">
        <v>0.250902666666667</v>
      </c>
      <c r="L52" s="13">
        <v>0</v>
      </c>
      <c r="M52" s="15">
        <f t="shared" si="45"/>
        <v>1</v>
      </c>
      <c r="N52" s="13">
        <v>60.3</v>
      </c>
      <c r="O52" s="13">
        <v>23</v>
      </c>
      <c r="P52" s="14">
        <v>0.38142620232172503</v>
      </c>
      <c r="Q52" s="13">
        <v>0</v>
      </c>
      <c r="R52" s="15">
        <f t="shared" si="46"/>
        <v>1</v>
      </c>
      <c r="S52" s="13">
        <v>600</v>
      </c>
      <c r="T52" s="13">
        <v>157.29499999999999</v>
      </c>
      <c r="U52" s="14">
        <v>0.26215833333333299</v>
      </c>
      <c r="V52" s="13">
        <v>0</v>
      </c>
      <c r="W52" s="15">
        <f t="shared" si="47"/>
        <v>1</v>
      </c>
      <c r="X52" s="13">
        <v>60.3</v>
      </c>
      <c r="Y52" s="13">
        <v>2</v>
      </c>
      <c r="Z52" s="14">
        <v>3.3167495854062999E-2</v>
      </c>
      <c r="AA52" s="13">
        <v>0</v>
      </c>
      <c r="AB52" s="15">
        <f t="shared" si="48"/>
        <v>1</v>
      </c>
      <c r="AC52" s="13">
        <v>600</v>
      </c>
      <c r="AD52" s="13">
        <v>11.338100000000001</v>
      </c>
      <c r="AE52" s="14">
        <v>1.88968333333333E-2</v>
      </c>
      <c r="AF52" s="13">
        <v>0</v>
      </c>
      <c r="AG52" s="15">
        <f t="shared" si="49"/>
        <v>1</v>
      </c>
      <c r="AH52" s="7">
        <f>VLOOKUP(C52,'[2]5月汇总'!$C:$I,2,0)</f>
        <v>8</v>
      </c>
      <c r="AI52" s="16">
        <f t="shared" si="68"/>
        <v>62</v>
      </c>
      <c r="AJ52" s="17">
        <f t="shared" si="69"/>
        <v>0.42758620689655202</v>
      </c>
      <c r="AK52" s="18">
        <f>VLOOKUP(C52,[1]两年对比终版!$A:$C,3,0)</f>
        <v>0</v>
      </c>
      <c r="AL52" s="15">
        <f t="shared" si="50"/>
        <v>1</v>
      </c>
      <c r="AM52" s="7">
        <f>VLOOKUP(C52,'[2]5月汇总'!$C:$I,3,0)</f>
        <v>48</v>
      </c>
      <c r="AN52" s="16">
        <f t="shared" si="70"/>
        <v>424.35399999999998</v>
      </c>
      <c r="AO52" s="17">
        <f t="shared" si="71"/>
        <v>0.28290266666666702</v>
      </c>
      <c r="AP52" s="19">
        <f>VLOOKUP(C52,[1]两年对比终版!$A:$F,6,0)</f>
        <v>0</v>
      </c>
      <c r="AQ52" s="15">
        <f t="shared" si="51"/>
        <v>1</v>
      </c>
      <c r="AR52" s="7">
        <f>VLOOKUP(C52,'[2]5月汇总'!$C:$I,4,0)</f>
        <v>21</v>
      </c>
      <c r="AS52" s="16">
        <f t="shared" si="72"/>
        <v>44</v>
      </c>
      <c r="AT52" s="17">
        <f t="shared" si="73"/>
        <v>0.72968490878938597</v>
      </c>
      <c r="AU52" s="7">
        <f>VLOOKUP(C52,[1]两年对比终版!$A:$W,14,0)</f>
        <v>0</v>
      </c>
      <c r="AV52" s="15">
        <f t="shared" si="52"/>
        <v>1</v>
      </c>
      <c r="AW52" s="7">
        <f>VLOOKUP(C52,'[2]5月汇总'!$C:$I,5,0)</f>
        <v>154</v>
      </c>
      <c r="AX52" s="16">
        <f t="shared" si="74"/>
        <v>311.29500000000002</v>
      </c>
      <c r="AY52" s="17">
        <f t="shared" si="75"/>
        <v>0.51882499999999998</v>
      </c>
      <c r="AZ52" s="19">
        <f>VLOOKUP(C52,[1]两年对比终版!$A:$W,17,0)</f>
        <v>0</v>
      </c>
      <c r="BA52" s="15">
        <f t="shared" si="53"/>
        <v>1</v>
      </c>
      <c r="BB52" s="7">
        <f>VLOOKUP(C52,'[2]5月汇总'!$C:$I,6,0)</f>
        <v>21</v>
      </c>
      <c r="BC52" s="16">
        <f t="shared" si="76"/>
        <v>23</v>
      </c>
      <c r="BD52" s="17">
        <f t="shared" si="77"/>
        <v>0.38142620232172503</v>
      </c>
      <c r="BE52" s="18">
        <f>VLOOKUP(C52,[1]两年对比终版!$A:$W,20,0)</f>
        <v>0</v>
      </c>
      <c r="BF52" s="15">
        <f t="shared" si="54"/>
        <v>1</v>
      </c>
      <c r="BG52" s="7">
        <f>VLOOKUP(C52,'[2]5月汇总'!$C:$I,7,0)</f>
        <v>154</v>
      </c>
      <c r="BH52" s="16">
        <f t="shared" si="55"/>
        <v>165.3381</v>
      </c>
      <c r="BI52" s="17">
        <f t="shared" si="56"/>
        <v>0.27556350000000002</v>
      </c>
      <c r="BJ52" s="20">
        <f>VLOOKUP(C52,[1]两年对比终版!$A:$W,23,0)</f>
        <v>0</v>
      </c>
      <c r="BK52" s="15">
        <f t="shared" si="57"/>
        <v>1</v>
      </c>
    </row>
    <row r="53" spans="1:63">
      <c r="A53" s="12">
        <v>45</v>
      </c>
      <c r="B53" s="12" t="s">
        <v>39</v>
      </c>
      <c r="C53" s="12" t="s">
        <v>77</v>
      </c>
      <c r="D53" s="13">
        <v>81</v>
      </c>
      <c r="E53" s="13">
        <v>12</v>
      </c>
      <c r="F53" s="14">
        <v>0.148148148148148</v>
      </c>
      <c r="G53" s="13">
        <v>48</v>
      </c>
      <c r="H53" s="15">
        <f t="shared" si="44"/>
        <v>-3</v>
      </c>
      <c r="I53" s="13">
        <v>735</v>
      </c>
      <c r="J53" s="13">
        <v>103.843</v>
      </c>
      <c r="K53" s="14">
        <v>0.14128299319727899</v>
      </c>
      <c r="L53" s="13">
        <v>701.94773499999997</v>
      </c>
      <c r="M53" s="15">
        <f t="shared" si="45"/>
        <v>-5.7597020020608003</v>
      </c>
      <c r="N53" s="13">
        <v>33.299999999999997</v>
      </c>
      <c r="O53" s="13">
        <v>7</v>
      </c>
      <c r="P53" s="14">
        <v>0.21021021021021</v>
      </c>
      <c r="Q53" s="13">
        <v>1</v>
      </c>
      <c r="R53" s="15">
        <f t="shared" si="46"/>
        <v>0.85714285714285698</v>
      </c>
      <c r="S53" s="13">
        <v>300</v>
      </c>
      <c r="T53" s="13">
        <v>50.092799999999997</v>
      </c>
      <c r="U53" s="14">
        <v>0.16697600000000001</v>
      </c>
      <c r="V53" s="13">
        <v>6.7391420000000002</v>
      </c>
      <c r="W53" s="15">
        <f t="shared" si="47"/>
        <v>0.86546685351986696</v>
      </c>
      <c r="X53" s="13">
        <v>33.299999999999997</v>
      </c>
      <c r="Y53" s="13">
        <v>8</v>
      </c>
      <c r="Z53" s="14">
        <v>0.24024024024023999</v>
      </c>
      <c r="AA53" s="13">
        <v>1</v>
      </c>
      <c r="AB53" s="15">
        <f t="shared" si="48"/>
        <v>0.875</v>
      </c>
      <c r="AC53" s="13">
        <v>300</v>
      </c>
      <c r="AD53" s="13">
        <v>74.325900000000004</v>
      </c>
      <c r="AE53" s="14">
        <v>0.247753</v>
      </c>
      <c r="AF53" s="13">
        <v>6.7391420000000002</v>
      </c>
      <c r="AG53" s="15">
        <f t="shared" si="49"/>
        <v>0.90932982984397104</v>
      </c>
      <c r="AH53" s="7">
        <f>VLOOKUP(C53,'[2]5月汇总'!$C:$I,2,0)</f>
        <v>8</v>
      </c>
      <c r="AI53" s="16">
        <f t="shared" si="68"/>
        <v>20</v>
      </c>
      <c r="AJ53" s="17">
        <f t="shared" si="69"/>
        <v>0.24691358024691401</v>
      </c>
      <c r="AK53" s="18">
        <f>VLOOKUP(C53,[1]两年对比终版!$A:$C,3,0)</f>
        <v>138</v>
      </c>
      <c r="AL53" s="15">
        <f t="shared" si="50"/>
        <v>-5.9</v>
      </c>
      <c r="AM53" s="7">
        <f>VLOOKUP(C53,'[2]5月汇总'!$C:$I,3,0)</f>
        <v>97.799800000000005</v>
      </c>
      <c r="AN53" s="16">
        <f t="shared" si="70"/>
        <v>201.64279999999999</v>
      </c>
      <c r="AO53" s="17">
        <f t="shared" si="71"/>
        <v>0.274343945578231</v>
      </c>
      <c r="AP53" s="19">
        <f>VLOOKUP(C53,[1]两年对比终版!$A:$F,6,0)</f>
        <v>1844.2106389999999</v>
      </c>
      <c r="AQ53" s="15">
        <f t="shared" si="51"/>
        <v>-8.1459285379889597</v>
      </c>
      <c r="AR53" s="7">
        <f>VLOOKUP(C53,'[2]5月汇总'!$C:$I,4,0)</f>
        <v>6</v>
      </c>
      <c r="AS53" s="16">
        <f t="shared" si="72"/>
        <v>13</v>
      </c>
      <c r="AT53" s="17">
        <f t="shared" si="73"/>
        <v>0.39039039039038997</v>
      </c>
      <c r="AU53" s="7">
        <f>VLOOKUP(C53,[1]两年对比终版!$A:$W,14,0)</f>
        <v>2</v>
      </c>
      <c r="AV53" s="15">
        <f t="shared" si="52"/>
        <v>0.84615384615384603</v>
      </c>
      <c r="AW53" s="7">
        <f>VLOOKUP(C53,'[2]5月汇总'!$C:$I,5,0)</f>
        <v>43.5045</v>
      </c>
      <c r="AX53" s="16">
        <f t="shared" si="74"/>
        <v>93.597300000000004</v>
      </c>
      <c r="AY53" s="17">
        <f t="shared" si="75"/>
        <v>0.31199100000000002</v>
      </c>
      <c r="AZ53" s="19">
        <f>VLOOKUP(C53,[1]两年对比终版!$A:$W,17,0)</f>
        <v>14.660022</v>
      </c>
      <c r="BA53" s="15">
        <f t="shared" si="53"/>
        <v>0.84337131519819497</v>
      </c>
      <c r="BB53" s="7">
        <f>VLOOKUP(C53,'[2]5月汇总'!$C:$I,6,0)</f>
        <v>6</v>
      </c>
      <c r="BC53" s="16">
        <f t="shared" si="76"/>
        <v>14</v>
      </c>
      <c r="BD53" s="17">
        <f t="shared" si="77"/>
        <v>0.42042042042041999</v>
      </c>
      <c r="BE53" s="18">
        <f>VLOOKUP(C53,[1]两年对比终版!$A:$W,20,0)</f>
        <v>1</v>
      </c>
      <c r="BF53" s="15">
        <f t="shared" si="54"/>
        <v>0.92857142857142905</v>
      </c>
      <c r="BG53" s="7">
        <f>VLOOKUP(C53,'[2]5月汇总'!$C:$I,7,0)</f>
        <v>43.5045</v>
      </c>
      <c r="BH53" s="16">
        <f t="shared" si="55"/>
        <v>117.8304</v>
      </c>
      <c r="BI53" s="17">
        <f t="shared" si="56"/>
        <v>0.39276800000000001</v>
      </c>
      <c r="BJ53" s="20">
        <f>VLOOKUP(C53,[1]两年对比终版!$A:$W,23,0)</f>
        <v>6.7391420000000002</v>
      </c>
      <c r="BK53" s="15">
        <f t="shared" si="57"/>
        <v>0.94280642346966503</v>
      </c>
    </row>
    <row r="54" spans="1:63">
      <c r="A54" s="12">
        <v>46</v>
      </c>
      <c r="B54" s="12" t="s">
        <v>39</v>
      </c>
      <c r="C54" s="12" t="s">
        <v>78</v>
      </c>
      <c r="D54" s="13">
        <v>127</v>
      </c>
      <c r="E54" s="13">
        <v>39</v>
      </c>
      <c r="F54" s="14">
        <v>0.30708661417322802</v>
      </c>
      <c r="G54" s="13">
        <v>0</v>
      </c>
      <c r="H54" s="15">
        <f t="shared" si="44"/>
        <v>1</v>
      </c>
      <c r="I54" s="13">
        <v>980</v>
      </c>
      <c r="J54" s="13">
        <v>287.40300000000002</v>
      </c>
      <c r="K54" s="14">
        <v>0.29326836734693901</v>
      </c>
      <c r="L54" s="13">
        <v>0</v>
      </c>
      <c r="M54" s="15">
        <f t="shared" si="45"/>
        <v>1</v>
      </c>
      <c r="N54" s="13">
        <v>52.2</v>
      </c>
      <c r="O54" s="13">
        <v>26</v>
      </c>
      <c r="P54" s="14">
        <v>0.498084291187739</v>
      </c>
      <c r="Q54" s="13">
        <v>0</v>
      </c>
      <c r="R54" s="15">
        <f t="shared" si="46"/>
        <v>1</v>
      </c>
      <c r="S54" s="13">
        <v>400</v>
      </c>
      <c r="T54" s="13">
        <v>144.143</v>
      </c>
      <c r="U54" s="14">
        <v>0.3603575</v>
      </c>
      <c r="V54" s="13">
        <v>0</v>
      </c>
      <c r="W54" s="15">
        <f t="shared" si="47"/>
        <v>1</v>
      </c>
      <c r="X54" s="13">
        <v>52.2</v>
      </c>
      <c r="Y54" s="13">
        <v>6</v>
      </c>
      <c r="Z54" s="14">
        <v>0.114942528735632</v>
      </c>
      <c r="AA54" s="13">
        <v>0</v>
      </c>
      <c r="AB54" s="15">
        <f t="shared" si="48"/>
        <v>1</v>
      </c>
      <c r="AC54" s="13">
        <v>400</v>
      </c>
      <c r="AD54" s="13">
        <v>41.435699999999997</v>
      </c>
      <c r="AE54" s="14">
        <v>0.10358924999999999</v>
      </c>
      <c r="AF54" s="13">
        <v>0</v>
      </c>
      <c r="AG54" s="15">
        <f t="shared" si="49"/>
        <v>1</v>
      </c>
      <c r="AH54" s="7">
        <f>VLOOKUP(C54,'[2]5月汇总'!$C:$I,2,0)</f>
        <v>31</v>
      </c>
      <c r="AI54" s="16">
        <f t="shared" si="68"/>
        <v>70</v>
      </c>
      <c r="AJ54" s="17">
        <f t="shared" si="69"/>
        <v>0.55118110236220497</v>
      </c>
      <c r="AK54" s="18">
        <f>VLOOKUP(C54,[1]两年对比终版!$A:$C,3,0)</f>
        <v>0</v>
      </c>
      <c r="AL54" s="15">
        <f t="shared" si="50"/>
        <v>1</v>
      </c>
      <c r="AM54" s="7">
        <f>VLOOKUP(C54,'[2]5月汇总'!$C:$I,3,0)</f>
        <v>187.7</v>
      </c>
      <c r="AN54" s="16">
        <f t="shared" si="70"/>
        <v>475.10300000000001</v>
      </c>
      <c r="AO54" s="17">
        <f t="shared" si="71"/>
        <v>0.48479897959183699</v>
      </c>
      <c r="AP54" s="19">
        <f>VLOOKUP(C54,[1]两年对比终版!$A:$F,6,0)</f>
        <v>0</v>
      </c>
      <c r="AQ54" s="15">
        <f t="shared" si="51"/>
        <v>1</v>
      </c>
      <c r="AR54" s="7">
        <f>VLOOKUP(C54,'[2]5月汇总'!$C:$I,4,0)</f>
        <v>31</v>
      </c>
      <c r="AS54" s="16">
        <f t="shared" si="72"/>
        <v>57</v>
      </c>
      <c r="AT54" s="17">
        <f t="shared" si="73"/>
        <v>1.0919540229885101</v>
      </c>
      <c r="AU54" s="7">
        <f>VLOOKUP(C54,[1]两年对比终版!$A:$W,14,0)</f>
        <v>0</v>
      </c>
      <c r="AV54" s="15">
        <f t="shared" si="52"/>
        <v>1</v>
      </c>
      <c r="AW54" s="7">
        <f>VLOOKUP(C54,'[2]5月汇总'!$C:$I,5,0)</f>
        <v>187.7</v>
      </c>
      <c r="AX54" s="16">
        <f t="shared" si="74"/>
        <v>331.84300000000002</v>
      </c>
      <c r="AY54" s="17">
        <f t="shared" si="75"/>
        <v>0.82960750000000005</v>
      </c>
      <c r="AZ54" s="19">
        <f>VLOOKUP(C54,[1]两年对比终版!$A:$W,17,0)</f>
        <v>0</v>
      </c>
      <c r="BA54" s="15">
        <f t="shared" si="53"/>
        <v>1</v>
      </c>
      <c r="BB54" s="7">
        <f>VLOOKUP(C54,'[2]5月汇总'!$C:$I,6,0)</f>
        <v>20</v>
      </c>
      <c r="BC54" s="16">
        <f t="shared" si="76"/>
        <v>26</v>
      </c>
      <c r="BD54" s="17">
        <f t="shared" si="77"/>
        <v>0.498084291187739</v>
      </c>
      <c r="BE54" s="18">
        <f>VLOOKUP(C54,[1]两年对比终版!$A:$W,20,0)</f>
        <v>0</v>
      </c>
      <c r="BF54" s="15">
        <f t="shared" si="54"/>
        <v>1</v>
      </c>
      <c r="BG54" s="7">
        <f>VLOOKUP(C54,'[2]5月汇总'!$C:$I,7,0)</f>
        <v>102.23</v>
      </c>
      <c r="BH54" s="16">
        <f t="shared" si="55"/>
        <v>143.66569999999999</v>
      </c>
      <c r="BI54" s="17">
        <f t="shared" si="56"/>
        <v>0.35916425000000002</v>
      </c>
      <c r="BJ54" s="20">
        <f>VLOOKUP(C54,[1]两年对比终版!$A:$W,23,0)</f>
        <v>0</v>
      </c>
      <c r="BK54" s="15">
        <f t="shared" si="57"/>
        <v>1</v>
      </c>
    </row>
    <row r="55" spans="1:63">
      <c r="A55" s="12">
        <v>47</v>
      </c>
      <c r="B55" s="12" t="s">
        <v>34</v>
      </c>
      <c r="C55" s="12" t="s">
        <v>79</v>
      </c>
      <c r="D55" s="13">
        <v>73</v>
      </c>
      <c r="E55" s="13">
        <v>45</v>
      </c>
      <c r="F55" s="14">
        <v>0.61643835616438403</v>
      </c>
      <c r="G55" s="13">
        <v>12</v>
      </c>
      <c r="H55" s="15">
        <f t="shared" si="44"/>
        <v>0.73333333333333295</v>
      </c>
      <c r="I55" s="13">
        <v>816.66700000000003</v>
      </c>
      <c r="J55" s="13">
        <v>324.15600000000001</v>
      </c>
      <c r="K55" s="14">
        <v>0.39692555227528498</v>
      </c>
      <c r="L55" s="13">
        <v>98.328126999999995</v>
      </c>
      <c r="M55" s="15">
        <f t="shared" si="45"/>
        <v>0.69666417712459405</v>
      </c>
      <c r="N55" s="13">
        <v>31.5</v>
      </c>
      <c r="O55" s="13">
        <v>17</v>
      </c>
      <c r="P55" s="14">
        <v>0.53968253968253999</v>
      </c>
      <c r="Q55" s="13">
        <v>0</v>
      </c>
      <c r="R55" s="15">
        <f t="shared" si="46"/>
        <v>1</v>
      </c>
      <c r="S55" s="13">
        <v>350</v>
      </c>
      <c r="T55" s="13">
        <v>103.976</v>
      </c>
      <c r="U55" s="14">
        <v>0.29707428571428601</v>
      </c>
      <c r="V55" s="13">
        <v>0</v>
      </c>
      <c r="W55" s="15">
        <f t="shared" si="47"/>
        <v>1</v>
      </c>
      <c r="X55" s="13">
        <v>31.5</v>
      </c>
      <c r="Y55" s="13">
        <v>22</v>
      </c>
      <c r="Z55" s="14">
        <v>0.69841269841269804</v>
      </c>
      <c r="AA55" s="13">
        <v>0</v>
      </c>
      <c r="AB55" s="15">
        <f t="shared" si="48"/>
        <v>1</v>
      </c>
      <c r="AC55" s="13">
        <v>350</v>
      </c>
      <c r="AD55" s="13">
        <v>142.196</v>
      </c>
      <c r="AE55" s="14">
        <v>0.40627428571428598</v>
      </c>
      <c r="AF55" s="13">
        <v>0</v>
      </c>
      <c r="AG55" s="15">
        <f t="shared" si="49"/>
        <v>1</v>
      </c>
      <c r="AH55" s="7">
        <f>VLOOKUP(C55,'[2]5月汇总'!$C:$I,2,0)</f>
        <v>5</v>
      </c>
      <c r="AI55" s="16">
        <f t="shared" si="68"/>
        <v>50</v>
      </c>
      <c r="AJ55" s="17">
        <f t="shared" si="69"/>
        <v>0.68493150684931503</v>
      </c>
      <c r="AK55" s="18">
        <f>VLOOKUP(C55,[1]两年对比终版!$A:$C,3,0)</f>
        <v>57</v>
      </c>
      <c r="AL55" s="15">
        <f t="shared" si="50"/>
        <v>-0.14000000000000001</v>
      </c>
      <c r="AM55" s="7">
        <f>VLOOKUP(C55,'[2]5月汇总'!$C:$I,3,0)</f>
        <v>35</v>
      </c>
      <c r="AN55" s="16">
        <f t="shared" si="70"/>
        <v>359.15600000000001</v>
      </c>
      <c r="AO55" s="17">
        <f t="shared" si="71"/>
        <v>0.43978267763972301</v>
      </c>
      <c r="AP55" s="19">
        <f>VLOOKUP(C55,[1]两年对比终版!$A:$F,6,0)</f>
        <v>430.01145500000001</v>
      </c>
      <c r="AQ55" s="15">
        <f t="shared" si="51"/>
        <v>-0.197283227900968</v>
      </c>
      <c r="AR55" s="7">
        <f>VLOOKUP(C55,'[2]5月汇总'!$C:$I,4,0)</f>
        <v>7</v>
      </c>
      <c r="AS55" s="16">
        <f t="shared" si="72"/>
        <v>24</v>
      </c>
      <c r="AT55" s="17">
        <f t="shared" si="73"/>
        <v>0.76190476190476197</v>
      </c>
      <c r="AU55" s="7">
        <f>VLOOKUP(C55,[1]两年对比终版!$A:$W,14,0)</f>
        <v>2</v>
      </c>
      <c r="AV55" s="15">
        <f t="shared" si="52"/>
        <v>0.91666666666666696</v>
      </c>
      <c r="AW55" s="7">
        <f>VLOOKUP(C55,'[2]5月汇总'!$C:$I,5,0)</f>
        <v>48</v>
      </c>
      <c r="AX55" s="16">
        <f t="shared" si="74"/>
        <v>151.976</v>
      </c>
      <c r="AY55" s="17">
        <f t="shared" si="75"/>
        <v>0.43421714285714302</v>
      </c>
      <c r="AZ55" s="19">
        <f>VLOOKUP(C55,[1]两年对比终版!$A:$W,17,0)</f>
        <v>19.154128</v>
      </c>
      <c r="BA55" s="15">
        <f t="shared" si="53"/>
        <v>0.873966099910512</v>
      </c>
      <c r="BB55" s="7">
        <f>VLOOKUP(C55,'[2]5月汇总'!$C:$I,6,0)</f>
        <v>4</v>
      </c>
      <c r="BC55" s="16">
        <f t="shared" si="76"/>
        <v>26</v>
      </c>
      <c r="BD55" s="17">
        <f t="shared" si="77"/>
        <v>0.82539682539682502</v>
      </c>
      <c r="BE55" s="18">
        <f>VLOOKUP(C55,[1]两年对比终版!$A:$W,20,0)</f>
        <v>0</v>
      </c>
      <c r="BF55" s="15">
        <f t="shared" si="54"/>
        <v>1</v>
      </c>
      <c r="BG55" s="7">
        <f>VLOOKUP(C55,'[2]5月汇总'!$C:$I,7,0)</f>
        <v>24</v>
      </c>
      <c r="BH55" s="16">
        <f t="shared" si="55"/>
        <v>166.196</v>
      </c>
      <c r="BI55" s="17">
        <f t="shared" si="56"/>
        <v>0.47484571428571398</v>
      </c>
      <c r="BJ55" s="20">
        <f>VLOOKUP(C55,[1]两年对比终版!$A:$W,23,0)</f>
        <v>0</v>
      </c>
      <c r="BK55" s="15">
        <f t="shared" si="57"/>
        <v>1</v>
      </c>
    </row>
    <row r="56" spans="1:63">
      <c r="A56" s="12">
        <v>48</v>
      </c>
      <c r="B56" s="12" t="s">
        <v>39</v>
      </c>
      <c r="C56" s="12" t="s">
        <v>80</v>
      </c>
      <c r="D56" s="13">
        <v>44</v>
      </c>
      <c r="E56" s="13">
        <v>0</v>
      </c>
      <c r="F56" s="14">
        <v>0</v>
      </c>
      <c r="G56" s="13">
        <v>0</v>
      </c>
      <c r="H56" s="15" t="e">
        <f t="shared" si="44"/>
        <v>#DIV/0!</v>
      </c>
      <c r="I56" s="13">
        <v>490</v>
      </c>
      <c r="J56" s="13">
        <v>0</v>
      </c>
      <c r="K56" s="14">
        <v>0</v>
      </c>
      <c r="L56" s="13">
        <v>0</v>
      </c>
      <c r="M56" s="15" t="e">
        <f t="shared" si="45"/>
        <v>#DIV/0!</v>
      </c>
      <c r="N56" s="13">
        <v>20</v>
      </c>
      <c r="O56" s="13">
        <v>0</v>
      </c>
      <c r="P56" s="14">
        <v>0</v>
      </c>
      <c r="Q56" s="13">
        <v>0</v>
      </c>
      <c r="R56" s="15" t="e">
        <f t="shared" si="46"/>
        <v>#DIV/0!</v>
      </c>
      <c r="S56" s="13">
        <v>200</v>
      </c>
      <c r="T56" s="13">
        <v>0</v>
      </c>
      <c r="U56" s="14">
        <v>0</v>
      </c>
      <c r="V56" s="13">
        <v>0</v>
      </c>
      <c r="W56" s="15" t="e">
        <f t="shared" si="47"/>
        <v>#DIV/0!</v>
      </c>
      <c r="X56" s="13">
        <v>20</v>
      </c>
      <c r="Y56" s="13">
        <v>0</v>
      </c>
      <c r="Z56" s="14">
        <v>0</v>
      </c>
      <c r="AA56" s="13">
        <v>0</v>
      </c>
      <c r="AB56" s="15" t="e">
        <f t="shared" si="48"/>
        <v>#DIV/0!</v>
      </c>
      <c r="AC56" s="13">
        <v>200</v>
      </c>
      <c r="AD56" s="13">
        <v>0</v>
      </c>
      <c r="AE56" s="14">
        <v>0</v>
      </c>
      <c r="AF56" s="13">
        <v>0</v>
      </c>
      <c r="AG56" s="15" t="e">
        <f t="shared" si="49"/>
        <v>#DIV/0!</v>
      </c>
      <c r="AH56" s="7">
        <f>VLOOKUP(C56,'[2]5月汇总'!$C:$I,2,0)</f>
        <v>0</v>
      </c>
      <c r="AI56" s="16">
        <f t="shared" si="68"/>
        <v>0</v>
      </c>
      <c r="AJ56" s="17">
        <f t="shared" si="69"/>
        <v>0</v>
      </c>
      <c r="AK56" s="18">
        <f>VLOOKUP(C56,[1]两年对比终版!$A:$C,3,0)</f>
        <v>0</v>
      </c>
      <c r="AL56" s="15" t="e">
        <f t="shared" si="50"/>
        <v>#DIV/0!</v>
      </c>
      <c r="AM56" s="7">
        <f>VLOOKUP(C56,'[2]5月汇总'!$C:$I,3,0)</f>
        <v>0</v>
      </c>
      <c r="AN56" s="16">
        <f t="shared" si="70"/>
        <v>0</v>
      </c>
      <c r="AO56" s="17">
        <f t="shared" si="71"/>
        <v>0</v>
      </c>
      <c r="AP56" s="19">
        <f>VLOOKUP(C56,[1]两年对比终版!$A:$F,6,0)</f>
        <v>0</v>
      </c>
      <c r="AQ56" s="15" t="e">
        <f t="shared" si="51"/>
        <v>#DIV/0!</v>
      </c>
      <c r="AR56" s="7">
        <f>VLOOKUP(C56,'[2]5月汇总'!$C:$I,4,0)</f>
        <v>0</v>
      </c>
      <c r="AS56" s="16">
        <f t="shared" si="72"/>
        <v>0</v>
      </c>
      <c r="AT56" s="17">
        <f t="shared" si="73"/>
        <v>0</v>
      </c>
      <c r="AU56" s="7">
        <f>VLOOKUP(C56,[1]两年对比终版!$A:$W,14,0)</f>
        <v>0</v>
      </c>
      <c r="AV56" s="15" t="e">
        <f t="shared" si="52"/>
        <v>#DIV/0!</v>
      </c>
      <c r="AW56" s="7">
        <f>VLOOKUP(C56,'[2]5月汇总'!$C:$I,5,0)</f>
        <v>0</v>
      </c>
      <c r="AX56" s="16">
        <f t="shared" si="74"/>
        <v>0</v>
      </c>
      <c r="AY56" s="17">
        <f t="shared" si="75"/>
        <v>0</v>
      </c>
      <c r="AZ56" s="19">
        <f>VLOOKUP(C56,[1]两年对比终版!$A:$W,17,0)</f>
        <v>0</v>
      </c>
      <c r="BA56" s="15" t="e">
        <f t="shared" si="53"/>
        <v>#DIV/0!</v>
      </c>
      <c r="BB56" s="7">
        <f>VLOOKUP(C56,'[2]5月汇总'!$C:$I,6,0)</f>
        <v>0</v>
      </c>
      <c r="BC56" s="16">
        <f t="shared" si="76"/>
        <v>0</v>
      </c>
      <c r="BD56" s="17">
        <f t="shared" si="77"/>
        <v>0</v>
      </c>
      <c r="BE56" s="18">
        <f>VLOOKUP(C56,[1]两年对比终版!$A:$W,20,0)</f>
        <v>0</v>
      </c>
      <c r="BF56" s="15" t="e">
        <f t="shared" si="54"/>
        <v>#DIV/0!</v>
      </c>
      <c r="BG56" s="7">
        <f>VLOOKUP(C56,'[2]5月汇总'!$C:$I,7,0)</f>
        <v>0</v>
      </c>
      <c r="BH56" s="16">
        <f t="shared" si="55"/>
        <v>0</v>
      </c>
      <c r="BI56" s="17">
        <f t="shared" si="56"/>
        <v>0</v>
      </c>
      <c r="BJ56" s="20">
        <f>VLOOKUP(C56,[1]两年对比终版!$A:$W,23,0)</f>
        <v>0</v>
      </c>
      <c r="BK56" s="15" t="e">
        <f t="shared" si="57"/>
        <v>#DIV/0!</v>
      </c>
    </row>
    <row r="57" spans="1:63" s="4" customFormat="1">
      <c r="A57" s="93" t="s">
        <v>81</v>
      </c>
      <c r="B57" s="94"/>
      <c r="C57" s="94"/>
      <c r="D57" s="21">
        <v>1339</v>
      </c>
      <c r="E57" s="21">
        <v>388</v>
      </c>
      <c r="F57" s="22">
        <v>0.28976848394324101</v>
      </c>
      <c r="G57" s="21">
        <v>340</v>
      </c>
      <c r="H57" s="23">
        <f t="shared" si="44"/>
        <v>0.123711340206186</v>
      </c>
      <c r="I57" s="21">
        <v>13439.847</v>
      </c>
      <c r="J57" s="21">
        <v>3170.8049999999998</v>
      </c>
      <c r="K57" s="22">
        <v>0.235925676832482</v>
      </c>
      <c r="L57" s="21">
        <v>3378.3822279999999</v>
      </c>
      <c r="M57" s="23">
        <f t="shared" si="45"/>
        <v>-6.5465150963241195E-2</v>
      </c>
      <c r="N57" s="21">
        <v>553.70000000000005</v>
      </c>
      <c r="O57" s="21">
        <v>174</v>
      </c>
      <c r="P57" s="22">
        <v>0.314249593642767</v>
      </c>
      <c r="Q57" s="21">
        <v>69</v>
      </c>
      <c r="R57" s="23">
        <f t="shared" si="46"/>
        <v>0.60344827586206895</v>
      </c>
      <c r="S57" s="21">
        <v>5504</v>
      </c>
      <c r="T57" s="21">
        <v>1321.0917999999999</v>
      </c>
      <c r="U57" s="22">
        <v>0.24002394622093001</v>
      </c>
      <c r="V57" s="21">
        <v>704.10823900000003</v>
      </c>
      <c r="W57" s="23">
        <f t="shared" si="47"/>
        <v>0.46702550193711001</v>
      </c>
      <c r="X57" s="21">
        <v>553.70000000000005</v>
      </c>
      <c r="Y57" s="21">
        <v>69</v>
      </c>
      <c r="Z57" s="22">
        <v>0.124616218168683</v>
      </c>
      <c r="AA57" s="21">
        <v>55</v>
      </c>
      <c r="AB57" s="23">
        <f t="shared" si="48"/>
        <v>0.202898550724638</v>
      </c>
      <c r="AC57" s="21">
        <v>5504</v>
      </c>
      <c r="AD57" s="21">
        <v>557.96659999999997</v>
      </c>
      <c r="AE57" s="22">
        <v>0.101374745639535</v>
      </c>
      <c r="AF57" s="21">
        <v>662.60901699999999</v>
      </c>
      <c r="AG57" s="23">
        <f t="shared" si="49"/>
        <v>-0.18754243892017899</v>
      </c>
      <c r="AH57" s="21">
        <f>SUM(AH49:AH56)</f>
        <v>144</v>
      </c>
      <c r="AI57" s="24">
        <f>AH57+E57</f>
        <v>532</v>
      </c>
      <c r="AJ57" s="25">
        <f t="shared" si="69"/>
        <v>0.39731142643764</v>
      </c>
      <c r="AK57" s="21">
        <f>SUM(AK49:AK56)</f>
        <v>633</v>
      </c>
      <c r="AL57" s="23">
        <f t="shared" si="50"/>
        <v>-0.18984962406014999</v>
      </c>
      <c r="AM57" s="21">
        <f>SUM(AM49:AM56)</f>
        <v>1161.4998000000001</v>
      </c>
      <c r="AN57" s="24">
        <f t="shared" si="70"/>
        <v>4332.3047999999999</v>
      </c>
      <c r="AO57" s="25">
        <f t="shared" si="71"/>
        <v>0.322347776726923</v>
      </c>
      <c r="AP57" s="21">
        <f>SUM(AP49:AP56)</f>
        <v>6443.758495</v>
      </c>
      <c r="AQ57" s="23">
        <f t="shared" si="51"/>
        <v>-0.48737422514685402</v>
      </c>
      <c r="AR57" s="21">
        <f>SUM(AR49:AR56)</f>
        <v>108</v>
      </c>
      <c r="AS57" s="24">
        <f t="shared" si="72"/>
        <v>282</v>
      </c>
      <c r="AT57" s="25">
        <f t="shared" si="73"/>
        <v>0.50930106555896704</v>
      </c>
      <c r="AU57" s="21">
        <f>SUM(AU49:AU56)</f>
        <v>110</v>
      </c>
      <c r="AV57" s="23">
        <f t="shared" si="52"/>
        <v>0.60992907801418395</v>
      </c>
      <c r="AW57" s="21">
        <f>SUM(AW49:AW56)</f>
        <v>788.20450000000005</v>
      </c>
      <c r="AX57" s="24">
        <f t="shared" si="74"/>
        <v>2109.2963</v>
      </c>
      <c r="AY57" s="25">
        <f t="shared" si="75"/>
        <v>0.38322970566860498</v>
      </c>
      <c r="AZ57" s="21">
        <f>SUM(AZ49:AZ56)</f>
        <v>1069.399533</v>
      </c>
      <c r="BA57" s="23">
        <f t="shared" si="53"/>
        <v>0.49300649083772602</v>
      </c>
      <c r="BB57" s="21">
        <f>SUM(BB49:BB56)</f>
        <v>102</v>
      </c>
      <c r="BC57" s="24">
        <f t="shared" si="76"/>
        <v>171</v>
      </c>
      <c r="BD57" s="25">
        <f t="shared" si="77"/>
        <v>0.30883149720065001</v>
      </c>
      <c r="BE57" s="21">
        <f>SUM(BE49:BE56)</f>
        <v>88</v>
      </c>
      <c r="BF57" s="23">
        <f t="shared" si="54"/>
        <v>0.48538011695906402</v>
      </c>
      <c r="BG57" s="21">
        <f>SUM(BG49:BG56)</f>
        <v>768.73450000000003</v>
      </c>
      <c r="BH57" s="24">
        <f t="shared" si="55"/>
        <v>1326.7011</v>
      </c>
      <c r="BI57" s="25">
        <f t="shared" si="56"/>
        <v>0.24104307776162801</v>
      </c>
      <c r="BJ57" s="21">
        <f>SUM(BJ49:BJ56)</f>
        <v>937.54954399999997</v>
      </c>
      <c r="BK57" s="23">
        <f t="shared" si="57"/>
        <v>0.293322705468474</v>
      </c>
    </row>
    <row r="58" spans="1:63">
      <c r="A58" s="12">
        <v>49</v>
      </c>
      <c r="B58" s="12" t="s">
        <v>25</v>
      </c>
      <c r="C58" s="12" t="s">
        <v>82</v>
      </c>
      <c r="D58" s="13">
        <v>450</v>
      </c>
      <c r="E58" s="13">
        <v>127</v>
      </c>
      <c r="F58" s="14">
        <v>0.28222222222222199</v>
      </c>
      <c r="G58" s="13">
        <v>155</v>
      </c>
      <c r="H58" s="15">
        <f t="shared" si="44"/>
        <v>-0.220472440944882</v>
      </c>
      <c r="I58" s="13">
        <v>6270</v>
      </c>
      <c r="J58" s="13">
        <v>2436.06</v>
      </c>
      <c r="K58" s="14">
        <v>0.388526315789474</v>
      </c>
      <c r="L58" s="13">
        <v>2339.779462</v>
      </c>
      <c r="M58" s="15">
        <f t="shared" si="45"/>
        <v>3.9523056903360297E-2</v>
      </c>
      <c r="N58" s="13">
        <v>210</v>
      </c>
      <c r="O58" s="13">
        <v>85</v>
      </c>
      <c r="P58" s="14">
        <v>0.40476190476190499</v>
      </c>
      <c r="Q58" s="13">
        <v>36</v>
      </c>
      <c r="R58" s="15">
        <f t="shared" si="46"/>
        <v>0.57647058823529396</v>
      </c>
      <c r="S58" s="13">
        <v>3050</v>
      </c>
      <c r="T58" s="13">
        <v>1224.1199999999999</v>
      </c>
      <c r="U58" s="14">
        <v>0.40135081967213099</v>
      </c>
      <c r="V58" s="13">
        <v>459.62634600000001</v>
      </c>
      <c r="W58" s="15">
        <f t="shared" si="47"/>
        <v>0.62452509067738404</v>
      </c>
      <c r="X58" s="13">
        <v>210</v>
      </c>
      <c r="Y58" s="13">
        <v>79</v>
      </c>
      <c r="Z58" s="14">
        <v>0.37619047619047602</v>
      </c>
      <c r="AA58" s="13">
        <v>34</v>
      </c>
      <c r="AB58" s="15">
        <f t="shared" si="48"/>
        <v>0.569620253164557</v>
      </c>
      <c r="AC58" s="13">
        <v>3050</v>
      </c>
      <c r="AD58" s="13">
        <v>1152.56</v>
      </c>
      <c r="AE58" s="14">
        <v>0.37788852459016398</v>
      </c>
      <c r="AF58" s="13">
        <v>436.42347999999998</v>
      </c>
      <c r="AG58" s="15">
        <f t="shared" si="49"/>
        <v>0.621344242382175</v>
      </c>
      <c r="AH58" s="7">
        <f>VLOOKUP(C58,'[2]5月汇总'!$C:$I,2,0)</f>
        <v>18</v>
      </c>
      <c r="AI58" s="16">
        <f>E58+AH58</f>
        <v>145</v>
      </c>
      <c r="AJ58" s="17">
        <f t="shared" si="69"/>
        <v>0.32222222222222202</v>
      </c>
      <c r="AK58" s="18">
        <f>VLOOKUP(C58,[1]两年对比终版!$A:$C,3,0)</f>
        <v>205</v>
      </c>
      <c r="AL58" s="15">
        <f t="shared" si="50"/>
        <v>-0.41379310344827602</v>
      </c>
      <c r="AM58" s="7">
        <f>VLOOKUP(C58,'[2]5月汇总'!$C:$I,3,0)</f>
        <v>394</v>
      </c>
      <c r="AN58" s="16">
        <f t="shared" si="70"/>
        <v>2830.06</v>
      </c>
      <c r="AO58" s="17">
        <f t="shared" si="71"/>
        <v>0.45136523125996802</v>
      </c>
      <c r="AP58" s="19">
        <f>VLOOKUP(C58,[1]两年对比终版!$A:$F,6,0)</f>
        <v>3027.8659160000002</v>
      </c>
      <c r="AQ58" s="15">
        <f t="shared" si="51"/>
        <v>-6.9894601527882599E-2</v>
      </c>
      <c r="AR58" s="7">
        <f>VLOOKUP(C58,'[2]5月汇总'!$C:$I,4,0)</f>
        <v>17</v>
      </c>
      <c r="AS58" s="16">
        <f t="shared" si="72"/>
        <v>102</v>
      </c>
      <c r="AT58" s="17">
        <f t="shared" si="73"/>
        <v>0.48571428571428599</v>
      </c>
      <c r="AU58" s="7">
        <f>VLOOKUP(C58,[1]两年对比终版!$A:$W,14,0)</f>
        <v>61</v>
      </c>
      <c r="AV58" s="15">
        <f t="shared" si="52"/>
        <v>0.40196078431372601</v>
      </c>
      <c r="AW58" s="7">
        <f>VLOOKUP(C58,'[2]5月汇总'!$C:$I,5,0)</f>
        <v>239.64500000000001</v>
      </c>
      <c r="AX58" s="16">
        <f t="shared" si="74"/>
        <v>1463.7650000000001</v>
      </c>
      <c r="AY58" s="17">
        <f t="shared" si="75"/>
        <v>0.47992295081967201</v>
      </c>
      <c r="AZ58" s="19">
        <f>VLOOKUP(C58,[1]两年对比终版!$A:$W,17,0)</f>
        <v>919.33171900000002</v>
      </c>
      <c r="BA58" s="15">
        <f t="shared" si="53"/>
        <v>0.37194035996215202</v>
      </c>
      <c r="BB58" s="7">
        <f>VLOOKUP(C58,'[2]5月汇总'!$C:$I,6,0)</f>
        <v>12</v>
      </c>
      <c r="BC58" s="16">
        <f t="shared" si="76"/>
        <v>91</v>
      </c>
      <c r="BD58" s="17">
        <f t="shared" si="77"/>
        <v>0.43333333333333302</v>
      </c>
      <c r="BE58" s="18">
        <f>VLOOKUP(C58,[1]两年对比终版!$A:$W,20,0)</f>
        <v>38</v>
      </c>
      <c r="BF58" s="15">
        <f t="shared" si="54"/>
        <v>0.58241758241758201</v>
      </c>
      <c r="BG58" s="7">
        <f>VLOOKUP(C58,'[2]5月汇总'!$C:$I,7,0)</f>
        <v>124</v>
      </c>
      <c r="BH58" s="16">
        <f t="shared" si="55"/>
        <v>1276.56</v>
      </c>
      <c r="BI58" s="17">
        <f t="shared" si="56"/>
        <v>0.41854426229508201</v>
      </c>
      <c r="BJ58" s="20">
        <f>VLOOKUP(C58,[1]两年对比终版!$A:$W,23,0)</f>
        <v>490.77310799999998</v>
      </c>
      <c r="BK58" s="15">
        <f t="shared" si="57"/>
        <v>0.61555030080842299</v>
      </c>
    </row>
    <row r="59" spans="1:63">
      <c r="A59" s="12">
        <v>50</v>
      </c>
      <c r="B59" s="12" t="s">
        <v>25</v>
      </c>
      <c r="C59" s="12" t="s">
        <v>83</v>
      </c>
      <c r="D59" s="13">
        <v>450</v>
      </c>
      <c r="E59" s="13">
        <v>142</v>
      </c>
      <c r="F59" s="14">
        <v>0.31555555555555498</v>
      </c>
      <c r="G59" s="13">
        <v>103</v>
      </c>
      <c r="H59" s="15">
        <f t="shared" si="44"/>
        <v>0.27464788732394402</v>
      </c>
      <c r="I59" s="13">
        <v>6270</v>
      </c>
      <c r="J59" s="13">
        <v>2699.57</v>
      </c>
      <c r="K59" s="14">
        <v>0.43055342902711302</v>
      </c>
      <c r="L59" s="13">
        <v>1822.4759409999999</v>
      </c>
      <c r="M59" s="15">
        <f t="shared" si="45"/>
        <v>0.32490139503698701</v>
      </c>
      <c r="N59" s="13">
        <v>210</v>
      </c>
      <c r="O59" s="13">
        <v>74</v>
      </c>
      <c r="P59" s="14">
        <v>0.35238095238095202</v>
      </c>
      <c r="Q59" s="13">
        <v>62</v>
      </c>
      <c r="R59" s="15">
        <f t="shared" si="46"/>
        <v>0.162162162162162</v>
      </c>
      <c r="S59" s="13">
        <v>3050</v>
      </c>
      <c r="T59" s="13">
        <v>1054.17</v>
      </c>
      <c r="U59" s="14">
        <v>0.345629508196721</v>
      </c>
      <c r="V59" s="13">
        <v>884.78560200000004</v>
      </c>
      <c r="W59" s="15">
        <f t="shared" si="47"/>
        <v>0.16068034377756901</v>
      </c>
      <c r="X59" s="13">
        <v>210</v>
      </c>
      <c r="Y59" s="13">
        <v>60</v>
      </c>
      <c r="Z59" s="14">
        <v>0.28571428571428598</v>
      </c>
      <c r="AA59" s="13">
        <v>51</v>
      </c>
      <c r="AB59" s="15">
        <f t="shared" si="48"/>
        <v>0.15</v>
      </c>
      <c r="AC59" s="13">
        <v>3050</v>
      </c>
      <c r="AD59" s="13">
        <v>762.80399999999997</v>
      </c>
      <c r="AE59" s="14">
        <v>0.25009967213114698</v>
      </c>
      <c r="AF59" s="13">
        <v>729.53355499999998</v>
      </c>
      <c r="AG59" s="15">
        <f t="shared" si="49"/>
        <v>4.3615981300569998E-2</v>
      </c>
      <c r="AH59" s="7">
        <f>VLOOKUP(C59,'[2]5月汇总'!$C:$I,2,0)</f>
        <v>18</v>
      </c>
      <c r="AI59" s="16">
        <f t="shared" ref="AI59:AI66" si="78">E59+AH59</f>
        <v>160</v>
      </c>
      <c r="AJ59" s="17">
        <f t="shared" ref="AJ59:AJ78" si="79">AI59/D59</f>
        <v>0.35555555555555601</v>
      </c>
      <c r="AK59" s="18">
        <f>VLOOKUP(C59,[1]两年对比终版!$A:$C,3,0)</f>
        <v>210</v>
      </c>
      <c r="AL59" s="15">
        <f t="shared" si="50"/>
        <v>-0.3125</v>
      </c>
      <c r="AM59" s="7">
        <f>VLOOKUP(C59,'[2]5月汇总'!$C:$I,3,0)</f>
        <v>394</v>
      </c>
      <c r="AN59" s="16">
        <f t="shared" ref="AN59:AN76" si="80">AM59+J59</f>
        <v>3093.57</v>
      </c>
      <c r="AO59" s="17">
        <f t="shared" ref="AO59:AO76" si="81">AN59/I59</f>
        <v>0.49339234449760799</v>
      </c>
      <c r="AP59" s="19">
        <f>VLOOKUP(C59,[1]两年对比终版!$A:$F,6,0)</f>
        <v>4168.0500819999997</v>
      </c>
      <c r="AQ59" s="15">
        <f t="shared" si="51"/>
        <v>-0.34732690128233701</v>
      </c>
      <c r="AR59" s="7">
        <f>VLOOKUP(C59,'[2]5月汇总'!$C:$I,4,0)</f>
        <v>16</v>
      </c>
      <c r="AS59" s="16">
        <f t="shared" ref="AS59:AS76" si="82">AR59+O59</f>
        <v>90</v>
      </c>
      <c r="AT59" s="17">
        <f t="shared" ref="AT59:AT76" si="83">AS59/N59</f>
        <v>0.42857142857142899</v>
      </c>
      <c r="AU59" s="7">
        <f>VLOOKUP(C59,[1]两年对比终版!$A:$W,14,0)</f>
        <v>90</v>
      </c>
      <c r="AV59" s="15">
        <f t="shared" si="52"/>
        <v>0</v>
      </c>
      <c r="AW59" s="7">
        <f>VLOOKUP(C59,'[2]5月汇总'!$C:$I,5,0)</f>
        <v>239.64500000000001</v>
      </c>
      <c r="AX59" s="16">
        <f t="shared" ref="AX59:AX76" si="84">AW59+T59</f>
        <v>1293.8150000000001</v>
      </c>
      <c r="AY59" s="17">
        <f t="shared" ref="AY59:AY76" si="85">AX59/S59</f>
        <v>0.42420163934426203</v>
      </c>
      <c r="AZ59" s="19">
        <f>VLOOKUP(C59,[1]两年对比终版!$A:$W,17,0)</f>
        <v>1491.4457580000001</v>
      </c>
      <c r="BA59" s="15">
        <f t="shared" si="53"/>
        <v>-0.152750399400223</v>
      </c>
      <c r="BB59" s="7">
        <f>VLOOKUP(C59,'[2]5月汇总'!$C:$I,6,0)</f>
        <v>11</v>
      </c>
      <c r="BC59" s="16">
        <f t="shared" ref="BC59:BC76" si="86">BB59+Y59</f>
        <v>71</v>
      </c>
      <c r="BD59" s="17">
        <f t="shared" ref="BD59:BD76" si="87">BC59/X59</f>
        <v>0.338095238095238</v>
      </c>
      <c r="BE59" s="18">
        <f>VLOOKUP(C59,[1]两年对比终版!$A:$W,20,0)</f>
        <v>67</v>
      </c>
      <c r="BF59" s="15">
        <f t="shared" si="54"/>
        <v>5.63380281690141E-2</v>
      </c>
      <c r="BG59" s="7">
        <f>VLOOKUP(C59,'[2]5月汇总'!$C:$I,7,0)</f>
        <v>124</v>
      </c>
      <c r="BH59" s="16">
        <f t="shared" si="55"/>
        <v>886.80399999999997</v>
      </c>
      <c r="BI59" s="17">
        <f t="shared" si="56"/>
        <v>0.29075540983606601</v>
      </c>
      <c r="BJ59" s="20">
        <f>VLOOKUP(C59,[1]两年对比终版!$A:$W,23,0)</f>
        <v>931.40596400000004</v>
      </c>
      <c r="BK59" s="15">
        <f t="shared" si="57"/>
        <v>-5.0295176837272297E-2</v>
      </c>
    </row>
    <row r="60" spans="1:63">
      <c r="A60" s="12">
        <v>51</v>
      </c>
      <c r="B60" s="12" t="s">
        <v>34</v>
      </c>
      <c r="C60" s="12" t="s">
        <v>84</v>
      </c>
      <c r="D60" s="13">
        <v>100</v>
      </c>
      <c r="E60" s="13">
        <v>24</v>
      </c>
      <c r="F60" s="14">
        <v>0.24</v>
      </c>
      <c r="G60" s="13">
        <v>14</v>
      </c>
      <c r="H60" s="15">
        <f t="shared" si="44"/>
        <v>0.41666666666666702</v>
      </c>
      <c r="I60" s="13">
        <v>1390</v>
      </c>
      <c r="J60" s="13">
        <v>300.29700000000003</v>
      </c>
      <c r="K60" s="14">
        <v>0.21604100719424499</v>
      </c>
      <c r="L60" s="13">
        <v>193.90317899999999</v>
      </c>
      <c r="M60" s="15">
        <f t="shared" si="45"/>
        <v>0.35429531763554101</v>
      </c>
      <c r="N60" s="13">
        <v>35</v>
      </c>
      <c r="O60" s="13">
        <v>8</v>
      </c>
      <c r="P60" s="14">
        <v>0.22857142857142901</v>
      </c>
      <c r="Q60" s="13">
        <v>0</v>
      </c>
      <c r="R60" s="15">
        <f t="shared" si="46"/>
        <v>1</v>
      </c>
      <c r="S60" s="13">
        <v>410</v>
      </c>
      <c r="T60" s="13">
        <v>99.284800000000004</v>
      </c>
      <c r="U60" s="14">
        <v>0.24215804878048799</v>
      </c>
      <c r="V60" s="13">
        <v>0</v>
      </c>
      <c r="W60" s="15">
        <f t="shared" si="47"/>
        <v>1</v>
      </c>
      <c r="X60" s="13">
        <v>35</v>
      </c>
      <c r="Y60" s="13">
        <v>2</v>
      </c>
      <c r="Z60" s="14">
        <v>5.7142857142857099E-2</v>
      </c>
      <c r="AA60" s="13">
        <v>0</v>
      </c>
      <c r="AB60" s="15">
        <f t="shared" si="48"/>
        <v>1</v>
      </c>
      <c r="AC60" s="13">
        <v>410</v>
      </c>
      <c r="AD60" s="13">
        <v>26.889600000000002</v>
      </c>
      <c r="AE60" s="14">
        <v>6.5584390243902405E-2</v>
      </c>
      <c r="AF60" s="13">
        <v>0</v>
      </c>
      <c r="AG60" s="15">
        <f t="shared" si="49"/>
        <v>1</v>
      </c>
      <c r="AH60" s="7">
        <f>VLOOKUP(C60,'[2]5月汇总'!$C:$I,2,0)</f>
        <v>12</v>
      </c>
      <c r="AI60" s="16">
        <f t="shared" si="78"/>
        <v>36</v>
      </c>
      <c r="AJ60" s="17">
        <f t="shared" si="79"/>
        <v>0.36</v>
      </c>
      <c r="AK60" s="18">
        <f>VLOOKUP(C60,[1]两年对比终版!$A:$C,3,0)</f>
        <v>40</v>
      </c>
      <c r="AL60" s="15">
        <f t="shared" si="50"/>
        <v>-0.11111111111111099</v>
      </c>
      <c r="AM60" s="7">
        <f>VLOOKUP(C60,'[2]5月汇总'!$C:$I,3,0)</f>
        <v>156</v>
      </c>
      <c r="AN60" s="16">
        <f t="shared" si="80"/>
        <v>456.29700000000003</v>
      </c>
      <c r="AO60" s="17">
        <f t="shared" si="81"/>
        <v>0.32827122302158301</v>
      </c>
      <c r="AP60" s="19">
        <f>VLOOKUP(C60,[1]两年对比终版!$A:$F,6,0)</f>
        <v>715.240905</v>
      </c>
      <c r="AQ60" s="15">
        <f t="shared" si="51"/>
        <v>-0.56748982570562501</v>
      </c>
      <c r="AR60" s="7">
        <f>VLOOKUP(C60,'[2]5月汇总'!$C:$I,4,0)</f>
        <v>4</v>
      </c>
      <c r="AS60" s="16">
        <f t="shared" si="82"/>
        <v>12</v>
      </c>
      <c r="AT60" s="17">
        <f t="shared" si="83"/>
        <v>0.34285714285714303</v>
      </c>
      <c r="AU60" s="7">
        <f>VLOOKUP(C60,[1]两年对比终版!$A:$W,14,0)</f>
        <v>1</v>
      </c>
      <c r="AV60" s="15">
        <f t="shared" si="52"/>
        <v>0.91666666666666696</v>
      </c>
      <c r="AW60" s="7">
        <f>VLOOKUP(C60,'[2]5月汇总'!$C:$I,5,0)</f>
        <v>48</v>
      </c>
      <c r="AX60" s="16">
        <f t="shared" si="84"/>
        <v>147.28479999999999</v>
      </c>
      <c r="AY60" s="17">
        <f t="shared" si="85"/>
        <v>0.359231219512195</v>
      </c>
      <c r="AZ60" s="19">
        <f>VLOOKUP(C60,[1]两年对比终版!$A:$W,17,0)</f>
        <v>9.1833600000000004</v>
      </c>
      <c r="BA60" s="15">
        <f t="shared" si="53"/>
        <v>0.93764896309734602</v>
      </c>
      <c r="BB60" s="7">
        <f>VLOOKUP(C60,'[2]5月汇总'!$C:$I,6,0)</f>
        <v>5</v>
      </c>
      <c r="BC60" s="16">
        <f t="shared" si="86"/>
        <v>7</v>
      </c>
      <c r="BD60" s="17">
        <f t="shared" si="87"/>
        <v>0.2</v>
      </c>
      <c r="BE60" s="18">
        <f>VLOOKUP(C60,[1]两年对比终版!$A:$W,20,0)</f>
        <v>1</v>
      </c>
      <c r="BF60" s="15">
        <f t="shared" si="54"/>
        <v>0.85714285714285698</v>
      </c>
      <c r="BG60" s="7">
        <f>VLOOKUP(C60,'[2]5月汇总'!$C:$I,7,0)</f>
        <v>65</v>
      </c>
      <c r="BH60" s="16">
        <f t="shared" si="55"/>
        <v>91.889600000000002</v>
      </c>
      <c r="BI60" s="17">
        <f t="shared" si="56"/>
        <v>0.224120975609756</v>
      </c>
      <c r="BJ60" s="20">
        <f>VLOOKUP(C60,[1]两年对比终版!$A:$W,23,0)</f>
        <v>16.065435999999998</v>
      </c>
      <c r="BK60" s="15">
        <f t="shared" si="57"/>
        <v>0.82516589472584501</v>
      </c>
    </row>
    <row r="61" spans="1:63">
      <c r="A61" s="12">
        <v>52</v>
      </c>
      <c r="B61" s="12" t="s">
        <v>34</v>
      </c>
      <c r="C61" s="12" t="s">
        <v>85</v>
      </c>
      <c r="D61" s="13">
        <v>120</v>
      </c>
      <c r="E61" s="13">
        <v>38</v>
      </c>
      <c r="F61" s="14">
        <v>0.31666666666666698</v>
      </c>
      <c r="G61" s="13">
        <v>30</v>
      </c>
      <c r="H61" s="15">
        <f t="shared" si="44"/>
        <v>0.21052631578947401</v>
      </c>
      <c r="I61" s="13">
        <v>1670</v>
      </c>
      <c r="J61" s="13">
        <v>529.26199999999994</v>
      </c>
      <c r="K61" s="14">
        <v>0.31692335329341298</v>
      </c>
      <c r="L61" s="13">
        <v>295.485749</v>
      </c>
      <c r="M61" s="15">
        <f t="shared" si="45"/>
        <v>0.441702315677302</v>
      </c>
      <c r="N61" s="13">
        <v>40</v>
      </c>
      <c r="O61" s="13">
        <v>13</v>
      </c>
      <c r="P61" s="14">
        <v>0.32500000000000001</v>
      </c>
      <c r="Q61" s="13">
        <v>5</v>
      </c>
      <c r="R61" s="15">
        <f t="shared" si="46"/>
        <v>0.61538461538461497</v>
      </c>
      <c r="S61" s="13">
        <v>480</v>
      </c>
      <c r="T61" s="13">
        <v>172.88</v>
      </c>
      <c r="U61" s="14">
        <v>0.36016666666666702</v>
      </c>
      <c r="V61" s="13">
        <v>50.763553999999999</v>
      </c>
      <c r="W61" s="15">
        <f t="shared" si="47"/>
        <v>0.70636537482646899</v>
      </c>
      <c r="X61" s="13">
        <v>40</v>
      </c>
      <c r="Y61" s="13">
        <v>7</v>
      </c>
      <c r="Z61" s="14">
        <v>0.17499999999999999</v>
      </c>
      <c r="AA61" s="13">
        <v>2</v>
      </c>
      <c r="AB61" s="15">
        <f t="shared" si="48"/>
        <v>0.71428571428571397</v>
      </c>
      <c r="AC61" s="13">
        <v>480</v>
      </c>
      <c r="AD61" s="13">
        <v>121.627</v>
      </c>
      <c r="AE61" s="14">
        <v>0.253389583333333</v>
      </c>
      <c r="AF61" s="13">
        <v>23.000250000000001</v>
      </c>
      <c r="AG61" s="15">
        <f t="shared" si="49"/>
        <v>0.81089519596799997</v>
      </c>
      <c r="AH61" s="7">
        <f>VLOOKUP(C61,'[2]5月汇总'!$C:$I,2,0)</f>
        <v>10</v>
      </c>
      <c r="AI61" s="16">
        <f t="shared" si="78"/>
        <v>48</v>
      </c>
      <c r="AJ61" s="17">
        <f t="shared" si="79"/>
        <v>0.4</v>
      </c>
      <c r="AK61" s="18">
        <f>VLOOKUP(C61,[1]两年对比终版!$A:$C,3,0)</f>
        <v>60</v>
      </c>
      <c r="AL61" s="15">
        <f t="shared" si="50"/>
        <v>-0.25</v>
      </c>
      <c r="AM61" s="7">
        <f>VLOOKUP(C61,'[2]5月汇总'!$C:$I,3,0)</f>
        <v>140</v>
      </c>
      <c r="AN61" s="16">
        <f t="shared" si="80"/>
        <v>669.26199999999994</v>
      </c>
      <c r="AO61" s="17">
        <f t="shared" si="81"/>
        <v>0.40075568862275401</v>
      </c>
      <c r="AP61" s="19">
        <f>VLOOKUP(C61,[1]两年对比终版!$A:$F,6,0)</f>
        <v>872.93738499999995</v>
      </c>
      <c r="AQ61" s="15">
        <f t="shared" si="51"/>
        <v>-0.30432832732173698</v>
      </c>
      <c r="AR61" s="7">
        <f>VLOOKUP(C61,'[2]5月汇总'!$C:$I,4,0)</f>
        <v>4</v>
      </c>
      <c r="AS61" s="16">
        <f t="shared" si="82"/>
        <v>17</v>
      </c>
      <c r="AT61" s="17">
        <f t="shared" si="83"/>
        <v>0.42499999999999999</v>
      </c>
      <c r="AU61" s="7">
        <f>VLOOKUP(C61,[1]两年对比终版!$A:$W,14,0)</f>
        <v>5</v>
      </c>
      <c r="AV61" s="15">
        <f t="shared" si="52"/>
        <v>0.70588235294117696</v>
      </c>
      <c r="AW61" s="7">
        <f>VLOOKUP(C61,'[2]5月汇总'!$C:$I,5,0)</f>
        <v>54.3</v>
      </c>
      <c r="AX61" s="16">
        <f t="shared" si="84"/>
        <v>227.18</v>
      </c>
      <c r="AY61" s="17">
        <f t="shared" si="85"/>
        <v>0.473291666666667</v>
      </c>
      <c r="AZ61" s="19">
        <f>VLOOKUP(C61,[1]两年对比终版!$A:$W,17,0)</f>
        <v>50.763553999999999</v>
      </c>
      <c r="BA61" s="15">
        <f t="shared" si="53"/>
        <v>0.77654919447134396</v>
      </c>
      <c r="BB61" s="7">
        <f>VLOOKUP(C61,'[2]5月汇总'!$C:$I,6,0)</f>
        <v>4</v>
      </c>
      <c r="BC61" s="16">
        <f t="shared" si="86"/>
        <v>11</v>
      </c>
      <c r="BD61" s="17">
        <f t="shared" si="87"/>
        <v>0.27500000000000002</v>
      </c>
      <c r="BE61" s="18">
        <f>VLOOKUP(C61,[1]两年对比终版!$A:$W,20,0)</f>
        <v>7</v>
      </c>
      <c r="BF61" s="15">
        <f t="shared" si="54"/>
        <v>0.36363636363636398</v>
      </c>
      <c r="BG61" s="7">
        <f>VLOOKUP(C61,'[2]5月汇总'!$C:$I,7,0)</f>
        <v>50.2</v>
      </c>
      <c r="BH61" s="16">
        <f t="shared" si="55"/>
        <v>171.827</v>
      </c>
      <c r="BI61" s="17">
        <f t="shared" si="56"/>
        <v>0.35797291666666697</v>
      </c>
      <c r="BJ61" s="20">
        <f>VLOOKUP(C61,[1]两年对比终版!$A:$W,23,0)</f>
        <v>73.763803999999993</v>
      </c>
      <c r="BK61" s="15">
        <f t="shared" si="57"/>
        <v>0.57070888742747095</v>
      </c>
    </row>
    <row r="62" spans="1:63">
      <c r="A62" s="12">
        <v>53</v>
      </c>
      <c r="B62" s="12" t="s">
        <v>25</v>
      </c>
      <c r="C62" s="12" t="s">
        <v>86</v>
      </c>
      <c r="D62" s="13">
        <v>520</v>
      </c>
      <c r="E62" s="13">
        <v>252</v>
      </c>
      <c r="F62" s="14">
        <v>0.484615384615385</v>
      </c>
      <c r="G62" s="13">
        <v>183</v>
      </c>
      <c r="H62" s="15">
        <f t="shared" si="44"/>
        <v>0.273809523809524</v>
      </c>
      <c r="I62" s="13">
        <v>7248.8</v>
      </c>
      <c r="J62" s="13">
        <v>3096.69</v>
      </c>
      <c r="K62" s="14">
        <v>0.427200364198212</v>
      </c>
      <c r="L62" s="13">
        <v>2377.1822619999998</v>
      </c>
      <c r="M62" s="15">
        <f t="shared" si="45"/>
        <v>0.23234735733961101</v>
      </c>
      <c r="N62" s="13">
        <v>200</v>
      </c>
      <c r="O62" s="13">
        <v>56</v>
      </c>
      <c r="P62" s="14">
        <v>0.28000000000000003</v>
      </c>
      <c r="Q62" s="13">
        <v>59</v>
      </c>
      <c r="R62" s="15">
        <f t="shared" si="46"/>
        <v>-5.3571428571428603E-2</v>
      </c>
      <c r="S62" s="13">
        <v>2634</v>
      </c>
      <c r="T62" s="13">
        <v>538.03499999999997</v>
      </c>
      <c r="U62" s="14">
        <v>0.204265375854214</v>
      </c>
      <c r="V62" s="13">
        <v>644.39020900000003</v>
      </c>
      <c r="W62" s="15">
        <f t="shared" si="47"/>
        <v>-0.19767340228795499</v>
      </c>
      <c r="X62" s="13">
        <v>200</v>
      </c>
      <c r="Y62" s="13">
        <v>28</v>
      </c>
      <c r="Z62" s="14">
        <v>0.14000000000000001</v>
      </c>
      <c r="AA62" s="13">
        <v>22</v>
      </c>
      <c r="AB62" s="15">
        <f t="shared" si="48"/>
        <v>0.214285714285714</v>
      </c>
      <c r="AC62" s="13">
        <v>2634</v>
      </c>
      <c r="AD62" s="13">
        <v>260.363</v>
      </c>
      <c r="AE62" s="14">
        <v>9.8847000759301404E-2</v>
      </c>
      <c r="AF62" s="13">
        <v>262.06611299999997</v>
      </c>
      <c r="AG62" s="15">
        <f t="shared" si="49"/>
        <v>-6.5413019515060599E-3</v>
      </c>
      <c r="AH62" s="7">
        <f>VLOOKUP(C62,'[2]5月汇总'!$C:$I,2,0)</f>
        <v>50</v>
      </c>
      <c r="AI62" s="16">
        <f t="shared" si="78"/>
        <v>302</v>
      </c>
      <c r="AJ62" s="17">
        <f t="shared" si="79"/>
        <v>0.58076923076923104</v>
      </c>
      <c r="AK62" s="18">
        <f>VLOOKUP(C62,[1]两年对比终版!$A:$C,3,0)</f>
        <v>271</v>
      </c>
      <c r="AL62" s="15">
        <f t="shared" si="50"/>
        <v>0.102649006622517</v>
      </c>
      <c r="AM62" s="7">
        <f>VLOOKUP(C62,'[2]5月汇总'!$C:$I,3,0)</f>
        <v>385</v>
      </c>
      <c r="AN62" s="16">
        <f t="shared" si="80"/>
        <v>3481.69</v>
      </c>
      <c r="AO62" s="17">
        <f t="shared" si="81"/>
        <v>0.480312603465401</v>
      </c>
      <c r="AP62" s="19">
        <f>VLOOKUP(C62,[1]两年对比终版!$A:$F,6,0)</f>
        <v>3201.1956659999901</v>
      </c>
      <c r="AQ62" s="15">
        <f t="shared" si="51"/>
        <v>8.05626962768108E-2</v>
      </c>
      <c r="AR62" s="7">
        <f>VLOOKUP(C62,'[2]5月汇总'!$C:$I,4,0)</f>
        <v>50</v>
      </c>
      <c r="AS62" s="16">
        <f t="shared" si="82"/>
        <v>106</v>
      </c>
      <c r="AT62" s="17">
        <f t="shared" si="83"/>
        <v>0.53</v>
      </c>
      <c r="AU62" s="7">
        <f>VLOOKUP(C62,[1]两年对比终版!$A:$W,14,0)</f>
        <v>85</v>
      </c>
      <c r="AV62" s="15">
        <f t="shared" si="52"/>
        <v>0.19811320754716999</v>
      </c>
      <c r="AW62" s="7">
        <f>VLOOKUP(C62,'[2]5月汇总'!$C:$I,5,0)</f>
        <v>385</v>
      </c>
      <c r="AX62" s="16">
        <f t="shared" si="84"/>
        <v>923.03499999999997</v>
      </c>
      <c r="AY62" s="17">
        <f t="shared" si="85"/>
        <v>0.35043090356871698</v>
      </c>
      <c r="AZ62" s="19">
        <f>VLOOKUP(C62,[1]两年对比终版!$A:$W,17,0)</f>
        <v>925.64737300000002</v>
      </c>
      <c r="BA62" s="15">
        <f t="shared" si="53"/>
        <v>-2.8301992882179701E-3</v>
      </c>
      <c r="BB62" s="7">
        <f>VLOOKUP(C62,'[2]5月汇总'!$C:$I,6,0)</f>
        <v>39</v>
      </c>
      <c r="BC62" s="16">
        <f t="shared" si="86"/>
        <v>67</v>
      </c>
      <c r="BD62" s="17">
        <f t="shared" si="87"/>
        <v>0.33500000000000002</v>
      </c>
      <c r="BE62" s="18">
        <f>VLOOKUP(C62,[1]两年对比终版!$A:$W,20,0)</f>
        <v>75</v>
      </c>
      <c r="BF62" s="15">
        <f t="shared" si="54"/>
        <v>-0.119402985074627</v>
      </c>
      <c r="BG62" s="7">
        <f>VLOOKUP(C62,'[2]5月汇总'!$C:$I,7,0)</f>
        <v>365.68</v>
      </c>
      <c r="BH62" s="16">
        <f t="shared" si="55"/>
        <v>626.04300000000001</v>
      </c>
      <c r="BI62" s="17">
        <f t="shared" si="56"/>
        <v>0.23767767653758501</v>
      </c>
      <c r="BJ62" s="20">
        <f>VLOOKUP(C62,[1]两年对比终版!$A:$W,23,0)</f>
        <v>819.69526499999995</v>
      </c>
      <c r="BK62" s="15">
        <f t="shared" si="57"/>
        <v>-0.309327418404167</v>
      </c>
    </row>
    <row r="63" spans="1:63">
      <c r="A63" s="12">
        <v>54</v>
      </c>
      <c r="B63" s="12" t="s">
        <v>34</v>
      </c>
      <c r="C63" s="12" t="s">
        <v>87</v>
      </c>
      <c r="D63" s="13">
        <v>72</v>
      </c>
      <c r="E63" s="13">
        <v>12</v>
      </c>
      <c r="F63" s="14">
        <v>0.16666666666666699</v>
      </c>
      <c r="G63" s="13">
        <v>0</v>
      </c>
      <c r="H63" s="15">
        <f t="shared" si="44"/>
        <v>1</v>
      </c>
      <c r="I63" s="13">
        <v>1000</v>
      </c>
      <c r="J63" s="13">
        <v>101.98</v>
      </c>
      <c r="K63" s="14">
        <v>0.10198</v>
      </c>
      <c r="L63" s="13">
        <v>0</v>
      </c>
      <c r="M63" s="15">
        <f t="shared" si="45"/>
        <v>1</v>
      </c>
      <c r="N63" s="13">
        <v>40</v>
      </c>
      <c r="O63" s="13">
        <v>0</v>
      </c>
      <c r="P63" s="14">
        <v>0</v>
      </c>
      <c r="Q63" s="13">
        <v>0</v>
      </c>
      <c r="R63" s="15" t="e">
        <f t="shared" si="46"/>
        <v>#DIV/0!</v>
      </c>
      <c r="S63" s="13">
        <v>400</v>
      </c>
      <c r="T63" s="13">
        <v>0</v>
      </c>
      <c r="U63" s="14">
        <v>0</v>
      </c>
      <c r="V63" s="13">
        <v>0</v>
      </c>
      <c r="W63" s="15" t="e">
        <f t="shared" si="47"/>
        <v>#DIV/0!</v>
      </c>
      <c r="X63" s="13">
        <v>40</v>
      </c>
      <c r="Y63" s="13">
        <v>0</v>
      </c>
      <c r="Z63" s="14">
        <v>0</v>
      </c>
      <c r="AA63" s="13">
        <v>0</v>
      </c>
      <c r="AB63" s="15" t="e">
        <f t="shared" si="48"/>
        <v>#DIV/0!</v>
      </c>
      <c r="AC63" s="13">
        <v>400</v>
      </c>
      <c r="AD63" s="13">
        <v>0</v>
      </c>
      <c r="AE63" s="14">
        <v>0</v>
      </c>
      <c r="AF63" s="13">
        <v>0</v>
      </c>
      <c r="AG63" s="15" t="e">
        <f t="shared" si="49"/>
        <v>#DIV/0!</v>
      </c>
      <c r="AH63" s="7">
        <f>VLOOKUP(C63,'[2]5月汇总'!$C:$I,2,0)</f>
        <v>0</v>
      </c>
      <c r="AI63" s="16">
        <f t="shared" si="78"/>
        <v>12</v>
      </c>
      <c r="AJ63" s="17">
        <f t="shared" si="79"/>
        <v>0.16666666666666699</v>
      </c>
      <c r="AK63" s="18">
        <f>VLOOKUP(C63,[1]两年对比终版!$A:$C,3,0)</f>
        <v>0</v>
      </c>
      <c r="AL63" s="15">
        <f t="shared" si="50"/>
        <v>1</v>
      </c>
      <c r="AM63" s="7">
        <f>VLOOKUP(C63,'[2]5月汇总'!$C:$I,3,0)</f>
        <v>0</v>
      </c>
      <c r="AN63" s="16">
        <f t="shared" si="80"/>
        <v>101.98</v>
      </c>
      <c r="AO63" s="17">
        <f t="shared" si="81"/>
        <v>0.10198</v>
      </c>
      <c r="AP63" s="19">
        <f>VLOOKUP(C63,[1]两年对比终版!$A:$F,6,0)</f>
        <v>0</v>
      </c>
      <c r="AQ63" s="15">
        <f t="shared" si="51"/>
        <v>1</v>
      </c>
      <c r="AR63" s="7">
        <f>VLOOKUP(C63,'[2]5月汇总'!$C:$I,4,0)</f>
        <v>0</v>
      </c>
      <c r="AS63" s="16">
        <f t="shared" si="82"/>
        <v>0</v>
      </c>
      <c r="AT63" s="17">
        <f t="shared" si="83"/>
        <v>0</v>
      </c>
      <c r="AU63" s="7">
        <f>VLOOKUP(C63,[1]两年对比终版!$A:$W,14,0)</f>
        <v>0</v>
      </c>
      <c r="AV63" s="15" t="e">
        <f t="shared" si="52"/>
        <v>#DIV/0!</v>
      </c>
      <c r="AW63" s="7">
        <f>VLOOKUP(C63,'[2]5月汇总'!$C:$I,5,0)</f>
        <v>0</v>
      </c>
      <c r="AX63" s="16">
        <f t="shared" si="84"/>
        <v>0</v>
      </c>
      <c r="AY63" s="17">
        <f t="shared" si="85"/>
        <v>0</v>
      </c>
      <c r="AZ63" s="19">
        <f>VLOOKUP(C63,[1]两年对比终版!$A:$W,17,0)</f>
        <v>0</v>
      </c>
      <c r="BA63" s="15" t="e">
        <f t="shared" si="53"/>
        <v>#DIV/0!</v>
      </c>
      <c r="BB63" s="7">
        <f>VLOOKUP(C63,'[2]5月汇总'!$C:$I,6,0)</f>
        <v>0</v>
      </c>
      <c r="BC63" s="16">
        <f t="shared" si="86"/>
        <v>0</v>
      </c>
      <c r="BD63" s="17">
        <f t="shared" si="87"/>
        <v>0</v>
      </c>
      <c r="BE63" s="18">
        <f>VLOOKUP(C63,[1]两年对比终版!$A:$W,20,0)</f>
        <v>0</v>
      </c>
      <c r="BF63" s="15" t="e">
        <f t="shared" si="54"/>
        <v>#DIV/0!</v>
      </c>
      <c r="BG63" s="7">
        <f>VLOOKUP(C63,'[2]5月汇总'!$C:$I,7,0)</f>
        <v>0</v>
      </c>
      <c r="BH63" s="16">
        <f t="shared" si="55"/>
        <v>0</v>
      </c>
      <c r="BI63" s="17">
        <f t="shared" si="56"/>
        <v>0</v>
      </c>
      <c r="BJ63" s="20">
        <f>VLOOKUP(C63,[1]两年对比终版!$A:$W,23,0)</f>
        <v>0</v>
      </c>
      <c r="BK63" s="15" t="e">
        <f t="shared" si="57"/>
        <v>#DIV/0!</v>
      </c>
    </row>
    <row r="64" spans="1:63">
      <c r="A64" s="12">
        <v>55</v>
      </c>
      <c r="B64" s="12" t="s">
        <v>25</v>
      </c>
      <c r="C64" s="12" t="s">
        <v>88</v>
      </c>
      <c r="D64" s="13">
        <v>800</v>
      </c>
      <c r="E64" s="13">
        <v>151</v>
      </c>
      <c r="F64" s="14">
        <v>0.18875</v>
      </c>
      <c r="G64" s="13">
        <v>150</v>
      </c>
      <c r="H64" s="15">
        <f t="shared" si="44"/>
        <v>6.6225165562913899E-3</v>
      </c>
      <c r="I64" s="13">
        <v>11151</v>
      </c>
      <c r="J64" s="13">
        <v>2986.25</v>
      </c>
      <c r="K64" s="14">
        <v>0.26780109407227998</v>
      </c>
      <c r="L64" s="13">
        <v>1678.329823</v>
      </c>
      <c r="M64" s="15">
        <f t="shared" si="45"/>
        <v>0.43798080435328601</v>
      </c>
      <c r="N64" s="13">
        <v>360</v>
      </c>
      <c r="O64" s="13">
        <v>57</v>
      </c>
      <c r="P64" s="14">
        <v>0.15833333333333299</v>
      </c>
      <c r="Q64" s="13">
        <v>63</v>
      </c>
      <c r="R64" s="15">
        <f t="shared" si="46"/>
        <v>-0.105263157894737</v>
      </c>
      <c r="S64" s="13">
        <v>4350</v>
      </c>
      <c r="T64" s="13">
        <v>526.91300000000001</v>
      </c>
      <c r="U64" s="14">
        <v>0.121129425287356</v>
      </c>
      <c r="V64" s="13">
        <v>708.74234200000001</v>
      </c>
      <c r="W64" s="15">
        <f t="shared" si="47"/>
        <v>-0.34508418277780201</v>
      </c>
      <c r="X64" s="13">
        <v>360</v>
      </c>
      <c r="Y64" s="13">
        <v>70</v>
      </c>
      <c r="Z64" s="14">
        <v>0.194444444444444</v>
      </c>
      <c r="AA64" s="13">
        <v>84</v>
      </c>
      <c r="AB64" s="15">
        <f t="shared" si="48"/>
        <v>-0.2</v>
      </c>
      <c r="AC64" s="13">
        <v>4350</v>
      </c>
      <c r="AD64" s="13">
        <v>863.28899999999999</v>
      </c>
      <c r="AE64" s="14">
        <v>0.19845724137931001</v>
      </c>
      <c r="AF64" s="13">
        <v>895.08405600000003</v>
      </c>
      <c r="AG64" s="15">
        <f t="shared" si="49"/>
        <v>-3.68301414705852E-2</v>
      </c>
      <c r="AH64" s="7">
        <f>VLOOKUP(C64,'[2]5月汇总'!$C:$I,2,0)</f>
        <v>100</v>
      </c>
      <c r="AI64" s="16">
        <f t="shared" si="78"/>
        <v>251</v>
      </c>
      <c r="AJ64" s="17">
        <f t="shared" si="79"/>
        <v>0.31374999999999997</v>
      </c>
      <c r="AK64" s="18">
        <f>VLOOKUP(C64,[1]两年对比终版!$A:$C,3,0)</f>
        <v>326</v>
      </c>
      <c r="AL64" s="15">
        <f t="shared" si="50"/>
        <v>-0.29880478087649398</v>
      </c>
      <c r="AM64" s="7">
        <f>VLOOKUP(C64,'[2]5月汇总'!$C:$I,3,0)</f>
        <v>1500</v>
      </c>
      <c r="AN64" s="16">
        <f t="shared" si="80"/>
        <v>4486.25</v>
      </c>
      <c r="AO64" s="17">
        <f t="shared" si="81"/>
        <v>0.40231817774190698</v>
      </c>
      <c r="AP64" s="19">
        <f>VLOOKUP(C64,[1]两年对比终版!$A:$F,6,0)</f>
        <v>3941.709069</v>
      </c>
      <c r="AQ64" s="15">
        <f t="shared" si="51"/>
        <v>0.121379979047088</v>
      </c>
      <c r="AR64" s="7">
        <f>VLOOKUP(C64,'[2]5月汇总'!$C:$I,4,0)</f>
        <v>45</v>
      </c>
      <c r="AS64" s="16">
        <f t="shared" si="82"/>
        <v>102</v>
      </c>
      <c r="AT64" s="17">
        <f t="shared" si="83"/>
        <v>0.28333333333333299</v>
      </c>
      <c r="AU64" s="7">
        <f>VLOOKUP(C64,[1]两年对比终版!$A:$W,14,0)</f>
        <v>135</v>
      </c>
      <c r="AV64" s="15">
        <f t="shared" si="52"/>
        <v>-0.32352941176470601</v>
      </c>
      <c r="AW64" s="7">
        <f>VLOOKUP(C64,'[2]5月汇总'!$C:$I,5,0)</f>
        <v>500</v>
      </c>
      <c r="AX64" s="16">
        <f t="shared" si="84"/>
        <v>1026.913</v>
      </c>
      <c r="AY64" s="17">
        <f t="shared" si="85"/>
        <v>0.236071954022989</v>
      </c>
      <c r="AZ64" s="19">
        <f>VLOOKUP(C64,[1]两年对比终版!$A:$W,17,0)</f>
        <v>1488.884333</v>
      </c>
      <c r="BA64" s="15">
        <f t="shared" si="53"/>
        <v>-0.44986413941589998</v>
      </c>
      <c r="BB64" s="7">
        <f>VLOOKUP(C64,'[2]5月汇总'!$C:$I,6,0)</f>
        <v>25</v>
      </c>
      <c r="BC64" s="16">
        <f t="shared" si="86"/>
        <v>95</v>
      </c>
      <c r="BD64" s="17">
        <f t="shared" si="87"/>
        <v>0.26388888888888901</v>
      </c>
      <c r="BE64" s="18">
        <f>VLOOKUP(C64,[1]两年对比终版!$A:$W,20,0)</f>
        <v>110</v>
      </c>
      <c r="BF64" s="15">
        <f t="shared" si="54"/>
        <v>-0.157894736842105</v>
      </c>
      <c r="BG64" s="7">
        <f>VLOOKUP(C64,'[2]5月汇总'!$C:$I,7,0)</f>
        <v>266</v>
      </c>
      <c r="BH64" s="16">
        <f t="shared" si="55"/>
        <v>1129.289</v>
      </c>
      <c r="BI64" s="17">
        <f t="shared" si="56"/>
        <v>0.25960666666666699</v>
      </c>
      <c r="BJ64" s="20">
        <f>VLOOKUP(C64,[1]两年对比终版!$A:$W,23,0)</f>
        <v>1188.587968</v>
      </c>
      <c r="BK64" s="15">
        <f t="shared" si="57"/>
        <v>-5.2510002311188998E-2</v>
      </c>
    </row>
    <row r="65" spans="1:63">
      <c r="A65" s="12">
        <v>56</v>
      </c>
      <c r="B65" s="12" t="s">
        <v>39</v>
      </c>
      <c r="C65" s="12" t="s">
        <v>89</v>
      </c>
      <c r="D65" s="13">
        <v>50</v>
      </c>
      <c r="E65" s="13">
        <v>0</v>
      </c>
      <c r="F65" s="14">
        <v>0</v>
      </c>
      <c r="G65" s="13">
        <v>0</v>
      </c>
      <c r="H65" s="15" t="e">
        <f t="shared" si="44"/>
        <v>#DIV/0!</v>
      </c>
      <c r="I65" s="13">
        <v>700</v>
      </c>
      <c r="J65" s="13">
        <v>0</v>
      </c>
      <c r="K65" s="14">
        <v>0</v>
      </c>
      <c r="L65" s="13">
        <v>0</v>
      </c>
      <c r="M65" s="15" t="e">
        <f t="shared" si="45"/>
        <v>#DIV/0!</v>
      </c>
      <c r="N65" s="13">
        <v>30</v>
      </c>
      <c r="O65" s="13">
        <v>0</v>
      </c>
      <c r="P65" s="14">
        <v>0</v>
      </c>
      <c r="Q65" s="13">
        <v>0</v>
      </c>
      <c r="R65" s="15" t="e">
        <f t="shared" si="46"/>
        <v>#DIV/0!</v>
      </c>
      <c r="S65" s="13">
        <v>300</v>
      </c>
      <c r="T65" s="13">
        <v>0</v>
      </c>
      <c r="U65" s="14">
        <v>0</v>
      </c>
      <c r="V65" s="13">
        <v>0</v>
      </c>
      <c r="W65" s="15" t="e">
        <f t="shared" si="47"/>
        <v>#DIV/0!</v>
      </c>
      <c r="X65" s="13">
        <v>30</v>
      </c>
      <c r="Y65" s="13">
        <v>0</v>
      </c>
      <c r="Z65" s="14">
        <v>0</v>
      </c>
      <c r="AA65" s="13">
        <v>0</v>
      </c>
      <c r="AB65" s="15" t="e">
        <f t="shared" si="48"/>
        <v>#DIV/0!</v>
      </c>
      <c r="AC65" s="13">
        <v>300</v>
      </c>
      <c r="AD65" s="13">
        <v>0</v>
      </c>
      <c r="AE65" s="14">
        <v>0</v>
      </c>
      <c r="AF65" s="13">
        <v>0</v>
      </c>
      <c r="AG65" s="15" t="e">
        <f t="shared" si="49"/>
        <v>#DIV/0!</v>
      </c>
      <c r="AH65" s="7">
        <f>VLOOKUP(C65,'[2]5月汇总'!$C:$I,2,0)</f>
        <v>2</v>
      </c>
      <c r="AI65" s="16">
        <f t="shared" si="78"/>
        <v>2</v>
      </c>
      <c r="AJ65" s="17">
        <f t="shared" si="79"/>
        <v>0.04</v>
      </c>
      <c r="AK65" s="18">
        <f>VLOOKUP(C65,[1]两年对比终版!$A:$C,3,0)</f>
        <v>0</v>
      </c>
      <c r="AL65" s="15">
        <f t="shared" si="50"/>
        <v>1</v>
      </c>
      <c r="AM65" s="7">
        <f>VLOOKUP(C65,'[2]5月汇总'!$C:$I,3,0)</f>
        <v>17</v>
      </c>
      <c r="AN65" s="16">
        <f t="shared" si="80"/>
        <v>17</v>
      </c>
      <c r="AO65" s="17">
        <f t="shared" si="81"/>
        <v>2.4285714285714299E-2</v>
      </c>
      <c r="AP65" s="19">
        <f>VLOOKUP(C65,[1]两年对比终版!$A:$F,6,0)</f>
        <v>0</v>
      </c>
      <c r="AQ65" s="15">
        <f t="shared" si="51"/>
        <v>1</v>
      </c>
      <c r="AR65" s="7">
        <f>VLOOKUP(C65,'[2]5月汇总'!$C:$I,4,0)</f>
        <v>2</v>
      </c>
      <c r="AS65" s="16">
        <f t="shared" si="82"/>
        <v>2</v>
      </c>
      <c r="AT65" s="17">
        <f t="shared" si="83"/>
        <v>6.6666666666666693E-2</v>
      </c>
      <c r="AU65" s="7">
        <f>VLOOKUP(C65,[1]两年对比终版!$A:$W,14,0)</f>
        <v>0</v>
      </c>
      <c r="AV65" s="15">
        <f t="shared" si="52"/>
        <v>1</v>
      </c>
      <c r="AW65" s="7">
        <f>VLOOKUP(C65,'[2]5月汇总'!$C:$I,5,0)</f>
        <v>17</v>
      </c>
      <c r="AX65" s="16">
        <f t="shared" si="84"/>
        <v>17</v>
      </c>
      <c r="AY65" s="17">
        <f t="shared" si="85"/>
        <v>5.6666666666666698E-2</v>
      </c>
      <c r="AZ65" s="19">
        <f>VLOOKUP(C65,[1]两年对比终版!$A:$W,17,0)</f>
        <v>0</v>
      </c>
      <c r="BA65" s="15">
        <f t="shared" si="53"/>
        <v>1</v>
      </c>
      <c r="BB65" s="7">
        <f>VLOOKUP(C65,'[2]5月汇总'!$C:$I,6,0)</f>
        <v>0</v>
      </c>
      <c r="BC65" s="16">
        <f t="shared" si="86"/>
        <v>0</v>
      </c>
      <c r="BD65" s="17">
        <f t="shared" si="87"/>
        <v>0</v>
      </c>
      <c r="BE65" s="18">
        <f>VLOOKUP(C65,[1]两年对比终版!$A:$W,20,0)</f>
        <v>0</v>
      </c>
      <c r="BF65" s="15" t="e">
        <f t="shared" si="54"/>
        <v>#DIV/0!</v>
      </c>
      <c r="BG65" s="7">
        <f>VLOOKUP(C65,'[2]5月汇总'!$C:$I,7,0)</f>
        <v>0</v>
      </c>
      <c r="BH65" s="16">
        <f t="shared" si="55"/>
        <v>0</v>
      </c>
      <c r="BI65" s="17">
        <f t="shared" si="56"/>
        <v>0</v>
      </c>
      <c r="BJ65" s="20">
        <f>VLOOKUP(C65,[1]两年对比终版!$A:$W,23,0)</f>
        <v>0</v>
      </c>
      <c r="BK65" s="15" t="e">
        <f t="shared" si="57"/>
        <v>#DIV/0!</v>
      </c>
    </row>
    <row r="66" spans="1:63">
      <c r="A66" s="12">
        <v>57</v>
      </c>
      <c r="B66" s="12" t="s">
        <v>39</v>
      </c>
      <c r="C66" s="12" t="s">
        <v>90</v>
      </c>
      <c r="D66" s="13">
        <v>60</v>
      </c>
      <c r="E66" s="13">
        <v>0</v>
      </c>
      <c r="F66" s="14">
        <v>0</v>
      </c>
      <c r="G66" s="13">
        <v>0</v>
      </c>
      <c r="H66" s="15" t="e">
        <f t="shared" si="44"/>
        <v>#DIV/0!</v>
      </c>
      <c r="I66" s="13">
        <v>840</v>
      </c>
      <c r="J66" s="13">
        <v>0</v>
      </c>
      <c r="K66" s="14">
        <v>0</v>
      </c>
      <c r="L66" s="13">
        <v>0</v>
      </c>
      <c r="M66" s="15" t="e">
        <f t="shared" si="45"/>
        <v>#DIV/0!</v>
      </c>
      <c r="N66" s="13">
        <v>20</v>
      </c>
      <c r="O66" s="13">
        <v>0</v>
      </c>
      <c r="P66" s="14">
        <v>0</v>
      </c>
      <c r="Q66" s="13">
        <v>0</v>
      </c>
      <c r="R66" s="15" t="e">
        <f t="shared" si="46"/>
        <v>#DIV/0!</v>
      </c>
      <c r="S66" s="13">
        <v>200</v>
      </c>
      <c r="T66" s="13">
        <v>0</v>
      </c>
      <c r="U66" s="14">
        <v>0</v>
      </c>
      <c r="V66" s="13">
        <v>0</v>
      </c>
      <c r="W66" s="15" t="e">
        <f t="shared" si="47"/>
        <v>#DIV/0!</v>
      </c>
      <c r="X66" s="13">
        <v>20</v>
      </c>
      <c r="Y66" s="13">
        <v>0</v>
      </c>
      <c r="Z66" s="14">
        <v>0</v>
      </c>
      <c r="AA66" s="13">
        <v>0</v>
      </c>
      <c r="AB66" s="15" t="e">
        <f t="shared" si="48"/>
        <v>#DIV/0!</v>
      </c>
      <c r="AC66" s="13">
        <v>200</v>
      </c>
      <c r="AD66" s="13">
        <v>0</v>
      </c>
      <c r="AE66" s="14">
        <v>0</v>
      </c>
      <c r="AF66" s="13">
        <v>0</v>
      </c>
      <c r="AG66" s="15" t="e">
        <f t="shared" si="49"/>
        <v>#DIV/0!</v>
      </c>
      <c r="AH66" s="7">
        <f>VLOOKUP(C66,'[2]5月汇总'!$C:$I,2,0)</f>
        <v>0</v>
      </c>
      <c r="AI66" s="16">
        <f t="shared" si="78"/>
        <v>0</v>
      </c>
      <c r="AJ66" s="17">
        <f t="shared" si="79"/>
        <v>0</v>
      </c>
      <c r="AK66" s="18">
        <f>VLOOKUP(C66,[1]两年对比终版!$A:$C,3,0)</f>
        <v>0</v>
      </c>
      <c r="AL66" s="15" t="e">
        <f t="shared" si="50"/>
        <v>#DIV/0!</v>
      </c>
      <c r="AM66" s="7">
        <f>VLOOKUP(C66,'[2]5月汇总'!$C:$I,3,0)</f>
        <v>0</v>
      </c>
      <c r="AN66" s="16">
        <f t="shared" si="80"/>
        <v>0</v>
      </c>
      <c r="AO66" s="17">
        <f t="shared" si="81"/>
        <v>0</v>
      </c>
      <c r="AP66" s="19">
        <f>VLOOKUP(C66,[1]两年对比终版!$A:$F,6,0)</f>
        <v>0</v>
      </c>
      <c r="AQ66" s="15" t="e">
        <f t="shared" si="51"/>
        <v>#DIV/0!</v>
      </c>
      <c r="AR66" s="7">
        <f>VLOOKUP(C66,'[2]5月汇总'!$C:$I,4,0)</f>
        <v>0</v>
      </c>
      <c r="AS66" s="16">
        <f t="shared" si="82"/>
        <v>0</v>
      </c>
      <c r="AT66" s="17">
        <f t="shared" si="83"/>
        <v>0</v>
      </c>
      <c r="AU66" s="7">
        <f>VLOOKUP(C66,[1]两年对比终版!$A:$W,14,0)</f>
        <v>0</v>
      </c>
      <c r="AV66" s="15" t="e">
        <f t="shared" si="52"/>
        <v>#DIV/0!</v>
      </c>
      <c r="AW66" s="7">
        <f>VLOOKUP(C66,'[2]5月汇总'!$C:$I,5,0)</f>
        <v>0</v>
      </c>
      <c r="AX66" s="16">
        <f t="shared" si="84"/>
        <v>0</v>
      </c>
      <c r="AY66" s="17">
        <f t="shared" si="85"/>
        <v>0</v>
      </c>
      <c r="AZ66" s="19">
        <f>VLOOKUP(C66,[1]两年对比终版!$A:$W,17,0)</f>
        <v>0</v>
      </c>
      <c r="BA66" s="15" t="e">
        <f t="shared" si="53"/>
        <v>#DIV/0!</v>
      </c>
      <c r="BB66" s="7">
        <f>VLOOKUP(C66,'[2]5月汇总'!$C:$I,6,0)</f>
        <v>0</v>
      </c>
      <c r="BC66" s="16">
        <f t="shared" si="86"/>
        <v>0</v>
      </c>
      <c r="BD66" s="17">
        <f t="shared" si="87"/>
        <v>0</v>
      </c>
      <c r="BE66" s="18">
        <f>VLOOKUP(C66,[1]两年对比终版!$A:$W,20,0)</f>
        <v>0</v>
      </c>
      <c r="BF66" s="15" t="e">
        <f t="shared" si="54"/>
        <v>#DIV/0!</v>
      </c>
      <c r="BG66" s="7">
        <f>VLOOKUP(C66,'[2]5月汇总'!$C:$I,7,0)</f>
        <v>0</v>
      </c>
      <c r="BH66" s="16">
        <f t="shared" si="55"/>
        <v>0</v>
      </c>
      <c r="BI66" s="17">
        <f t="shared" si="56"/>
        <v>0</v>
      </c>
      <c r="BJ66" s="20">
        <f>VLOOKUP(C66,[1]两年对比终版!$A:$W,23,0)</f>
        <v>0</v>
      </c>
      <c r="BK66" s="15" t="e">
        <f t="shared" si="57"/>
        <v>#DIV/0!</v>
      </c>
    </row>
    <row r="67" spans="1:63" s="4" customFormat="1">
      <c r="A67" s="93" t="s">
        <v>91</v>
      </c>
      <c r="B67" s="94"/>
      <c r="C67" s="94"/>
      <c r="D67" s="21">
        <v>2622</v>
      </c>
      <c r="E67" s="21">
        <v>746</v>
      </c>
      <c r="F67" s="22">
        <v>0.284515636918383</v>
      </c>
      <c r="G67" s="21">
        <v>635</v>
      </c>
      <c r="H67" s="23">
        <f t="shared" si="44"/>
        <v>0.14879356568364599</v>
      </c>
      <c r="I67" s="21">
        <v>36539.800000000003</v>
      </c>
      <c r="J67" s="21">
        <v>12150.109</v>
      </c>
      <c r="K67" s="22">
        <v>0.33251711832029701</v>
      </c>
      <c r="L67" s="21">
        <v>8707.1564159999998</v>
      </c>
      <c r="M67" s="23">
        <f t="shared" si="45"/>
        <v>0.28336804089576501</v>
      </c>
      <c r="N67" s="21">
        <v>1145</v>
      </c>
      <c r="O67" s="21">
        <v>293</v>
      </c>
      <c r="P67" s="22">
        <v>0.25589519650655002</v>
      </c>
      <c r="Q67" s="21">
        <v>225</v>
      </c>
      <c r="R67" s="23">
        <f t="shared" si="46"/>
        <v>0.23208191126279901</v>
      </c>
      <c r="S67" s="21">
        <v>14874</v>
      </c>
      <c r="T67" s="21">
        <v>3615.4027999999998</v>
      </c>
      <c r="U67" s="22">
        <v>0.24306862982385399</v>
      </c>
      <c r="V67" s="21">
        <v>2748.3080530000002</v>
      </c>
      <c r="W67" s="23">
        <f t="shared" si="47"/>
        <v>0.23983351094378699</v>
      </c>
      <c r="X67" s="21">
        <v>1145</v>
      </c>
      <c r="Y67" s="21">
        <v>246</v>
      </c>
      <c r="Z67" s="22">
        <v>0.214847161572052</v>
      </c>
      <c r="AA67" s="21">
        <v>193</v>
      </c>
      <c r="AB67" s="23">
        <f t="shared" si="48"/>
        <v>0.215447154471545</v>
      </c>
      <c r="AC67" s="21">
        <v>14874</v>
      </c>
      <c r="AD67" s="21">
        <v>3187.5326</v>
      </c>
      <c r="AE67" s="22">
        <v>0.214302312760522</v>
      </c>
      <c r="AF67" s="21">
        <v>2346.107454</v>
      </c>
      <c r="AG67" s="23">
        <f t="shared" si="49"/>
        <v>0.26397381661288699</v>
      </c>
      <c r="AH67" s="21">
        <f>SUM(AH58:AH66)</f>
        <v>210</v>
      </c>
      <c r="AI67" s="24">
        <f>AH67+E67</f>
        <v>956</v>
      </c>
      <c r="AJ67" s="25">
        <f t="shared" si="79"/>
        <v>0.36460717009916099</v>
      </c>
      <c r="AK67" s="21">
        <f>SUM(AK58:AK66)</f>
        <v>1112</v>
      </c>
      <c r="AL67" s="23">
        <f t="shared" si="50"/>
        <v>-0.163179916317992</v>
      </c>
      <c r="AM67" s="21">
        <f>SUM(AM58:AM66)</f>
        <v>2986</v>
      </c>
      <c r="AN67" s="24">
        <f t="shared" si="80"/>
        <v>15136.109</v>
      </c>
      <c r="AO67" s="25">
        <f t="shared" si="81"/>
        <v>0.41423623008336102</v>
      </c>
      <c r="AP67" s="21">
        <f>SUM(AP58:AP66)</f>
        <v>15926.999023</v>
      </c>
      <c r="AQ67" s="23">
        <f t="shared" si="51"/>
        <v>-5.22518715344868E-2</v>
      </c>
      <c r="AR67" s="21">
        <f>SUM(AR58:AR66)</f>
        <v>138</v>
      </c>
      <c r="AS67" s="24">
        <f t="shared" si="82"/>
        <v>431</v>
      </c>
      <c r="AT67" s="25">
        <f t="shared" si="83"/>
        <v>0.37641921397379902</v>
      </c>
      <c r="AU67" s="21">
        <f>SUM(AU58:AU66)</f>
        <v>377</v>
      </c>
      <c r="AV67" s="23">
        <f t="shared" si="52"/>
        <v>0.125290023201856</v>
      </c>
      <c r="AW67" s="21">
        <f>SUM(AW58:AW66)</f>
        <v>1483.59</v>
      </c>
      <c r="AX67" s="24">
        <f t="shared" si="84"/>
        <v>5098.9928</v>
      </c>
      <c r="AY67" s="25">
        <f t="shared" si="85"/>
        <v>0.34281247814979199</v>
      </c>
      <c r="AZ67" s="21">
        <f>SUM(AZ58:AZ66)</f>
        <v>4885.2560970000004</v>
      </c>
      <c r="BA67" s="23">
        <f t="shared" si="53"/>
        <v>4.1917435733582399E-2</v>
      </c>
      <c r="BB67" s="21">
        <f>SUM(BB58:BB66)</f>
        <v>96</v>
      </c>
      <c r="BC67" s="24">
        <f t="shared" si="86"/>
        <v>342</v>
      </c>
      <c r="BD67" s="25">
        <f t="shared" si="87"/>
        <v>0.298689956331878</v>
      </c>
      <c r="BE67" s="21">
        <f>SUM(BE58:BE66)</f>
        <v>298</v>
      </c>
      <c r="BF67" s="23">
        <f t="shared" si="54"/>
        <v>0.12865497076023399</v>
      </c>
      <c r="BG67" s="21">
        <f>SUM(BG58:BG66)</f>
        <v>994.88</v>
      </c>
      <c r="BH67" s="24">
        <f t="shared" si="55"/>
        <v>4182.4125999999997</v>
      </c>
      <c r="BI67" s="25">
        <f t="shared" si="56"/>
        <v>0.28118949845367802</v>
      </c>
      <c r="BJ67" s="21">
        <f>SUM(BJ58:BJ66)</f>
        <v>3520.291545</v>
      </c>
      <c r="BK67" s="23">
        <f t="shared" si="57"/>
        <v>0.15831079291411801</v>
      </c>
    </row>
    <row r="68" spans="1:63">
      <c r="A68" s="12">
        <v>58</v>
      </c>
      <c r="B68" s="12" t="s">
        <v>25</v>
      </c>
      <c r="C68" s="12" t="s">
        <v>92</v>
      </c>
      <c r="D68" s="13">
        <v>900</v>
      </c>
      <c r="E68" s="13">
        <v>210</v>
      </c>
      <c r="F68" s="14">
        <v>0.233333333333333</v>
      </c>
      <c r="G68" s="13">
        <v>255</v>
      </c>
      <c r="H68" s="15">
        <f t="shared" si="44"/>
        <v>-0.214285714285714</v>
      </c>
      <c r="I68" s="13">
        <v>6000</v>
      </c>
      <c r="J68" s="13">
        <v>1334.2</v>
      </c>
      <c r="K68" s="14">
        <v>0.22236666666666699</v>
      </c>
      <c r="L68" s="13">
        <v>2624.8011489999999</v>
      </c>
      <c r="M68" s="15">
        <f t="shared" si="45"/>
        <v>-0.96732210238345095</v>
      </c>
      <c r="N68" s="13">
        <v>400</v>
      </c>
      <c r="O68" s="13">
        <v>2</v>
      </c>
      <c r="P68" s="14">
        <v>5.0000000000000001E-3</v>
      </c>
      <c r="Q68" s="13">
        <v>6</v>
      </c>
      <c r="R68" s="15">
        <f t="shared" si="46"/>
        <v>-2</v>
      </c>
      <c r="S68" s="13">
        <v>2600</v>
      </c>
      <c r="T68" s="13">
        <v>16.293399999999998</v>
      </c>
      <c r="U68" s="14">
        <v>6.2666923076923099E-3</v>
      </c>
      <c r="V68" s="13">
        <v>58.501488000000002</v>
      </c>
      <c r="W68" s="15">
        <f t="shared" si="47"/>
        <v>-2.5905021665214099</v>
      </c>
      <c r="X68" s="13">
        <v>400</v>
      </c>
      <c r="Y68" s="13">
        <v>0</v>
      </c>
      <c r="Z68" s="14">
        <v>0</v>
      </c>
      <c r="AA68" s="13">
        <v>6</v>
      </c>
      <c r="AB68" s="15" t="e">
        <f t="shared" si="48"/>
        <v>#DIV/0!</v>
      </c>
      <c r="AC68" s="13">
        <v>2600</v>
      </c>
      <c r="AD68" s="13">
        <v>0</v>
      </c>
      <c r="AE68" s="14">
        <v>0</v>
      </c>
      <c r="AF68" s="13">
        <v>57.934756</v>
      </c>
      <c r="AG68" s="15" t="e">
        <f t="shared" si="49"/>
        <v>#DIV/0!</v>
      </c>
      <c r="AH68" s="7">
        <f>VLOOKUP(C68,'[2]5月汇总'!$C:$I,2,0)</f>
        <v>211</v>
      </c>
      <c r="AI68" s="16">
        <f t="shared" ref="AI68:AI73" si="88">E68+AH68</f>
        <v>421</v>
      </c>
      <c r="AJ68" s="17">
        <f t="shared" si="79"/>
        <v>0.46777777777777801</v>
      </c>
      <c r="AK68" s="18">
        <f>VLOOKUP(C68,[1]两年对比终版!$A:$C,3,0)</f>
        <v>469</v>
      </c>
      <c r="AL68" s="15">
        <f t="shared" si="50"/>
        <v>-0.11401425178147299</v>
      </c>
      <c r="AM68" s="7">
        <f>VLOOKUP(C68,'[2]5月汇总'!$C:$I,3,0)</f>
        <v>1477</v>
      </c>
      <c r="AN68" s="16">
        <f t="shared" si="80"/>
        <v>2811.2</v>
      </c>
      <c r="AO68" s="17">
        <f t="shared" si="81"/>
        <v>0.46853333333333302</v>
      </c>
      <c r="AP68" s="19">
        <f>VLOOKUP(C68,[1]两年对比终版!$A:$F,6,0)</f>
        <v>6870.23698899998</v>
      </c>
      <c r="AQ68" s="15">
        <f t="shared" si="51"/>
        <v>-1.44388054531872</v>
      </c>
      <c r="AR68" s="7">
        <f>VLOOKUP(C68,'[2]5月汇总'!$C:$I,4,0)</f>
        <v>2</v>
      </c>
      <c r="AS68" s="16">
        <f t="shared" si="82"/>
        <v>4</v>
      </c>
      <c r="AT68" s="17">
        <f t="shared" si="83"/>
        <v>0.01</v>
      </c>
      <c r="AU68" s="7">
        <f>VLOOKUP(C68,[1]两年对比终版!$A:$W,14,0)</f>
        <v>406</v>
      </c>
      <c r="AV68" s="15">
        <f t="shared" si="52"/>
        <v>-100.5</v>
      </c>
      <c r="AW68" s="7">
        <f>VLOOKUP(C68,'[2]5月汇总'!$C:$I,5,0)</f>
        <v>16.8</v>
      </c>
      <c r="AX68" s="16">
        <f t="shared" si="84"/>
        <v>33.093400000000003</v>
      </c>
      <c r="AY68" s="17">
        <f t="shared" si="85"/>
        <v>1.2728230769230801E-2</v>
      </c>
      <c r="AZ68" s="19">
        <f>VLOOKUP(C68,[1]两年对比终版!$A:$W,17,0)</f>
        <v>2397.89588799999</v>
      </c>
      <c r="BA68" s="15">
        <f t="shared" si="53"/>
        <v>-71.458432436678805</v>
      </c>
      <c r="BB68" s="7">
        <f>VLOOKUP(C68,'[2]5月汇总'!$C:$I,6,0)</f>
        <v>2</v>
      </c>
      <c r="BC68" s="16">
        <f t="shared" si="86"/>
        <v>2</v>
      </c>
      <c r="BD68" s="17">
        <f t="shared" si="87"/>
        <v>5.0000000000000001E-3</v>
      </c>
      <c r="BE68" s="18">
        <f>VLOOKUP(C68,[1]两年对比终版!$A:$W,20,0)</f>
        <v>6</v>
      </c>
      <c r="BF68" s="15">
        <f t="shared" si="54"/>
        <v>-2</v>
      </c>
      <c r="BG68" s="7">
        <f>VLOOKUP(C68,'[2]5月汇总'!$C:$I,7,0)</f>
        <v>16.8</v>
      </c>
      <c r="BH68" s="16">
        <f t="shared" si="55"/>
        <v>16.8</v>
      </c>
      <c r="BI68" s="17">
        <f t="shared" si="56"/>
        <v>6.4615384615384604E-3</v>
      </c>
      <c r="BJ68" s="20">
        <f>VLOOKUP(C68,[1]两年对比终版!$A:$W,23,0)</f>
        <v>57.934756</v>
      </c>
      <c r="BK68" s="15">
        <f t="shared" si="57"/>
        <v>-2.44849738095238</v>
      </c>
    </row>
    <row r="69" spans="1:63">
      <c r="A69" s="12">
        <v>59</v>
      </c>
      <c r="B69" s="12" t="s">
        <v>39</v>
      </c>
      <c r="C69" s="12" t="s">
        <v>93</v>
      </c>
      <c r="D69" s="13">
        <v>100</v>
      </c>
      <c r="E69" s="13">
        <v>28</v>
      </c>
      <c r="F69" s="14">
        <v>0.28000000000000003</v>
      </c>
      <c r="G69" s="13">
        <v>22</v>
      </c>
      <c r="H69" s="15">
        <f t="shared" si="44"/>
        <v>0.214285714285714</v>
      </c>
      <c r="I69" s="13">
        <v>800</v>
      </c>
      <c r="J69" s="13">
        <v>227.35400000000001</v>
      </c>
      <c r="K69" s="14">
        <v>0.28419250000000001</v>
      </c>
      <c r="L69" s="13">
        <v>202.744236</v>
      </c>
      <c r="M69" s="15">
        <f t="shared" si="45"/>
        <v>0.10824425345496499</v>
      </c>
      <c r="N69" s="13">
        <v>30</v>
      </c>
      <c r="O69" s="13">
        <v>1</v>
      </c>
      <c r="P69" s="14">
        <v>3.3333333333333298E-2</v>
      </c>
      <c r="Q69" s="13">
        <v>7</v>
      </c>
      <c r="R69" s="15">
        <f t="shared" si="46"/>
        <v>-6</v>
      </c>
      <c r="S69" s="13">
        <v>300</v>
      </c>
      <c r="T69" s="13">
        <v>8.2169100000000004</v>
      </c>
      <c r="U69" s="14">
        <v>2.7389699999999999E-2</v>
      </c>
      <c r="V69" s="13">
        <v>57.436799999999998</v>
      </c>
      <c r="W69" s="15">
        <f t="shared" si="47"/>
        <v>-5.9900729106196904</v>
      </c>
      <c r="X69" s="13">
        <v>30</v>
      </c>
      <c r="Y69" s="13">
        <v>11</v>
      </c>
      <c r="Z69" s="14">
        <v>0.36666666666666697</v>
      </c>
      <c r="AA69" s="13">
        <v>7</v>
      </c>
      <c r="AB69" s="15">
        <f t="shared" si="48"/>
        <v>0.36363636363636398</v>
      </c>
      <c r="AC69" s="13">
        <v>300</v>
      </c>
      <c r="AD69" s="13">
        <v>121.303</v>
      </c>
      <c r="AE69" s="14">
        <v>0.404343333333333</v>
      </c>
      <c r="AF69" s="13">
        <v>55.708143999999997</v>
      </c>
      <c r="AG69" s="15">
        <f t="shared" si="49"/>
        <v>0.54075213308821701</v>
      </c>
      <c r="AH69" s="7">
        <f>VLOOKUP(C69,'[2]5月汇总'!$C:$I,2,0)</f>
        <v>16</v>
      </c>
      <c r="AI69" s="16">
        <f t="shared" si="88"/>
        <v>44</v>
      </c>
      <c r="AJ69" s="17">
        <f t="shared" si="79"/>
        <v>0.44</v>
      </c>
      <c r="AK69" s="18">
        <f>VLOOKUP(C69,[1]两年对比终版!$A:$C,3,0)</f>
        <v>22</v>
      </c>
      <c r="AL69" s="15">
        <f t="shared" si="50"/>
        <v>0.5</v>
      </c>
      <c r="AM69" s="7">
        <f>VLOOKUP(C69,'[2]5月汇总'!$C:$I,3,0)</f>
        <v>175</v>
      </c>
      <c r="AN69" s="16">
        <f t="shared" si="80"/>
        <v>402.35399999999998</v>
      </c>
      <c r="AO69" s="17">
        <f t="shared" si="81"/>
        <v>0.50294249999999996</v>
      </c>
      <c r="AP69" s="19">
        <f>VLOOKUP(C69,[1]两年对比终版!$A:$F,6,0)</f>
        <v>202.744236</v>
      </c>
      <c r="AQ69" s="15">
        <f t="shared" si="51"/>
        <v>0.49610483305745701</v>
      </c>
      <c r="AR69" s="7">
        <f>VLOOKUP(C69,'[2]5月汇总'!$C:$I,4,0)</f>
        <v>14</v>
      </c>
      <c r="AS69" s="16">
        <f t="shared" si="82"/>
        <v>15</v>
      </c>
      <c r="AT69" s="17">
        <f t="shared" si="83"/>
        <v>0.5</v>
      </c>
      <c r="AU69" s="7">
        <f>VLOOKUP(C69,[1]两年对比终版!$A:$W,14,0)</f>
        <v>7</v>
      </c>
      <c r="AV69" s="15">
        <f t="shared" si="52"/>
        <v>0.53333333333333299</v>
      </c>
      <c r="AW69" s="7">
        <f>VLOOKUP(C69,'[2]5月汇总'!$C:$I,5,0)</f>
        <v>95</v>
      </c>
      <c r="AX69" s="16">
        <f t="shared" si="84"/>
        <v>103.21691</v>
      </c>
      <c r="AY69" s="17">
        <f t="shared" si="85"/>
        <v>0.344056366666667</v>
      </c>
      <c r="AZ69" s="19">
        <f>VLOOKUP(C69,[1]两年对比终版!$A:$W,17,0)</f>
        <v>57.436799999999998</v>
      </c>
      <c r="BA69" s="15">
        <f t="shared" si="53"/>
        <v>0.44353304124295101</v>
      </c>
      <c r="BB69" s="7">
        <f>VLOOKUP(C69,'[2]5月汇总'!$C:$I,6,0)</f>
        <v>0</v>
      </c>
      <c r="BC69" s="16">
        <f t="shared" si="86"/>
        <v>11</v>
      </c>
      <c r="BD69" s="17">
        <f t="shared" si="87"/>
        <v>0.36666666666666697</v>
      </c>
      <c r="BE69" s="18">
        <f>VLOOKUP(C69,[1]两年对比终版!$A:$W,20,0)</f>
        <v>21</v>
      </c>
      <c r="BF69" s="15">
        <f t="shared" si="54"/>
        <v>-0.90909090909090895</v>
      </c>
      <c r="BG69" s="7">
        <f>VLOOKUP(C69,'[2]5月汇总'!$C:$I,7,0)</f>
        <v>0</v>
      </c>
      <c r="BH69" s="16">
        <f t="shared" si="55"/>
        <v>121.303</v>
      </c>
      <c r="BI69" s="17">
        <f t="shared" si="56"/>
        <v>0.404343333333333</v>
      </c>
      <c r="BJ69" s="20">
        <f>VLOOKUP(C69,[1]两年对比终版!$A:$W,23,0)</f>
        <v>165.82313400000001</v>
      </c>
      <c r="BK69" s="15">
        <f t="shared" si="57"/>
        <v>-0.36701593530250698</v>
      </c>
    </row>
    <row r="70" spans="1:63">
      <c r="A70" s="12">
        <v>60</v>
      </c>
      <c r="B70" s="12" t="s">
        <v>34</v>
      </c>
      <c r="C70" s="12" t="s">
        <v>94</v>
      </c>
      <c r="D70" s="13">
        <v>101</v>
      </c>
      <c r="E70" s="13">
        <v>31</v>
      </c>
      <c r="F70" s="14">
        <v>0.30693069306930698</v>
      </c>
      <c r="G70" s="13">
        <v>28</v>
      </c>
      <c r="H70" s="15">
        <f t="shared" ref="H70:H86" si="89">(E70-G70)/E70</f>
        <v>9.6774193548387094E-2</v>
      </c>
      <c r="I70" s="13">
        <v>980</v>
      </c>
      <c r="J70" s="13">
        <v>282.66699999999997</v>
      </c>
      <c r="K70" s="14">
        <v>0.28843571428571402</v>
      </c>
      <c r="L70" s="13">
        <v>316.07469800000001</v>
      </c>
      <c r="M70" s="15">
        <f t="shared" ref="M70:M86" si="90">(J70-L70)/J70</f>
        <v>-0.11818747147703899</v>
      </c>
      <c r="N70" s="13">
        <v>32.803400000000003</v>
      </c>
      <c r="O70" s="13">
        <v>0</v>
      </c>
      <c r="P70" s="14">
        <v>0</v>
      </c>
      <c r="Q70" s="13">
        <v>0</v>
      </c>
      <c r="R70" s="15" t="e">
        <f t="shared" ref="R70:R86" si="91">(O70-Q70)/O70</f>
        <v>#DIV/0!</v>
      </c>
      <c r="S70" s="13">
        <v>401.84199999999998</v>
      </c>
      <c r="T70" s="13">
        <v>0</v>
      </c>
      <c r="U70" s="14">
        <v>0</v>
      </c>
      <c r="V70" s="13">
        <v>0</v>
      </c>
      <c r="W70" s="15" t="e">
        <f t="shared" ref="W70:W86" si="92">(T70-V70)/T70</f>
        <v>#DIV/0!</v>
      </c>
      <c r="X70" s="13">
        <v>32.803400000000003</v>
      </c>
      <c r="Y70" s="13">
        <v>0</v>
      </c>
      <c r="Z70" s="14">
        <v>0</v>
      </c>
      <c r="AA70" s="13">
        <v>1</v>
      </c>
      <c r="AB70" s="15" t="e">
        <f t="shared" ref="AB70:AB86" si="93">(Y70-AA70)/Y70</f>
        <v>#DIV/0!</v>
      </c>
      <c r="AC70" s="13">
        <v>401.84199999999998</v>
      </c>
      <c r="AD70" s="13">
        <v>0</v>
      </c>
      <c r="AE70" s="14">
        <v>0</v>
      </c>
      <c r="AF70" s="13">
        <v>13.231109999999999</v>
      </c>
      <c r="AG70" s="15" t="e">
        <f t="shared" ref="AG70:AG86" si="94">(AD70-AF70)/AD70</f>
        <v>#DIV/0!</v>
      </c>
      <c r="AH70" s="7">
        <f>VLOOKUP(C70,'[2]5月汇总'!$C:$I,2,0)</f>
        <v>3</v>
      </c>
      <c r="AI70" s="16">
        <f t="shared" si="88"/>
        <v>34</v>
      </c>
      <c r="AJ70" s="17">
        <f t="shared" si="79"/>
        <v>0.33663366336633699</v>
      </c>
      <c r="AK70" s="18">
        <f>VLOOKUP(C70,[1]两年对比终版!$A:$C,3,0)</f>
        <v>39</v>
      </c>
      <c r="AL70" s="15">
        <f t="shared" ref="AL70:AL86" si="95">(AI70-AK70)/AI70</f>
        <v>-0.14705882352941199</v>
      </c>
      <c r="AM70" s="7">
        <f>VLOOKUP(C70,'[2]5月汇总'!$C:$I,3,0)</f>
        <v>30</v>
      </c>
      <c r="AN70" s="16">
        <f t="shared" si="80"/>
        <v>312.66699999999997</v>
      </c>
      <c r="AO70" s="17">
        <f t="shared" si="81"/>
        <v>0.31904795918367301</v>
      </c>
      <c r="AP70" s="19">
        <f>VLOOKUP(C70,[1]两年对比终版!$A:$F,6,0)</f>
        <v>652.63722499999994</v>
      </c>
      <c r="AQ70" s="15">
        <f t="shared" ref="AQ70:AQ86" si="96">(AN70-AP70)/AN70</f>
        <v>-1.08732365423917</v>
      </c>
      <c r="AR70" s="7">
        <f>VLOOKUP(C70,'[2]5月汇总'!$C:$I,4,0)</f>
        <v>3</v>
      </c>
      <c r="AS70" s="16">
        <f t="shared" si="82"/>
        <v>3</v>
      </c>
      <c r="AT70" s="17">
        <f t="shared" si="83"/>
        <v>9.1453934653115201E-2</v>
      </c>
      <c r="AU70" s="7">
        <f>VLOOKUP(C70,[1]两年对比终版!$A:$W,14,0)</f>
        <v>0</v>
      </c>
      <c r="AV70" s="15">
        <f t="shared" ref="AV70:AV86" si="97">(AS70-AU70)/AS70</f>
        <v>1</v>
      </c>
      <c r="AW70" s="7">
        <f>VLOOKUP(C70,'[2]5月汇总'!$C:$I,5,0)</f>
        <v>30</v>
      </c>
      <c r="AX70" s="16">
        <f t="shared" si="84"/>
        <v>30</v>
      </c>
      <c r="AY70" s="17">
        <f t="shared" si="85"/>
        <v>7.4656208161416701E-2</v>
      </c>
      <c r="AZ70" s="19">
        <f>VLOOKUP(C70,[1]两年对比终版!$A:$W,17,0)</f>
        <v>0</v>
      </c>
      <c r="BA70" s="15">
        <f t="shared" ref="BA70:BA86" si="98">(AX70-AZ70)/AX70</f>
        <v>1</v>
      </c>
      <c r="BB70" s="7">
        <f>VLOOKUP(C70,'[2]5月汇总'!$C:$I,6,0)</f>
        <v>3</v>
      </c>
      <c r="BC70" s="16">
        <f t="shared" si="86"/>
        <v>3</v>
      </c>
      <c r="BD70" s="17">
        <f t="shared" si="87"/>
        <v>9.1453934653115201E-2</v>
      </c>
      <c r="BE70" s="18">
        <f>VLOOKUP(C70,[1]两年对比终版!$A:$W,20,0)</f>
        <v>1</v>
      </c>
      <c r="BF70" s="15">
        <f t="shared" ref="BF70:BF86" si="99">(BC70-BE70)/BC70</f>
        <v>0.66666666666666696</v>
      </c>
      <c r="BG70" s="7">
        <f>VLOOKUP(C70,'[2]5月汇总'!$C:$I,7,0)</f>
        <v>30</v>
      </c>
      <c r="BH70" s="16">
        <f t="shared" ref="BH70:BH74" si="100">BG70+AD70</f>
        <v>30</v>
      </c>
      <c r="BI70" s="17">
        <f t="shared" ref="BI70:BI74" si="101">BH70/AC70</f>
        <v>7.4656208161416701E-2</v>
      </c>
      <c r="BJ70" s="20">
        <f>VLOOKUP(C70,[1]两年对比终版!$A:$W,23,0)</f>
        <v>13.231109999999999</v>
      </c>
      <c r="BK70" s="15">
        <f t="shared" ref="BK70:BK86" si="102">(BH70-BJ70)/BH70</f>
        <v>0.55896299999999999</v>
      </c>
    </row>
    <row r="71" spans="1:63">
      <c r="A71" s="12">
        <v>61</v>
      </c>
      <c r="B71" s="12" t="s">
        <v>34</v>
      </c>
      <c r="C71" s="12" t="s">
        <v>95</v>
      </c>
      <c r="D71" s="13">
        <v>100</v>
      </c>
      <c r="E71" s="13">
        <v>16</v>
      </c>
      <c r="F71" s="14">
        <v>0.16</v>
      </c>
      <c r="G71" s="13">
        <v>19</v>
      </c>
      <c r="H71" s="15">
        <f t="shared" si="89"/>
        <v>-0.1875</v>
      </c>
      <c r="I71" s="13">
        <v>980</v>
      </c>
      <c r="J71" s="13">
        <v>188.62100000000001</v>
      </c>
      <c r="K71" s="14">
        <v>0.19247040816326499</v>
      </c>
      <c r="L71" s="13">
        <v>206.6748</v>
      </c>
      <c r="M71" s="15">
        <f t="shared" si="90"/>
        <v>-9.5714687123915093E-2</v>
      </c>
      <c r="N71" s="13">
        <v>32.816299999999998</v>
      </c>
      <c r="O71" s="13">
        <v>8</v>
      </c>
      <c r="P71" s="14">
        <v>0.24378129161422801</v>
      </c>
      <c r="Q71" s="13">
        <v>13</v>
      </c>
      <c r="R71" s="15">
        <f t="shared" si="91"/>
        <v>-0.625</v>
      </c>
      <c r="S71" s="13">
        <v>402</v>
      </c>
      <c r="T71" s="13">
        <v>80.185699999999997</v>
      </c>
      <c r="U71" s="14">
        <v>0.199466915422886</v>
      </c>
      <c r="V71" s="13">
        <v>165.63158999999999</v>
      </c>
      <c r="W71" s="15">
        <f t="shared" si="92"/>
        <v>-1.0656001007661</v>
      </c>
      <c r="X71" s="13">
        <v>32.816299999999998</v>
      </c>
      <c r="Y71" s="13">
        <v>15</v>
      </c>
      <c r="Z71" s="14">
        <v>0.45708992177667801</v>
      </c>
      <c r="AA71" s="13">
        <v>8</v>
      </c>
      <c r="AB71" s="15">
        <f t="shared" si="93"/>
        <v>0.46666666666666701</v>
      </c>
      <c r="AC71" s="13">
        <v>402</v>
      </c>
      <c r="AD71" s="13">
        <v>155.648</v>
      </c>
      <c r="AE71" s="14">
        <v>0.38718407960199003</v>
      </c>
      <c r="AF71" s="13">
        <v>94.574340000000007</v>
      </c>
      <c r="AG71" s="15">
        <f t="shared" si="94"/>
        <v>0.392383197985197</v>
      </c>
      <c r="AH71" s="7">
        <f>VLOOKUP(C71,'[2]5月汇总'!$C:$I,2,0)</f>
        <v>14</v>
      </c>
      <c r="AI71" s="16">
        <f t="shared" si="88"/>
        <v>30</v>
      </c>
      <c r="AJ71" s="17">
        <f t="shared" si="79"/>
        <v>0.3</v>
      </c>
      <c r="AK71" s="18">
        <f>VLOOKUP(C71,[1]两年对比终版!$A:$C,3,0)</f>
        <v>38</v>
      </c>
      <c r="AL71" s="15">
        <f t="shared" si="95"/>
        <v>-0.266666666666667</v>
      </c>
      <c r="AM71" s="7">
        <f>VLOOKUP(C71,'[2]5月汇总'!$C:$I,3,0)</f>
        <v>143</v>
      </c>
      <c r="AN71" s="16">
        <f t="shared" si="80"/>
        <v>331.62099999999998</v>
      </c>
      <c r="AO71" s="17">
        <f t="shared" si="81"/>
        <v>0.33838877551020402</v>
      </c>
      <c r="AP71" s="19">
        <f>VLOOKUP(C71,[1]两年对比终版!$A:$F,6,0)</f>
        <v>550.22496799999999</v>
      </c>
      <c r="AQ71" s="15">
        <f t="shared" si="96"/>
        <v>-0.65919820518000904</v>
      </c>
      <c r="AR71" s="7">
        <f>VLOOKUP(C71,'[2]5月汇总'!$C:$I,4,0)</f>
        <v>14</v>
      </c>
      <c r="AS71" s="16">
        <f t="shared" si="82"/>
        <v>22</v>
      </c>
      <c r="AT71" s="17">
        <f t="shared" si="83"/>
        <v>0.67039855193912801</v>
      </c>
      <c r="AU71" s="7">
        <f>VLOOKUP(C71,[1]两年对比终版!$A:$W,14,0)</f>
        <v>14</v>
      </c>
      <c r="AV71" s="15">
        <f t="shared" si="97"/>
        <v>0.36363636363636398</v>
      </c>
      <c r="AW71" s="7">
        <f>VLOOKUP(C71,'[2]5月汇总'!$C:$I,5,0)</f>
        <v>143</v>
      </c>
      <c r="AX71" s="16">
        <f t="shared" si="84"/>
        <v>223.1857</v>
      </c>
      <c r="AY71" s="17">
        <f t="shared" si="85"/>
        <v>0.55518830845771105</v>
      </c>
      <c r="AZ71" s="19">
        <f>VLOOKUP(C71,[1]两年对比终版!$A:$W,17,0)</f>
        <v>177.80094199999999</v>
      </c>
      <c r="BA71" s="15">
        <f t="shared" si="98"/>
        <v>0.20334975762335999</v>
      </c>
      <c r="BB71" s="7">
        <f>VLOOKUP(C71,'[2]5月汇总'!$C:$I,6,0)</f>
        <v>1</v>
      </c>
      <c r="BC71" s="16">
        <f t="shared" si="86"/>
        <v>16</v>
      </c>
      <c r="BD71" s="17">
        <f t="shared" si="87"/>
        <v>0.48756258322845702</v>
      </c>
      <c r="BE71" s="18">
        <f>VLOOKUP(C71,[1]两年对比终版!$A:$W,20,0)</f>
        <v>17</v>
      </c>
      <c r="BF71" s="15">
        <f t="shared" si="99"/>
        <v>-6.25E-2</v>
      </c>
      <c r="BG71" s="7">
        <f>VLOOKUP(C71,'[2]5月汇总'!$C:$I,7,0)</f>
        <v>10.6</v>
      </c>
      <c r="BH71" s="16">
        <f t="shared" si="100"/>
        <v>166.24799999999999</v>
      </c>
      <c r="BI71" s="17">
        <f t="shared" si="101"/>
        <v>0.41355223880596997</v>
      </c>
      <c r="BJ71" s="20">
        <f>VLOOKUP(C71,[1]两年对比终版!$A:$W,23,0)</f>
        <v>210.26359199999999</v>
      </c>
      <c r="BK71" s="15">
        <f t="shared" si="102"/>
        <v>-0.26475862566767699</v>
      </c>
    </row>
    <row r="72" spans="1:63">
      <c r="A72" s="12">
        <v>62</v>
      </c>
      <c r="B72" s="12" t="s">
        <v>39</v>
      </c>
      <c r="C72" s="12" t="s">
        <v>96</v>
      </c>
      <c r="D72" s="13">
        <v>90</v>
      </c>
      <c r="E72" s="13">
        <v>23</v>
      </c>
      <c r="F72" s="14">
        <v>0.25555555555555498</v>
      </c>
      <c r="G72" s="13">
        <v>64</v>
      </c>
      <c r="H72" s="15">
        <f t="shared" si="89"/>
        <v>-1.7826086956521701</v>
      </c>
      <c r="I72" s="13">
        <v>800</v>
      </c>
      <c r="J72" s="13">
        <v>167.73500000000001</v>
      </c>
      <c r="K72" s="14">
        <v>0.20966874999999999</v>
      </c>
      <c r="L72" s="13">
        <v>563.05476000000101</v>
      </c>
      <c r="M72" s="15">
        <f t="shared" si="90"/>
        <v>-2.3568113989328499</v>
      </c>
      <c r="N72" s="13">
        <v>30</v>
      </c>
      <c r="O72" s="13">
        <v>0</v>
      </c>
      <c r="P72" s="14">
        <v>0</v>
      </c>
      <c r="Q72" s="13">
        <v>0</v>
      </c>
      <c r="R72" s="15" t="e">
        <f t="shared" si="91"/>
        <v>#DIV/0!</v>
      </c>
      <c r="S72" s="13">
        <v>300</v>
      </c>
      <c r="T72" s="13">
        <v>0</v>
      </c>
      <c r="U72" s="14">
        <v>0</v>
      </c>
      <c r="V72" s="13">
        <v>0</v>
      </c>
      <c r="W72" s="15" t="e">
        <f t="shared" si="92"/>
        <v>#DIV/0!</v>
      </c>
      <c r="X72" s="13">
        <v>30</v>
      </c>
      <c r="Y72" s="13">
        <v>0</v>
      </c>
      <c r="Z72" s="14">
        <v>0</v>
      </c>
      <c r="AA72" s="13">
        <v>0</v>
      </c>
      <c r="AB72" s="15" t="e">
        <f t="shared" si="93"/>
        <v>#DIV/0!</v>
      </c>
      <c r="AC72" s="13">
        <v>300</v>
      </c>
      <c r="AD72" s="13">
        <v>0</v>
      </c>
      <c r="AE72" s="14">
        <v>0</v>
      </c>
      <c r="AF72" s="13">
        <v>0</v>
      </c>
      <c r="AG72" s="15" t="e">
        <f t="shared" si="94"/>
        <v>#DIV/0!</v>
      </c>
      <c r="AH72" s="7">
        <f>VLOOKUP(C72,'[2]5月汇总'!$C:$I,2,0)</f>
        <v>8</v>
      </c>
      <c r="AI72" s="16">
        <f t="shared" si="88"/>
        <v>31</v>
      </c>
      <c r="AJ72" s="17">
        <f t="shared" si="79"/>
        <v>0.344444444444444</v>
      </c>
      <c r="AK72" s="18">
        <f>VLOOKUP(C72,[1]两年对比终版!$A:$C,3,0)</f>
        <v>129</v>
      </c>
      <c r="AL72" s="15">
        <f t="shared" si="95"/>
        <v>-3.1612903225806401</v>
      </c>
      <c r="AM72" s="7">
        <f>VLOOKUP(C72,'[2]5月汇总'!$C:$I,3,0)</f>
        <v>45</v>
      </c>
      <c r="AN72" s="16">
        <f t="shared" si="80"/>
        <v>212.73500000000001</v>
      </c>
      <c r="AO72" s="17">
        <f t="shared" si="81"/>
        <v>0.26591874999999998</v>
      </c>
      <c r="AP72" s="19">
        <f>VLOOKUP(C72,[1]两年对比终版!$A:$F,6,0)</f>
        <v>1471.255735</v>
      </c>
      <c r="AQ72" s="15">
        <f t="shared" si="96"/>
        <v>-5.9159082191458996</v>
      </c>
      <c r="AR72" s="7">
        <f>VLOOKUP(C72,'[2]5月汇总'!$C:$I,4,0)</f>
        <v>5</v>
      </c>
      <c r="AS72" s="16">
        <f t="shared" si="82"/>
        <v>5</v>
      </c>
      <c r="AT72" s="17">
        <f t="shared" si="83"/>
        <v>0.16666666666666699</v>
      </c>
      <c r="AU72" s="7">
        <f>VLOOKUP(C72,[1]两年对比终版!$A:$W,14,0)</f>
        <v>0</v>
      </c>
      <c r="AV72" s="15">
        <f t="shared" si="97"/>
        <v>1</v>
      </c>
      <c r="AW72" s="7">
        <f>VLOOKUP(C72,'[2]5月汇总'!$C:$I,5,0)</f>
        <v>26.9</v>
      </c>
      <c r="AX72" s="16">
        <f t="shared" si="84"/>
        <v>26.9</v>
      </c>
      <c r="AY72" s="17">
        <f t="shared" si="85"/>
        <v>8.96666666666667E-2</v>
      </c>
      <c r="AZ72" s="19">
        <f>VLOOKUP(C72,[1]两年对比终版!$A:$W,17,0)</f>
        <v>0</v>
      </c>
      <c r="BA72" s="15">
        <f t="shared" si="98"/>
        <v>1</v>
      </c>
      <c r="BB72" s="7">
        <f>VLOOKUP(C72,'[2]5月汇总'!$C:$I,6,0)</f>
        <v>0</v>
      </c>
      <c r="BC72" s="16">
        <f t="shared" si="86"/>
        <v>0</v>
      </c>
      <c r="BD72" s="17">
        <f t="shared" si="87"/>
        <v>0</v>
      </c>
      <c r="BE72" s="18">
        <f>VLOOKUP(C72,[1]两年对比终版!$A:$W,20,0)</f>
        <v>0</v>
      </c>
      <c r="BF72" s="15" t="e">
        <f t="shared" si="99"/>
        <v>#DIV/0!</v>
      </c>
      <c r="BG72" s="7">
        <f>VLOOKUP(C72,'[2]5月汇总'!$C:$I,7,0)</f>
        <v>0</v>
      </c>
      <c r="BH72" s="16">
        <f t="shared" si="100"/>
        <v>0</v>
      </c>
      <c r="BI72" s="17">
        <f t="shared" si="101"/>
        <v>0</v>
      </c>
      <c r="BJ72" s="20">
        <f>VLOOKUP(C72,[1]两年对比终版!$A:$W,23,0)</f>
        <v>0</v>
      </c>
      <c r="BK72" s="15" t="e">
        <f t="shared" si="102"/>
        <v>#DIV/0!</v>
      </c>
    </row>
    <row r="73" spans="1:63">
      <c r="A73" s="12">
        <v>63</v>
      </c>
      <c r="B73" s="12" t="s">
        <v>39</v>
      </c>
      <c r="C73" s="12" t="s">
        <v>97</v>
      </c>
      <c r="D73" s="13">
        <v>90</v>
      </c>
      <c r="E73" s="13">
        <v>23</v>
      </c>
      <c r="F73" s="14">
        <v>0.25555555555555498</v>
      </c>
      <c r="G73" s="13">
        <v>0</v>
      </c>
      <c r="H73" s="15">
        <f t="shared" si="89"/>
        <v>1</v>
      </c>
      <c r="I73" s="13">
        <v>800</v>
      </c>
      <c r="J73" s="13">
        <v>295.85300000000001</v>
      </c>
      <c r="K73" s="14">
        <v>0.36981625000000001</v>
      </c>
      <c r="L73" s="13">
        <v>0</v>
      </c>
      <c r="M73" s="15">
        <f t="shared" si="90"/>
        <v>1</v>
      </c>
      <c r="N73" s="13">
        <v>30</v>
      </c>
      <c r="O73" s="13">
        <v>2</v>
      </c>
      <c r="P73" s="14">
        <v>6.6666666666666693E-2</v>
      </c>
      <c r="Q73" s="13">
        <v>0</v>
      </c>
      <c r="R73" s="15">
        <f t="shared" si="91"/>
        <v>1</v>
      </c>
      <c r="S73" s="13">
        <v>300</v>
      </c>
      <c r="T73" s="13">
        <v>24.9391</v>
      </c>
      <c r="U73" s="14">
        <v>8.3130333333333306E-2</v>
      </c>
      <c r="V73" s="13">
        <v>0</v>
      </c>
      <c r="W73" s="15">
        <f t="shared" si="92"/>
        <v>1</v>
      </c>
      <c r="X73" s="13">
        <v>30</v>
      </c>
      <c r="Y73" s="13">
        <v>1</v>
      </c>
      <c r="Z73" s="14">
        <v>3.3333333333333298E-2</v>
      </c>
      <c r="AA73" s="13">
        <v>0</v>
      </c>
      <c r="AB73" s="15">
        <f t="shared" si="93"/>
        <v>1</v>
      </c>
      <c r="AC73" s="13">
        <v>300</v>
      </c>
      <c r="AD73" s="13">
        <v>13</v>
      </c>
      <c r="AE73" s="14">
        <v>4.33333333333333E-2</v>
      </c>
      <c r="AF73" s="13">
        <v>0</v>
      </c>
      <c r="AG73" s="15">
        <f t="shared" si="94"/>
        <v>1</v>
      </c>
      <c r="AH73" s="7">
        <f>VLOOKUP(C73,'[2]5月汇总'!$C:$I,2,0)</f>
        <v>9</v>
      </c>
      <c r="AI73" s="16">
        <f t="shared" si="88"/>
        <v>32</v>
      </c>
      <c r="AJ73" s="17">
        <f t="shared" si="79"/>
        <v>0.35555555555555601</v>
      </c>
      <c r="AK73" s="18">
        <f>VLOOKUP(C73,[1]两年对比终版!$A:$C,3,0)</f>
        <v>0</v>
      </c>
      <c r="AL73" s="15">
        <f t="shared" si="95"/>
        <v>1</v>
      </c>
      <c r="AM73" s="7">
        <f>VLOOKUP(C73,'[2]5月汇总'!$C:$I,3,0)</f>
        <v>147</v>
      </c>
      <c r="AN73" s="16">
        <f t="shared" si="80"/>
        <v>442.85300000000001</v>
      </c>
      <c r="AO73" s="17">
        <f t="shared" si="81"/>
        <v>0.55356625000000004</v>
      </c>
      <c r="AP73" s="19">
        <f>VLOOKUP(C73,[1]两年对比终版!$A:$F,6,0)</f>
        <v>0</v>
      </c>
      <c r="AQ73" s="15">
        <f t="shared" si="96"/>
        <v>1</v>
      </c>
      <c r="AR73" s="7">
        <f>VLOOKUP(C73,'[2]5月汇总'!$C:$I,4,0)</f>
        <v>1</v>
      </c>
      <c r="AS73" s="16">
        <f t="shared" si="82"/>
        <v>3</v>
      </c>
      <c r="AT73" s="17">
        <f t="shared" si="83"/>
        <v>0.1</v>
      </c>
      <c r="AU73" s="7">
        <f>VLOOKUP(C73,[1]两年对比终版!$A:$W,14,0)</f>
        <v>0</v>
      </c>
      <c r="AV73" s="15">
        <f t="shared" si="97"/>
        <v>1</v>
      </c>
      <c r="AW73" s="7">
        <f>VLOOKUP(C73,'[2]5月汇总'!$C:$I,5,0)</f>
        <v>12</v>
      </c>
      <c r="AX73" s="16">
        <f t="shared" si="84"/>
        <v>36.939100000000003</v>
      </c>
      <c r="AY73" s="17">
        <f t="shared" si="85"/>
        <v>0.12313033333333299</v>
      </c>
      <c r="AZ73" s="19">
        <f>VLOOKUP(C73,[1]两年对比终版!$A:$W,17,0)</f>
        <v>0</v>
      </c>
      <c r="BA73" s="15">
        <f t="shared" si="98"/>
        <v>1</v>
      </c>
      <c r="BB73" s="7">
        <f>VLOOKUP(C73,'[2]5月汇总'!$C:$I,6,0)</f>
        <v>1</v>
      </c>
      <c r="BC73" s="16">
        <f t="shared" si="86"/>
        <v>2</v>
      </c>
      <c r="BD73" s="17">
        <f t="shared" si="87"/>
        <v>6.6666666666666693E-2</v>
      </c>
      <c r="BE73" s="18">
        <f>VLOOKUP(C73,[1]两年对比终版!$A:$W,20,0)</f>
        <v>0</v>
      </c>
      <c r="BF73" s="15">
        <f t="shared" si="99"/>
        <v>1</v>
      </c>
      <c r="BG73" s="7">
        <f>VLOOKUP(C73,'[2]5月汇总'!$C:$I,7,0)</f>
        <v>11.5</v>
      </c>
      <c r="BH73" s="16">
        <f t="shared" si="100"/>
        <v>24.5</v>
      </c>
      <c r="BI73" s="17">
        <f t="shared" si="101"/>
        <v>8.1666666666666707E-2</v>
      </c>
      <c r="BJ73" s="20">
        <f>VLOOKUP(C73,[1]两年对比终版!$A:$W,23,0)</f>
        <v>0</v>
      </c>
      <c r="BK73" s="15">
        <f t="shared" si="102"/>
        <v>1</v>
      </c>
    </row>
    <row r="74" spans="1:63" s="4" customFormat="1">
      <c r="A74" s="93" t="s">
        <v>98</v>
      </c>
      <c r="B74" s="94"/>
      <c r="C74" s="94"/>
      <c r="D74" s="21">
        <v>1381</v>
      </c>
      <c r="E74" s="21">
        <v>331</v>
      </c>
      <c r="F74" s="22">
        <v>0.23968139029688601</v>
      </c>
      <c r="G74" s="21">
        <v>388</v>
      </c>
      <c r="H74" s="23">
        <f t="shared" si="89"/>
        <v>-0.17220543806646499</v>
      </c>
      <c r="I74" s="21">
        <v>10360</v>
      </c>
      <c r="J74" s="21">
        <v>2496.4299999999998</v>
      </c>
      <c r="K74" s="22">
        <v>0.24096814671814701</v>
      </c>
      <c r="L74" s="21">
        <v>3913.349643</v>
      </c>
      <c r="M74" s="23">
        <f t="shared" si="90"/>
        <v>-0.56757835909679</v>
      </c>
      <c r="N74" s="21">
        <v>555.61969999999997</v>
      </c>
      <c r="O74" s="21">
        <v>13</v>
      </c>
      <c r="P74" s="22">
        <v>2.3397298547909701E-2</v>
      </c>
      <c r="Q74" s="21">
        <v>26</v>
      </c>
      <c r="R74" s="23">
        <f t="shared" si="91"/>
        <v>-1</v>
      </c>
      <c r="S74" s="21">
        <v>4303.8419999999996</v>
      </c>
      <c r="T74" s="21">
        <v>129.63511</v>
      </c>
      <c r="U74" s="22">
        <v>3.0120787426676E-2</v>
      </c>
      <c r="V74" s="21">
        <v>281.56987800000002</v>
      </c>
      <c r="W74" s="23">
        <f t="shared" si="92"/>
        <v>-1.17201866068537</v>
      </c>
      <c r="X74" s="21">
        <v>555.61969999999997</v>
      </c>
      <c r="Y74" s="21">
        <v>27</v>
      </c>
      <c r="Z74" s="22">
        <v>4.8594389291812402E-2</v>
      </c>
      <c r="AA74" s="21">
        <v>22</v>
      </c>
      <c r="AB74" s="23">
        <f t="shared" si="93"/>
        <v>0.18518518518518501</v>
      </c>
      <c r="AC74" s="21">
        <v>4303.8419999999996</v>
      </c>
      <c r="AD74" s="21">
        <v>289.95100000000002</v>
      </c>
      <c r="AE74" s="22">
        <v>6.7370270562906301E-2</v>
      </c>
      <c r="AF74" s="21">
        <v>221.44835</v>
      </c>
      <c r="AG74" s="23">
        <f t="shared" si="94"/>
        <v>0.23625595359215901</v>
      </c>
      <c r="AH74" s="21">
        <f>SUM(AH68:AH73)</f>
        <v>261</v>
      </c>
      <c r="AI74" s="24">
        <f>AH74+E74</f>
        <v>592</v>
      </c>
      <c r="AJ74" s="25">
        <f t="shared" si="79"/>
        <v>0.42867487328023202</v>
      </c>
      <c r="AK74" s="21">
        <f>SUM(AK68:AK73)</f>
        <v>697</v>
      </c>
      <c r="AL74" s="23">
        <f t="shared" si="95"/>
        <v>-0.177364864864865</v>
      </c>
      <c r="AM74" s="21">
        <f>SUM(AM68:AM73)</f>
        <v>2017</v>
      </c>
      <c r="AN74" s="24">
        <f t="shared" si="80"/>
        <v>4513.43</v>
      </c>
      <c r="AO74" s="25">
        <f t="shared" si="81"/>
        <v>0.435659266409266</v>
      </c>
      <c r="AP74" s="21">
        <f>SUM(AP68:AP73)</f>
        <v>9747.0991529999792</v>
      </c>
      <c r="AQ74" s="23">
        <f t="shared" si="96"/>
        <v>-1.1595768967282001</v>
      </c>
      <c r="AR74" s="21">
        <f>SUM(AR68:AR73)</f>
        <v>39</v>
      </c>
      <c r="AS74" s="24">
        <f t="shared" si="82"/>
        <v>52</v>
      </c>
      <c r="AT74" s="25">
        <f t="shared" si="83"/>
        <v>9.3589194191638594E-2</v>
      </c>
      <c r="AU74" s="21">
        <f>SUM(AU68:AU73)</f>
        <v>427</v>
      </c>
      <c r="AV74" s="23">
        <f t="shared" si="97"/>
        <v>-7.2115384615384599</v>
      </c>
      <c r="AW74" s="21">
        <f>SUM(AW68:AW73)</f>
        <v>323.7</v>
      </c>
      <c r="AX74" s="24">
        <f t="shared" si="84"/>
        <v>453.33510999999999</v>
      </c>
      <c r="AY74" s="25">
        <f t="shared" si="85"/>
        <v>0.10533265626386799</v>
      </c>
      <c r="AZ74" s="21">
        <f>SUM(AZ68:AZ73)</f>
        <v>2633.1336299999898</v>
      </c>
      <c r="BA74" s="23">
        <f t="shared" si="98"/>
        <v>-4.8083602437057804</v>
      </c>
      <c r="BB74" s="21">
        <f>SUM(BB68:BB73)</f>
        <v>7</v>
      </c>
      <c r="BC74" s="24">
        <f t="shared" si="86"/>
        <v>34</v>
      </c>
      <c r="BD74" s="25">
        <f t="shared" si="87"/>
        <v>6.1192934663763701E-2</v>
      </c>
      <c r="BE74" s="21">
        <f>SUM(BE68:BE73)</f>
        <v>45</v>
      </c>
      <c r="BF74" s="23">
        <f t="shared" si="99"/>
        <v>-0.32352941176470601</v>
      </c>
      <c r="BG74" s="21">
        <f>SUM(BG68:BG73)</f>
        <v>68.900000000000006</v>
      </c>
      <c r="BH74" s="24">
        <f t="shared" si="100"/>
        <v>358.851</v>
      </c>
      <c r="BI74" s="25">
        <f t="shared" si="101"/>
        <v>8.3379222564397101E-2</v>
      </c>
      <c r="BJ74" s="21">
        <f>SUM(BJ68:BJ73)</f>
        <v>447.25259199999999</v>
      </c>
      <c r="BK74" s="23">
        <f t="shared" si="102"/>
        <v>-0.246346232837584</v>
      </c>
    </row>
    <row r="75" spans="1:63">
      <c r="A75" s="12">
        <v>64</v>
      </c>
      <c r="B75" s="12" t="s">
        <v>39</v>
      </c>
      <c r="C75" s="12" t="s">
        <v>99</v>
      </c>
      <c r="D75" s="13">
        <v>34</v>
      </c>
      <c r="E75" s="13">
        <v>0</v>
      </c>
      <c r="F75" s="14">
        <v>0</v>
      </c>
      <c r="G75" s="13">
        <v>0</v>
      </c>
      <c r="H75" s="15" t="e">
        <f t="shared" si="89"/>
        <v>#DIV/0!</v>
      </c>
      <c r="I75" s="13">
        <v>520</v>
      </c>
      <c r="J75" s="13">
        <v>0</v>
      </c>
      <c r="K75" s="14">
        <v>0</v>
      </c>
      <c r="L75" s="13">
        <v>0</v>
      </c>
      <c r="M75" s="15" t="e">
        <f t="shared" si="90"/>
        <v>#DIV/0!</v>
      </c>
      <c r="N75" s="13">
        <v>15</v>
      </c>
      <c r="O75" s="13">
        <v>0</v>
      </c>
      <c r="P75" s="14">
        <v>0</v>
      </c>
      <c r="Q75" s="13">
        <v>0</v>
      </c>
      <c r="R75" s="15" t="e">
        <f t="shared" si="91"/>
        <v>#DIV/0!</v>
      </c>
      <c r="S75" s="13">
        <v>210</v>
      </c>
      <c r="T75" s="13">
        <v>0</v>
      </c>
      <c r="U75" s="14">
        <v>0</v>
      </c>
      <c r="V75" s="13">
        <v>0</v>
      </c>
      <c r="W75" s="15" t="e">
        <f t="shared" si="92"/>
        <v>#DIV/0!</v>
      </c>
      <c r="X75" s="13">
        <v>15</v>
      </c>
      <c r="Y75" s="13">
        <v>0</v>
      </c>
      <c r="Z75" s="14">
        <v>0</v>
      </c>
      <c r="AA75" s="13">
        <v>0</v>
      </c>
      <c r="AB75" s="15" t="e">
        <f t="shared" si="93"/>
        <v>#DIV/0!</v>
      </c>
      <c r="AC75" s="13">
        <v>210</v>
      </c>
      <c r="AD75" s="13">
        <v>0</v>
      </c>
      <c r="AE75" s="14">
        <v>0</v>
      </c>
      <c r="AF75" s="13">
        <v>0</v>
      </c>
      <c r="AG75" s="15" t="e">
        <f t="shared" si="94"/>
        <v>#DIV/0!</v>
      </c>
      <c r="AH75" s="7">
        <f>VLOOKUP(C75,'[2]5月汇总'!$C:$I,2,0)</f>
        <v>0</v>
      </c>
      <c r="AI75" s="16">
        <f>E75+AH75</f>
        <v>0</v>
      </c>
      <c r="AJ75" s="17">
        <f t="shared" si="79"/>
        <v>0</v>
      </c>
      <c r="AK75" s="18">
        <f>VLOOKUP(C75,[1]两年对比终版!$A:$C,3,0)</f>
        <v>0</v>
      </c>
      <c r="AL75" s="15" t="e">
        <f t="shared" si="95"/>
        <v>#DIV/0!</v>
      </c>
      <c r="AM75" s="7">
        <f>VLOOKUP(C75,'[2]5月汇总'!$C:$I,3,0)</f>
        <v>0</v>
      </c>
      <c r="AN75" s="16">
        <f t="shared" si="80"/>
        <v>0</v>
      </c>
      <c r="AO75" s="17">
        <f t="shared" si="81"/>
        <v>0</v>
      </c>
      <c r="AP75" s="19">
        <f>VLOOKUP(C75,[1]两年对比终版!$A:$F,6,0)</f>
        <v>0</v>
      </c>
      <c r="AQ75" s="15" t="e">
        <f t="shared" si="96"/>
        <v>#DIV/0!</v>
      </c>
      <c r="AR75" s="7">
        <f>VLOOKUP(C75,'[2]5月汇总'!$C:$I,4,0)</f>
        <v>0</v>
      </c>
      <c r="AS75" s="16">
        <f t="shared" si="82"/>
        <v>0</v>
      </c>
      <c r="AT75" s="17">
        <f t="shared" si="83"/>
        <v>0</v>
      </c>
      <c r="AU75" s="7">
        <f>VLOOKUP(C75,[1]两年对比终版!$A:$W,14,0)</f>
        <v>0</v>
      </c>
      <c r="AV75" s="15" t="e">
        <f t="shared" si="97"/>
        <v>#DIV/0!</v>
      </c>
      <c r="AW75" s="7">
        <f>VLOOKUP(C75,'[2]5月汇总'!$C:$I,5,0)</f>
        <v>0</v>
      </c>
      <c r="AX75" s="16">
        <f t="shared" si="84"/>
        <v>0</v>
      </c>
      <c r="AY75" s="17">
        <f t="shared" si="85"/>
        <v>0</v>
      </c>
      <c r="AZ75" s="19">
        <f>VLOOKUP(C75,[1]两年对比终版!$A:$W,17,0)</f>
        <v>0</v>
      </c>
      <c r="BA75" s="15" t="e">
        <f t="shared" si="98"/>
        <v>#DIV/0!</v>
      </c>
      <c r="BB75" s="7">
        <f>VLOOKUP(C75,'[2]5月汇总'!$C:$I,6,0)</f>
        <v>0</v>
      </c>
      <c r="BC75" s="16">
        <f t="shared" si="86"/>
        <v>0</v>
      </c>
      <c r="BD75" s="17">
        <f t="shared" si="87"/>
        <v>0</v>
      </c>
      <c r="BE75" s="18">
        <f>VLOOKUP(C75,[1]两年对比终版!$A:$W,20,0)</f>
        <v>0</v>
      </c>
      <c r="BF75" s="15" t="e">
        <f t="shared" si="99"/>
        <v>#DIV/0!</v>
      </c>
      <c r="BG75" s="7">
        <f>VLOOKUP(C75,'[2]5月汇总'!$C:$I,7,0)</f>
        <v>0</v>
      </c>
      <c r="BH75" s="16">
        <f t="shared" ref="BH75:BH79" si="103">BG75+AD75</f>
        <v>0</v>
      </c>
      <c r="BI75" s="17">
        <f t="shared" ref="BI75:BI79" si="104">BH75/AC75</f>
        <v>0</v>
      </c>
      <c r="BJ75" s="20">
        <f>VLOOKUP(C75,[1]两年对比终版!$A:$W,23,0)</f>
        <v>0</v>
      </c>
      <c r="BK75" s="15" t="e">
        <f t="shared" si="102"/>
        <v>#DIV/0!</v>
      </c>
    </row>
    <row r="76" spans="1:63">
      <c r="A76" s="12">
        <v>65</v>
      </c>
      <c r="B76" s="12" t="s">
        <v>39</v>
      </c>
      <c r="C76" s="12" t="s">
        <v>100</v>
      </c>
      <c r="D76" s="13">
        <v>50</v>
      </c>
      <c r="E76" s="13">
        <v>0</v>
      </c>
      <c r="F76" s="14">
        <v>0</v>
      </c>
      <c r="G76" s="13">
        <v>0</v>
      </c>
      <c r="H76" s="15" t="e">
        <f t="shared" si="89"/>
        <v>#DIV/0!</v>
      </c>
      <c r="I76" s="13">
        <v>500</v>
      </c>
      <c r="J76" s="13">
        <v>0</v>
      </c>
      <c r="K76" s="14">
        <v>0</v>
      </c>
      <c r="L76" s="13">
        <v>0</v>
      </c>
      <c r="M76" s="15" t="e">
        <f t="shared" si="90"/>
        <v>#DIV/0!</v>
      </c>
      <c r="N76" s="13">
        <v>15</v>
      </c>
      <c r="O76" s="13">
        <v>0</v>
      </c>
      <c r="P76" s="14">
        <v>0</v>
      </c>
      <c r="Q76" s="13">
        <v>0</v>
      </c>
      <c r="R76" s="15" t="e">
        <f t="shared" si="91"/>
        <v>#DIV/0!</v>
      </c>
      <c r="S76" s="13">
        <v>201</v>
      </c>
      <c r="T76" s="13">
        <v>0</v>
      </c>
      <c r="U76" s="14">
        <v>0</v>
      </c>
      <c r="V76" s="13">
        <v>0</v>
      </c>
      <c r="W76" s="15" t="e">
        <f t="shared" si="92"/>
        <v>#DIV/0!</v>
      </c>
      <c r="X76" s="13">
        <v>15</v>
      </c>
      <c r="Y76" s="13">
        <v>0</v>
      </c>
      <c r="Z76" s="14">
        <v>0</v>
      </c>
      <c r="AA76" s="13">
        <v>0</v>
      </c>
      <c r="AB76" s="15" t="e">
        <f t="shared" si="93"/>
        <v>#DIV/0!</v>
      </c>
      <c r="AC76" s="13">
        <v>201</v>
      </c>
      <c r="AD76" s="13">
        <v>0</v>
      </c>
      <c r="AE76" s="14">
        <v>0</v>
      </c>
      <c r="AF76" s="13">
        <v>0</v>
      </c>
      <c r="AG76" s="15" t="e">
        <f t="shared" si="94"/>
        <v>#DIV/0!</v>
      </c>
      <c r="AH76" s="7">
        <f>VLOOKUP(C76,'[2]5月汇总'!$C:$I,2,0)</f>
        <v>6</v>
      </c>
      <c r="AI76" s="16">
        <f>E76+AH76</f>
        <v>6</v>
      </c>
      <c r="AJ76" s="17">
        <f t="shared" si="79"/>
        <v>0.12</v>
      </c>
      <c r="AK76" s="18">
        <f>VLOOKUP(C76,[1]两年对比终版!$A:$C,3,0)</f>
        <v>0</v>
      </c>
      <c r="AL76" s="15">
        <f t="shared" si="95"/>
        <v>1</v>
      </c>
      <c r="AM76" s="7">
        <f>VLOOKUP(C76,'[2]5月汇总'!$C:$I,3,0)</f>
        <v>33.6</v>
      </c>
      <c r="AN76" s="16">
        <f t="shared" si="80"/>
        <v>33.6</v>
      </c>
      <c r="AO76" s="17">
        <f t="shared" si="81"/>
        <v>6.7199999999999996E-2</v>
      </c>
      <c r="AP76" s="19">
        <f>VLOOKUP(C76,[1]两年对比终版!$A:$F,6,0)</f>
        <v>0</v>
      </c>
      <c r="AQ76" s="15">
        <f t="shared" si="96"/>
        <v>1</v>
      </c>
      <c r="AR76" s="7">
        <f>VLOOKUP(C76,'[2]5月汇总'!$C:$I,4,0)</f>
        <v>6</v>
      </c>
      <c r="AS76" s="16">
        <f t="shared" si="82"/>
        <v>6</v>
      </c>
      <c r="AT76" s="17">
        <f t="shared" si="83"/>
        <v>0.4</v>
      </c>
      <c r="AU76" s="7">
        <f>VLOOKUP(C76,[1]两年对比终版!$A:$W,14,0)</f>
        <v>0</v>
      </c>
      <c r="AV76" s="15">
        <f t="shared" si="97"/>
        <v>1</v>
      </c>
      <c r="AW76" s="7">
        <f>VLOOKUP(C76,'[2]5月汇总'!$C:$I,5,0)</f>
        <v>16.8</v>
      </c>
      <c r="AX76" s="16">
        <f t="shared" si="84"/>
        <v>16.8</v>
      </c>
      <c r="AY76" s="17">
        <f t="shared" si="85"/>
        <v>8.3582089552238795E-2</v>
      </c>
      <c r="AZ76" s="19">
        <f>VLOOKUP(C76,[1]两年对比终版!$A:$W,17,0)</f>
        <v>0</v>
      </c>
      <c r="BA76" s="15">
        <f t="shared" si="98"/>
        <v>1</v>
      </c>
      <c r="BB76" s="7">
        <f>VLOOKUP(C76,'[2]5月汇总'!$C:$I,6,0)</f>
        <v>1</v>
      </c>
      <c r="BC76" s="16">
        <f t="shared" si="86"/>
        <v>1</v>
      </c>
      <c r="BD76" s="17">
        <f t="shared" si="87"/>
        <v>6.6666666666666693E-2</v>
      </c>
      <c r="BE76" s="18">
        <f>VLOOKUP(C76,[1]两年对比终版!$A:$W,20,0)</f>
        <v>0</v>
      </c>
      <c r="BF76" s="15">
        <f t="shared" si="99"/>
        <v>1</v>
      </c>
      <c r="BG76" s="7">
        <f>VLOOKUP(C76,'[2]5月汇总'!$C:$I,7,0)</f>
        <v>2.1</v>
      </c>
      <c r="BH76" s="16">
        <f t="shared" si="103"/>
        <v>2.1</v>
      </c>
      <c r="BI76" s="17">
        <f t="shared" si="104"/>
        <v>1.04477611940299E-2</v>
      </c>
      <c r="BJ76" s="20">
        <f>VLOOKUP(C76,[1]两年对比终版!$A:$W,23,0)</f>
        <v>0</v>
      </c>
      <c r="BK76" s="15">
        <f t="shared" si="102"/>
        <v>1</v>
      </c>
    </row>
    <row r="77" spans="1:63">
      <c r="A77" s="12">
        <v>66</v>
      </c>
      <c r="B77" s="12" t="s">
        <v>39</v>
      </c>
      <c r="C77" s="12" t="s">
        <v>101</v>
      </c>
      <c r="D77" s="13">
        <v>34</v>
      </c>
      <c r="E77" s="13">
        <v>1</v>
      </c>
      <c r="F77" s="14">
        <v>2.94117647058823E-2</v>
      </c>
      <c r="G77" s="13">
        <v>0</v>
      </c>
      <c r="H77" s="15">
        <f t="shared" si="89"/>
        <v>1</v>
      </c>
      <c r="I77" s="13">
        <v>520</v>
      </c>
      <c r="J77" s="13">
        <v>5.4529699999999997</v>
      </c>
      <c r="K77" s="14">
        <v>1.04864807692308E-2</v>
      </c>
      <c r="L77" s="13">
        <v>0</v>
      </c>
      <c r="M77" s="15">
        <f t="shared" si="90"/>
        <v>1</v>
      </c>
      <c r="N77" s="13">
        <v>15</v>
      </c>
      <c r="O77" s="13">
        <v>0</v>
      </c>
      <c r="P77" s="14">
        <v>0</v>
      </c>
      <c r="Q77" s="13">
        <v>0</v>
      </c>
      <c r="R77" s="15" t="e">
        <f t="shared" si="91"/>
        <v>#DIV/0!</v>
      </c>
      <c r="S77" s="13">
        <v>210</v>
      </c>
      <c r="T77" s="13">
        <v>0</v>
      </c>
      <c r="U77" s="14">
        <v>0</v>
      </c>
      <c r="V77" s="13">
        <v>0</v>
      </c>
      <c r="W77" s="15" t="e">
        <f t="shared" si="92"/>
        <v>#DIV/0!</v>
      </c>
      <c r="X77" s="13">
        <v>15</v>
      </c>
      <c r="Y77" s="13">
        <v>0</v>
      </c>
      <c r="Z77" s="14">
        <v>0</v>
      </c>
      <c r="AA77" s="13">
        <v>0</v>
      </c>
      <c r="AB77" s="15" t="e">
        <f t="shared" si="93"/>
        <v>#DIV/0!</v>
      </c>
      <c r="AC77" s="13">
        <v>210</v>
      </c>
      <c r="AD77" s="13">
        <v>0</v>
      </c>
      <c r="AE77" s="14">
        <v>0</v>
      </c>
      <c r="AF77" s="13">
        <v>0</v>
      </c>
      <c r="AG77" s="15" t="e">
        <f t="shared" si="94"/>
        <v>#DIV/0!</v>
      </c>
      <c r="AH77" s="7">
        <f>VLOOKUP(C77,'[2]5月汇总'!$C:$I,2,0)</f>
        <v>0</v>
      </c>
      <c r="AI77" s="16">
        <f>E77+AH77</f>
        <v>1</v>
      </c>
      <c r="AJ77" s="17">
        <f t="shared" si="79"/>
        <v>2.9411764705882401E-2</v>
      </c>
      <c r="AK77" s="18">
        <f>VLOOKUP(C77,[1]两年对比终版!$A:$C,3,0)</f>
        <v>0</v>
      </c>
      <c r="AL77" s="15">
        <f t="shared" si="95"/>
        <v>1</v>
      </c>
      <c r="AM77" s="7">
        <f>VLOOKUP(C77,'[2]5月汇总'!$C:$I,3,0)</f>
        <v>0</v>
      </c>
      <c r="AN77" s="16"/>
      <c r="AO77" s="17"/>
      <c r="AP77" s="19">
        <f>VLOOKUP(C77,[1]两年对比终版!$A:$F,6,0)</f>
        <v>0</v>
      </c>
      <c r="AQ77" s="15" t="e">
        <f t="shared" si="96"/>
        <v>#DIV/0!</v>
      </c>
      <c r="AR77" s="7">
        <f>VLOOKUP(C77,'[2]5月汇总'!$C:$I,4,0)</f>
        <v>0</v>
      </c>
      <c r="AS77" s="16"/>
      <c r="AT77" s="17"/>
      <c r="AU77" s="7">
        <f>VLOOKUP(C77,[1]两年对比终版!$A:$W,14,0)</f>
        <v>0</v>
      </c>
      <c r="AV77" s="15" t="e">
        <f t="shared" si="97"/>
        <v>#DIV/0!</v>
      </c>
      <c r="AW77" s="7">
        <f>VLOOKUP(C77,'[2]5月汇总'!$C:$I,5,0)</f>
        <v>0</v>
      </c>
      <c r="AX77" s="16"/>
      <c r="AY77" s="17"/>
      <c r="AZ77" s="19">
        <f>VLOOKUP(C77,[1]两年对比终版!$A:$W,17,0)</f>
        <v>0</v>
      </c>
      <c r="BA77" s="15" t="e">
        <f t="shared" si="98"/>
        <v>#DIV/0!</v>
      </c>
      <c r="BB77" s="7">
        <f>VLOOKUP(C77,'[2]5月汇总'!$C:$I,6,0)</f>
        <v>0</v>
      </c>
      <c r="BC77" s="16"/>
      <c r="BD77" s="17"/>
      <c r="BE77" s="18">
        <f>VLOOKUP(C77,[1]两年对比终版!$A:$W,20,0)</f>
        <v>0</v>
      </c>
      <c r="BF77" s="15" t="e">
        <f t="shared" si="99"/>
        <v>#DIV/0!</v>
      </c>
      <c r="BG77" s="7">
        <f>VLOOKUP(C77,'[2]5月汇总'!$C:$I,7,0)</f>
        <v>3</v>
      </c>
      <c r="BH77" s="16">
        <f t="shared" si="103"/>
        <v>3</v>
      </c>
      <c r="BI77" s="17">
        <f t="shared" si="104"/>
        <v>1.4285714285714299E-2</v>
      </c>
      <c r="BJ77" s="20">
        <f>VLOOKUP(C77,[1]两年对比终版!$A:$W,23,0)</f>
        <v>0</v>
      </c>
      <c r="BK77" s="15">
        <f t="shared" si="102"/>
        <v>1</v>
      </c>
    </row>
    <row r="78" spans="1:63" s="4" customFormat="1">
      <c r="A78" s="93" t="s">
        <v>102</v>
      </c>
      <c r="B78" s="94"/>
      <c r="C78" s="94"/>
      <c r="D78" s="21">
        <v>118</v>
      </c>
      <c r="E78" s="21">
        <v>1</v>
      </c>
      <c r="F78" s="22">
        <v>8.4745762711864406E-3</v>
      </c>
      <c r="G78" s="21">
        <v>0</v>
      </c>
      <c r="H78" s="23">
        <f t="shared" si="89"/>
        <v>1</v>
      </c>
      <c r="I78" s="21">
        <v>1540</v>
      </c>
      <c r="J78" s="21">
        <v>5.4529699999999997</v>
      </c>
      <c r="K78" s="22">
        <v>3.5408896103896002E-3</v>
      </c>
      <c r="L78" s="21">
        <v>0</v>
      </c>
      <c r="M78" s="23">
        <f t="shared" si="90"/>
        <v>1</v>
      </c>
      <c r="N78" s="21">
        <v>45</v>
      </c>
      <c r="O78" s="21">
        <v>0</v>
      </c>
      <c r="P78" s="22">
        <v>0</v>
      </c>
      <c r="Q78" s="21">
        <v>0</v>
      </c>
      <c r="R78" s="23" t="e">
        <f t="shared" si="91"/>
        <v>#DIV/0!</v>
      </c>
      <c r="S78" s="21">
        <v>621</v>
      </c>
      <c r="T78" s="21">
        <v>0</v>
      </c>
      <c r="U78" s="22">
        <v>0</v>
      </c>
      <c r="V78" s="21">
        <v>0</v>
      </c>
      <c r="W78" s="23" t="e">
        <f t="shared" si="92"/>
        <v>#DIV/0!</v>
      </c>
      <c r="X78" s="21">
        <v>45</v>
      </c>
      <c r="Y78" s="21">
        <v>0</v>
      </c>
      <c r="Z78" s="22">
        <v>0</v>
      </c>
      <c r="AA78" s="21">
        <v>0</v>
      </c>
      <c r="AB78" s="23" t="e">
        <f t="shared" si="93"/>
        <v>#DIV/0!</v>
      </c>
      <c r="AC78" s="21">
        <v>621</v>
      </c>
      <c r="AD78" s="21">
        <v>0</v>
      </c>
      <c r="AE78" s="22">
        <v>0</v>
      </c>
      <c r="AF78" s="22">
        <v>0</v>
      </c>
      <c r="AG78" s="23" t="e">
        <f t="shared" si="94"/>
        <v>#DIV/0!</v>
      </c>
      <c r="AH78" s="21">
        <f>SUM(AH75:AH77)</f>
        <v>6</v>
      </c>
      <c r="AI78" s="24">
        <f>AH78+E78</f>
        <v>7</v>
      </c>
      <c r="AJ78" s="25">
        <f t="shared" si="79"/>
        <v>5.93220338983051E-2</v>
      </c>
      <c r="AK78" s="21">
        <f>SUM(AK75:AK77)</f>
        <v>0</v>
      </c>
      <c r="AL78" s="23">
        <f t="shared" si="95"/>
        <v>1</v>
      </c>
      <c r="AM78" s="21">
        <f>SUM(AM75:AM77)</f>
        <v>33.6</v>
      </c>
      <c r="AN78" s="24">
        <f t="shared" ref="AN78:AN79" si="105">AM78+J78</f>
        <v>39.052970000000002</v>
      </c>
      <c r="AO78" s="25">
        <f t="shared" ref="AO78:AO79" si="106">AN78/I78</f>
        <v>2.5359071428571401E-2</v>
      </c>
      <c r="AP78" s="21">
        <f>SUM(AP75:AP77)</f>
        <v>0</v>
      </c>
      <c r="AQ78" s="23">
        <f t="shared" si="96"/>
        <v>1</v>
      </c>
      <c r="AR78" s="21">
        <f>SUM(AR75:AR77)</f>
        <v>6</v>
      </c>
      <c r="AS78" s="24">
        <f>AR78+O78</f>
        <v>6</v>
      </c>
      <c r="AT78" s="25">
        <f>AS78/N78</f>
        <v>0.133333333333333</v>
      </c>
      <c r="AU78" s="21">
        <f>SUM(AU75:AU77)</f>
        <v>0</v>
      </c>
      <c r="AV78" s="23">
        <f t="shared" si="97"/>
        <v>1</v>
      </c>
      <c r="AW78" s="21">
        <f>SUM(AW75:AW77)</f>
        <v>16.8</v>
      </c>
      <c r="AX78" s="24">
        <f t="shared" ref="AX78:AX79" si="107">AW78+T78</f>
        <v>16.8</v>
      </c>
      <c r="AY78" s="25">
        <f t="shared" ref="AY78:AY79" si="108">AX78/S78</f>
        <v>2.7053140096618401E-2</v>
      </c>
      <c r="AZ78" s="21">
        <f>SUM(AZ75:AZ77)</f>
        <v>0</v>
      </c>
      <c r="BA78" s="23">
        <f t="shared" si="98"/>
        <v>1</v>
      </c>
      <c r="BB78" s="21">
        <f>SUM(BB75:BB77)</f>
        <v>1</v>
      </c>
      <c r="BC78" s="24">
        <f>BB78+Y78</f>
        <v>1</v>
      </c>
      <c r="BD78" s="25">
        <f>BC78/X78</f>
        <v>2.2222222222222199E-2</v>
      </c>
      <c r="BE78" s="21">
        <f>SUM(BE75:BE77)</f>
        <v>0</v>
      </c>
      <c r="BF78" s="23">
        <f t="shared" si="99"/>
        <v>1</v>
      </c>
      <c r="BG78" s="21">
        <f>SUM(BG75:BG77)</f>
        <v>5.0999999999999996</v>
      </c>
      <c r="BH78" s="24">
        <f t="shared" si="103"/>
        <v>5.0999999999999996</v>
      </c>
      <c r="BI78" s="25">
        <f t="shared" si="104"/>
        <v>8.2125603864734303E-3</v>
      </c>
      <c r="BJ78" s="21">
        <f>SUM(BJ75:BJ77)</f>
        <v>0</v>
      </c>
      <c r="BK78" s="23">
        <f t="shared" si="102"/>
        <v>1</v>
      </c>
    </row>
    <row r="79" spans="1:63">
      <c r="A79" s="12">
        <v>67</v>
      </c>
      <c r="B79" s="12"/>
      <c r="C79" s="12" t="s">
        <v>103</v>
      </c>
      <c r="D79" s="13"/>
      <c r="E79" s="13">
        <v>0</v>
      </c>
      <c r="F79" s="14"/>
      <c r="G79" s="13">
        <v>0</v>
      </c>
      <c r="H79" s="15" t="e">
        <f t="shared" si="89"/>
        <v>#DIV/0!</v>
      </c>
      <c r="I79" s="13">
        <v>1402</v>
      </c>
      <c r="J79" s="13">
        <v>402.9128586768</v>
      </c>
      <c r="K79" s="14">
        <v>0.28738434998345203</v>
      </c>
      <c r="L79" s="13">
        <v>311.58418128</v>
      </c>
      <c r="M79" s="15">
        <f t="shared" si="90"/>
        <v>0.22667104171540001</v>
      </c>
      <c r="N79" s="13">
        <v>0</v>
      </c>
      <c r="O79" s="13">
        <v>0</v>
      </c>
      <c r="P79" s="14"/>
      <c r="Q79" s="13">
        <v>0</v>
      </c>
      <c r="R79" s="15" t="e">
        <f t="shared" si="91"/>
        <v>#DIV/0!</v>
      </c>
      <c r="S79" s="13">
        <v>600</v>
      </c>
      <c r="T79" s="13">
        <v>95.229619510000006</v>
      </c>
      <c r="U79" s="14">
        <v>0.15871603251666699</v>
      </c>
      <c r="V79" s="13">
        <v>350.25346499070002</v>
      </c>
      <c r="W79" s="15">
        <f t="shared" si="92"/>
        <v>-2.6779887055405101</v>
      </c>
      <c r="X79" s="13">
        <v>0</v>
      </c>
      <c r="Y79" s="13">
        <v>0</v>
      </c>
      <c r="Z79" s="14"/>
      <c r="AA79" s="13">
        <v>0</v>
      </c>
      <c r="AB79" s="15" t="e">
        <f t="shared" si="93"/>
        <v>#DIV/0!</v>
      </c>
      <c r="AC79" s="13">
        <v>600</v>
      </c>
      <c r="AD79" s="13">
        <v>95.229619510000006</v>
      </c>
      <c r="AE79" s="14">
        <v>0.15871603251666699</v>
      </c>
      <c r="AF79" s="13">
        <v>350.25346499070002</v>
      </c>
      <c r="AG79" s="15">
        <f t="shared" si="94"/>
        <v>-2.6779887055405101</v>
      </c>
      <c r="AH79" s="7"/>
      <c r="AI79" s="16"/>
      <c r="AJ79" s="17"/>
      <c r="AK79" s="18">
        <f>VLOOKUP(C79,[1]两年对比终版!$A:$C,3,0)</f>
        <v>0</v>
      </c>
      <c r="AL79" s="15" t="e">
        <f t="shared" si="95"/>
        <v>#DIV/0!</v>
      </c>
      <c r="AM79" s="7">
        <f>VLOOKUP(C79,'[2]5月汇总'!$C:$I,3,0)</f>
        <v>22</v>
      </c>
      <c r="AN79" s="16">
        <f t="shared" si="105"/>
        <v>424.9128586768</v>
      </c>
      <c r="AO79" s="17">
        <f t="shared" si="106"/>
        <v>0.30307621874236801</v>
      </c>
      <c r="AP79" s="19">
        <f>VLOOKUP(C79,[1]两年对比终版!$A:$F,6,0)</f>
        <v>311.58418128</v>
      </c>
      <c r="AQ79" s="15">
        <f t="shared" si="96"/>
        <v>0.266710397397036</v>
      </c>
      <c r="AR79" s="7">
        <f>VLOOKUP(C79,'[2]5月汇总'!$C:$I,4,0)</f>
        <v>0</v>
      </c>
      <c r="AS79" s="16"/>
      <c r="AT79" s="17"/>
      <c r="AU79" s="7">
        <f>VLOOKUP(C79,[1]两年对比终版!$A:$W,14,0)</f>
        <v>0</v>
      </c>
      <c r="AV79" s="15" t="e">
        <f t="shared" si="97"/>
        <v>#DIV/0!</v>
      </c>
      <c r="AW79" s="7">
        <f>VLOOKUP(C79,'[2]5月汇总'!$C:$I,5,0)</f>
        <v>22</v>
      </c>
      <c r="AX79" s="16">
        <f t="shared" si="107"/>
        <v>117.22961951000001</v>
      </c>
      <c r="AY79" s="17">
        <f t="shared" si="108"/>
        <v>0.19538269918333301</v>
      </c>
      <c r="AZ79" s="19">
        <f>VLOOKUP(C79,[1]两年对比终版!$A:$W,17,0)</f>
        <v>350.25346499070002</v>
      </c>
      <c r="BA79" s="15">
        <f t="shared" si="98"/>
        <v>-1.9877557093053799</v>
      </c>
      <c r="BB79" s="7">
        <f>VLOOKUP(C79,'[2]5月汇总'!$C:$I,6,0)</f>
        <v>0</v>
      </c>
      <c r="BC79" s="16"/>
      <c r="BD79" s="17"/>
      <c r="BE79" s="18">
        <f>VLOOKUP(C79,[1]两年对比终版!$A:$W,20,0)</f>
        <v>0</v>
      </c>
      <c r="BF79" s="15" t="e">
        <f t="shared" si="99"/>
        <v>#DIV/0!</v>
      </c>
      <c r="BG79" s="7">
        <f>VLOOKUP(C79,'[2]5月汇总'!$C:$I,7,0)</f>
        <v>13</v>
      </c>
      <c r="BH79" s="16">
        <f t="shared" si="103"/>
        <v>108.22961951000001</v>
      </c>
      <c r="BI79" s="17">
        <f t="shared" si="104"/>
        <v>0.180382699183333</v>
      </c>
      <c r="BJ79" s="20">
        <f>VLOOKUP(C79,[1]两年对比终版!$A:$W,23,0)</f>
        <v>350.25346499070002</v>
      </c>
      <c r="BK79" s="15">
        <f t="shared" si="102"/>
        <v>-2.2362071175750402</v>
      </c>
    </row>
    <row r="80" spans="1:63">
      <c r="A80" s="12">
        <v>68</v>
      </c>
      <c r="B80" s="12"/>
      <c r="C80" s="12" t="s">
        <v>104</v>
      </c>
      <c r="D80" s="13"/>
      <c r="E80" s="13">
        <v>0</v>
      </c>
      <c r="F80" s="14"/>
      <c r="G80" s="13">
        <v>0</v>
      </c>
      <c r="H80" s="15" t="e">
        <f t="shared" si="89"/>
        <v>#DIV/0!</v>
      </c>
      <c r="I80" s="13">
        <v>720</v>
      </c>
      <c r="J80" s="13">
        <v>143.33000000000001</v>
      </c>
      <c r="K80" s="14">
        <v>0.19906944444444399</v>
      </c>
      <c r="L80" s="13">
        <v>0</v>
      </c>
      <c r="M80" s="15">
        <f t="shared" si="90"/>
        <v>1</v>
      </c>
      <c r="N80" s="13">
        <v>0</v>
      </c>
      <c r="O80" s="13">
        <v>0</v>
      </c>
      <c r="P80" s="14"/>
      <c r="Q80" s="13">
        <v>0</v>
      </c>
      <c r="R80" s="15" t="e">
        <f t="shared" si="91"/>
        <v>#DIV/0!</v>
      </c>
      <c r="S80" s="13">
        <v>300</v>
      </c>
      <c r="T80" s="13">
        <v>0</v>
      </c>
      <c r="U80" s="14">
        <v>0</v>
      </c>
      <c r="V80" s="13">
        <v>0</v>
      </c>
      <c r="W80" s="15" t="e">
        <f t="shared" si="92"/>
        <v>#DIV/0!</v>
      </c>
      <c r="X80" s="13">
        <v>0</v>
      </c>
      <c r="Y80" s="13">
        <v>0</v>
      </c>
      <c r="Z80" s="14"/>
      <c r="AA80" s="13">
        <v>0</v>
      </c>
      <c r="AB80" s="15" t="e">
        <f t="shared" si="93"/>
        <v>#DIV/0!</v>
      </c>
      <c r="AC80" s="13">
        <v>300</v>
      </c>
      <c r="AD80" s="13">
        <v>0</v>
      </c>
      <c r="AE80" s="14">
        <v>0</v>
      </c>
      <c r="AF80" s="13">
        <v>0</v>
      </c>
      <c r="AG80" s="15" t="e">
        <f t="shared" si="94"/>
        <v>#DIV/0!</v>
      </c>
      <c r="AH80" s="7"/>
      <c r="AI80" s="16"/>
      <c r="AJ80" s="17"/>
      <c r="AK80" s="18">
        <f>VLOOKUP(C80,[1]两年对比终版!$A:$C,3,0)</f>
        <v>0</v>
      </c>
      <c r="AL80" s="15" t="e">
        <f t="shared" si="95"/>
        <v>#DIV/0!</v>
      </c>
      <c r="AM80" s="7">
        <f>VLOOKUP(C80,'[2]5月汇总'!$C:$I,3,0)</f>
        <v>0</v>
      </c>
      <c r="AN80" s="16"/>
      <c r="AO80" s="17"/>
      <c r="AP80" s="19">
        <f>VLOOKUP(C80,[1]两年对比终版!$A:$F,6,0)</f>
        <v>0</v>
      </c>
      <c r="AQ80" s="15" t="e">
        <f t="shared" si="96"/>
        <v>#DIV/0!</v>
      </c>
      <c r="AR80" s="7">
        <f>VLOOKUP(C80,'[2]5月汇总'!$C:$I,4,0)</f>
        <v>0</v>
      </c>
      <c r="AS80" s="16"/>
      <c r="AT80" s="17"/>
      <c r="AU80" s="7">
        <f>VLOOKUP(C80,[1]两年对比终版!$A:$W,14,0)</f>
        <v>0</v>
      </c>
      <c r="AV80" s="15" t="e">
        <f t="shared" si="97"/>
        <v>#DIV/0!</v>
      </c>
      <c r="AW80" s="7">
        <f>VLOOKUP(C80,'[2]5月汇总'!$C:$I,5,0)</f>
        <v>0</v>
      </c>
      <c r="AX80" s="16"/>
      <c r="AY80" s="17"/>
      <c r="AZ80" s="19">
        <f>VLOOKUP(C80,[1]两年对比终版!$A:$W,17,0)</f>
        <v>0</v>
      </c>
      <c r="BA80" s="15" t="e">
        <f t="shared" si="98"/>
        <v>#DIV/0!</v>
      </c>
      <c r="BB80" s="7">
        <f>VLOOKUP(C80,'[2]5月汇总'!$C:$I,6,0)</f>
        <v>0</v>
      </c>
      <c r="BC80" s="16"/>
      <c r="BD80" s="17"/>
      <c r="BE80" s="18">
        <f>VLOOKUP(C80,[1]两年对比终版!$A:$W,20,0)</f>
        <v>0</v>
      </c>
      <c r="BF80" s="15" t="e">
        <f t="shared" si="99"/>
        <v>#DIV/0!</v>
      </c>
      <c r="BG80" s="7">
        <f>VLOOKUP(C80,'[2]5月汇总'!$C:$I,7,0)</f>
        <v>0</v>
      </c>
      <c r="BH80" s="16"/>
      <c r="BI80" s="17"/>
      <c r="BJ80" s="20">
        <f>VLOOKUP(C80,[1]两年对比终版!$A:$W,23,0)</f>
        <v>0</v>
      </c>
      <c r="BK80" s="15" t="e">
        <f t="shared" si="102"/>
        <v>#DIV/0!</v>
      </c>
    </row>
    <row r="81" spans="1:63">
      <c r="A81" s="12">
        <v>69</v>
      </c>
      <c r="B81" s="12"/>
      <c r="C81" s="12" t="s">
        <v>105</v>
      </c>
      <c r="D81" s="13"/>
      <c r="E81" s="13">
        <v>0</v>
      </c>
      <c r="F81" s="14"/>
      <c r="G81" s="13">
        <v>0</v>
      </c>
      <c r="H81" s="15" t="e">
        <f t="shared" si="89"/>
        <v>#DIV/0!</v>
      </c>
      <c r="I81" s="13">
        <v>720</v>
      </c>
      <c r="J81" s="13">
        <v>211.10104515</v>
      </c>
      <c r="K81" s="14">
        <v>0.29319589604166701</v>
      </c>
      <c r="L81" s="13">
        <v>0</v>
      </c>
      <c r="M81" s="15">
        <f t="shared" si="90"/>
        <v>1</v>
      </c>
      <c r="N81" s="13">
        <v>0</v>
      </c>
      <c r="O81" s="13">
        <v>0</v>
      </c>
      <c r="P81" s="14"/>
      <c r="Q81" s="13">
        <v>0</v>
      </c>
      <c r="R81" s="15" t="e">
        <f t="shared" si="91"/>
        <v>#DIV/0!</v>
      </c>
      <c r="S81" s="13">
        <v>300</v>
      </c>
      <c r="T81" s="13">
        <v>6.9669599399999997</v>
      </c>
      <c r="U81" s="14">
        <v>2.32231998E-2</v>
      </c>
      <c r="V81" s="13">
        <v>0</v>
      </c>
      <c r="W81" s="15">
        <f t="shared" si="92"/>
        <v>1</v>
      </c>
      <c r="X81" s="13">
        <v>0</v>
      </c>
      <c r="Y81" s="13">
        <v>0</v>
      </c>
      <c r="Z81" s="14"/>
      <c r="AA81" s="13">
        <v>0</v>
      </c>
      <c r="AB81" s="15" t="e">
        <f t="shared" si="93"/>
        <v>#DIV/0!</v>
      </c>
      <c r="AC81" s="13">
        <v>300</v>
      </c>
      <c r="AD81" s="13">
        <v>3.0215095915000001</v>
      </c>
      <c r="AE81" s="14">
        <v>1.00716986383333E-2</v>
      </c>
      <c r="AF81" s="13">
        <v>0</v>
      </c>
      <c r="AG81" s="15">
        <f t="shared" si="94"/>
        <v>1</v>
      </c>
      <c r="AH81" s="7"/>
      <c r="AI81" s="16"/>
      <c r="AJ81" s="17"/>
      <c r="AK81" s="18">
        <f>VLOOKUP(C81,[1]两年对比终版!$A:$C,3,0)</f>
        <v>0</v>
      </c>
      <c r="AL81" s="15" t="e">
        <f t="shared" si="95"/>
        <v>#DIV/0!</v>
      </c>
      <c r="AM81" s="7">
        <f>VLOOKUP(C81,'[2]5月汇总'!$C:$I,3,0)</f>
        <v>0</v>
      </c>
      <c r="AN81" s="16"/>
      <c r="AO81" s="17"/>
      <c r="AP81" s="19">
        <f>VLOOKUP(C81,[1]两年对比终版!$A:$F,6,0)</f>
        <v>0</v>
      </c>
      <c r="AQ81" s="15" t="e">
        <f t="shared" si="96"/>
        <v>#DIV/0!</v>
      </c>
      <c r="AR81" s="7">
        <f>VLOOKUP(C81,'[2]5月汇总'!$C:$I,4,0)</f>
        <v>0</v>
      </c>
      <c r="AS81" s="16"/>
      <c r="AT81" s="17"/>
      <c r="AU81" s="7">
        <f>VLOOKUP(C81,[1]两年对比终版!$A:$W,14,0)</f>
        <v>0</v>
      </c>
      <c r="AV81" s="15" t="e">
        <f t="shared" si="97"/>
        <v>#DIV/0!</v>
      </c>
      <c r="AW81" s="7">
        <f>VLOOKUP(C81,'[2]5月汇总'!$C:$I,5,0)</f>
        <v>0</v>
      </c>
      <c r="AX81" s="16"/>
      <c r="AY81" s="17"/>
      <c r="AZ81" s="19">
        <f>VLOOKUP(C81,[1]两年对比终版!$A:$W,17,0)</f>
        <v>0</v>
      </c>
      <c r="BA81" s="15" t="e">
        <f t="shared" si="98"/>
        <v>#DIV/0!</v>
      </c>
      <c r="BB81" s="7">
        <f>VLOOKUP(C81,'[2]5月汇总'!$C:$I,6,0)</f>
        <v>0</v>
      </c>
      <c r="BC81" s="16"/>
      <c r="BD81" s="17"/>
      <c r="BE81" s="18">
        <f>VLOOKUP(C81,[1]两年对比终版!$A:$W,20,0)</f>
        <v>0</v>
      </c>
      <c r="BF81" s="15" t="e">
        <f t="shared" si="99"/>
        <v>#DIV/0!</v>
      </c>
      <c r="BG81" s="7">
        <f>VLOOKUP(C81,'[2]5月汇总'!$C:$I,7,0)</f>
        <v>6.8459199999999996</v>
      </c>
      <c r="BH81" s="16">
        <v>9.8674295915000005</v>
      </c>
      <c r="BI81" s="17">
        <v>3.2891431971666697E-2</v>
      </c>
      <c r="BJ81" s="20">
        <f>VLOOKUP(C81,[1]两年对比终版!$A:$W,23,0)</f>
        <v>0</v>
      </c>
      <c r="BK81" s="15">
        <f t="shared" si="102"/>
        <v>1</v>
      </c>
    </row>
    <row r="82" spans="1:63">
      <c r="A82" s="12">
        <v>70</v>
      </c>
      <c r="B82" s="12"/>
      <c r="C82" s="12" t="s">
        <v>106</v>
      </c>
      <c r="D82" s="13"/>
      <c r="E82" s="13">
        <v>0</v>
      </c>
      <c r="F82" s="14"/>
      <c r="G82" s="13">
        <v>0</v>
      </c>
      <c r="H82" s="15" t="e">
        <f t="shared" si="89"/>
        <v>#DIV/0!</v>
      </c>
      <c r="I82" s="13">
        <v>4800</v>
      </c>
      <c r="J82" s="13">
        <v>1305.51550411829</v>
      </c>
      <c r="K82" s="14">
        <v>0.27198239669131002</v>
      </c>
      <c r="L82" s="13">
        <v>565.06137414850002</v>
      </c>
      <c r="M82" s="15">
        <f t="shared" si="90"/>
        <v>0.56717375445485296</v>
      </c>
      <c r="N82" s="13">
        <v>0</v>
      </c>
      <c r="O82" s="13">
        <v>0</v>
      </c>
      <c r="P82" s="14"/>
      <c r="Q82" s="13">
        <v>0</v>
      </c>
      <c r="R82" s="15" t="e">
        <f t="shared" si="91"/>
        <v>#DIV/0!</v>
      </c>
      <c r="S82" s="13">
        <v>2000</v>
      </c>
      <c r="T82" s="13">
        <v>470.70975468975001</v>
      </c>
      <c r="U82" s="14">
        <v>0.23535487734487501</v>
      </c>
      <c r="V82" s="13">
        <v>346.07499213509999</v>
      </c>
      <c r="W82" s="15">
        <f t="shared" si="92"/>
        <v>0.26478049650107199</v>
      </c>
      <c r="X82" s="13">
        <v>0</v>
      </c>
      <c r="Y82" s="13">
        <v>0</v>
      </c>
      <c r="Z82" s="14"/>
      <c r="AA82" s="13">
        <v>0</v>
      </c>
      <c r="AB82" s="15" t="e">
        <f t="shared" si="93"/>
        <v>#DIV/0!</v>
      </c>
      <c r="AC82" s="13">
        <v>2000</v>
      </c>
      <c r="AD82" s="13">
        <v>434.47</v>
      </c>
      <c r="AE82" s="14">
        <v>0.21723500000000001</v>
      </c>
      <c r="AF82" s="13">
        <v>346.07499213509999</v>
      </c>
      <c r="AG82" s="15">
        <f t="shared" si="94"/>
        <v>0.203454802091974</v>
      </c>
      <c r="AH82" s="7"/>
      <c r="AI82" s="16"/>
      <c r="AJ82" s="17"/>
      <c r="AK82" s="18">
        <f>VLOOKUP(C82,[1]两年对比终版!$A:$C,3,0)</f>
        <v>0</v>
      </c>
      <c r="AL82" s="15" t="e">
        <f t="shared" si="95"/>
        <v>#DIV/0!</v>
      </c>
      <c r="AM82" s="7">
        <f>VLOOKUP(C82,'[2]5月汇总'!$C:$I,3,0)</f>
        <v>400</v>
      </c>
      <c r="AN82" s="16">
        <f>AM82+J82</f>
        <v>1705.51550411829</v>
      </c>
      <c r="AO82" s="17">
        <f>AN82/I82</f>
        <v>0.35531573002464401</v>
      </c>
      <c r="AP82" s="19">
        <f>VLOOKUP(C82,[1]两年对比终版!$A:$F,6,0)</f>
        <v>565.06137414850002</v>
      </c>
      <c r="AQ82" s="15">
        <f t="shared" si="96"/>
        <v>0.66868587662554102</v>
      </c>
      <c r="AR82" s="7">
        <f>VLOOKUP(C82,'[2]5月汇总'!$C:$I,4,0)</f>
        <v>0</v>
      </c>
      <c r="AS82" s="16"/>
      <c r="AT82" s="17"/>
      <c r="AU82" s="7">
        <f>VLOOKUP(C82,[1]两年对比终版!$A:$W,14,0)</f>
        <v>0</v>
      </c>
      <c r="AV82" s="15" t="e">
        <f t="shared" si="97"/>
        <v>#DIV/0!</v>
      </c>
      <c r="AW82" s="7">
        <f>VLOOKUP(C82,'[2]5月汇总'!$C:$I,5,0)</f>
        <v>143</v>
      </c>
      <c r="AX82" s="16">
        <f>AW82+T82</f>
        <v>613.70975468974996</v>
      </c>
      <c r="AY82" s="17">
        <f>AX82/S82</f>
        <v>0.30685487734487499</v>
      </c>
      <c r="AZ82" s="19">
        <f>VLOOKUP(C82,[1]两年对比终版!$A:$W,17,0)</f>
        <v>346.07499213509999</v>
      </c>
      <c r="BA82" s="15">
        <f t="shared" si="98"/>
        <v>0.43609338210690202</v>
      </c>
      <c r="BB82" s="7">
        <f>VLOOKUP(C82,'[2]5月汇总'!$C:$I,6,0)</f>
        <v>0</v>
      </c>
      <c r="BC82" s="16"/>
      <c r="BD82" s="17"/>
      <c r="BE82" s="18">
        <f>VLOOKUP(C82,[1]两年对比终版!$A:$W,20,0)</f>
        <v>0</v>
      </c>
      <c r="BF82" s="15" t="e">
        <f t="shared" si="99"/>
        <v>#DIV/0!</v>
      </c>
      <c r="BG82" s="7">
        <f>VLOOKUP(C82,'[2]5月汇总'!$C:$I,7,0)</f>
        <v>68.95</v>
      </c>
      <c r="BH82" s="16"/>
      <c r="BI82" s="17"/>
      <c r="BJ82" s="20">
        <f>VLOOKUP(C82,[1]两年对比终版!$A:$W,23,0)</f>
        <v>346.07499213509999</v>
      </c>
      <c r="BK82" s="15" t="e">
        <f t="shared" si="102"/>
        <v>#DIV/0!</v>
      </c>
    </row>
    <row r="83" spans="1:63">
      <c r="A83" s="12">
        <v>71</v>
      </c>
      <c r="B83" s="12"/>
      <c r="C83" s="12" t="s">
        <v>107</v>
      </c>
      <c r="D83" s="13"/>
      <c r="E83" s="13">
        <v>0</v>
      </c>
      <c r="F83" s="14"/>
      <c r="G83" s="13">
        <v>0</v>
      </c>
      <c r="H83" s="15" t="e">
        <f t="shared" si="89"/>
        <v>#DIV/0!</v>
      </c>
      <c r="I83" s="13">
        <v>2400</v>
      </c>
      <c r="J83" s="13">
        <v>623.077660798078</v>
      </c>
      <c r="K83" s="14">
        <v>0.25961569199919898</v>
      </c>
      <c r="L83" s="13">
        <v>0</v>
      </c>
      <c r="M83" s="15">
        <f t="shared" si="90"/>
        <v>1</v>
      </c>
      <c r="N83" s="13">
        <v>0</v>
      </c>
      <c r="O83" s="13">
        <v>0</v>
      </c>
      <c r="P83" s="14"/>
      <c r="Q83" s="13">
        <v>0</v>
      </c>
      <c r="R83" s="15" t="e">
        <f t="shared" si="91"/>
        <v>#DIV/0!</v>
      </c>
      <c r="S83" s="13">
        <v>1000</v>
      </c>
      <c r="T83" s="13">
        <v>0</v>
      </c>
      <c r="U83" s="14">
        <v>0</v>
      </c>
      <c r="V83" s="13">
        <v>0</v>
      </c>
      <c r="W83" s="15" t="e">
        <f t="shared" si="92"/>
        <v>#DIV/0!</v>
      </c>
      <c r="X83" s="13">
        <v>0</v>
      </c>
      <c r="Y83" s="13">
        <v>0</v>
      </c>
      <c r="Z83" s="14"/>
      <c r="AA83" s="13">
        <v>0</v>
      </c>
      <c r="AB83" s="15" t="e">
        <f t="shared" si="93"/>
        <v>#DIV/0!</v>
      </c>
      <c r="AC83" s="13">
        <v>1000</v>
      </c>
      <c r="AD83" s="13">
        <v>0</v>
      </c>
      <c r="AE83" s="14">
        <v>0</v>
      </c>
      <c r="AF83" s="13">
        <v>0</v>
      </c>
      <c r="AG83" s="15" t="e">
        <f t="shared" si="94"/>
        <v>#DIV/0!</v>
      </c>
      <c r="AH83" s="7"/>
      <c r="AI83" s="16"/>
      <c r="AJ83" s="17"/>
      <c r="AK83" s="18">
        <f>VLOOKUP(C83,[1]两年对比终版!$A:$C,3,0)</f>
        <v>0</v>
      </c>
      <c r="AL83" s="15" t="e">
        <f t="shared" si="95"/>
        <v>#DIV/0!</v>
      </c>
      <c r="AM83" s="7">
        <f>VLOOKUP(C83,'[2]5月汇总'!$C:$I,3,0)</f>
        <v>200</v>
      </c>
      <c r="AN83" s="16">
        <f>AM83+J83</f>
        <v>823.077660798078</v>
      </c>
      <c r="AO83" s="17">
        <f>AN83/I83</f>
        <v>0.34294902533253302</v>
      </c>
      <c r="AP83" s="19">
        <f>VLOOKUP(C83,[1]两年对比终版!$A:$F,6,0)</f>
        <v>0</v>
      </c>
      <c r="AQ83" s="15">
        <f t="shared" si="96"/>
        <v>1</v>
      </c>
      <c r="AR83" s="7">
        <f>VLOOKUP(C83,'[2]5月汇总'!$C:$I,4,0)</f>
        <v>0</v>
      </c>
      <c r="AS83" s="16"/>
      <c r="AT83" s="17"/>
      <c r="AU83" s="7">
        <f>VLOOKUP(C83,[1]两年对比终版!$A:$W,14,0)</f>
        <v>0</v>
      </c>
      <c r="AV83" s="15" t="e">
        <f t="shared" si="97"/>
        <v>#DIV/0!</v>
      </c>
      <c r="AW83" s="7">
        <f>VLOOKUP(C83,'[2]5月汇总'!$C:$I,5,0)</f>
        <v>150</v>
      </c>
      <c r="AX83" s="16">
        <f>AW83+T83</f>
        <v>150</v>
      </c>
      <c r="AY83" s="17">
        <f>AX83/S83</f>
        <v>0.15</v>
      </c>
      <c r="AZ83" s="19">
        <f>VLOOKUP(C83,[1]两年对比终版!$A:$W,17,0)</f>
        <v>0</v>
      </c>
      <c r="BA83" s="15">
        <f t="shared" si="98"/>
        <v>1</v>
      </c>
      <c r="BB83" s="7">
        <f>VLOOKUP(C83,'[2]5月汇总'!$C:$I,6,0)</f>
        <v>0</v>
      </c>
      <c r="BC83" s="16"/>
      <c r="BD83" s="17"/>
      <c r="BE83" s="18">
        <f>VLOOKUP(C83,[1]两年对比终版!$A:$W,20,0)</f>
        <v>0</v>
      </c>
      <c r="BF83" s="15" t="e">
        <f t="shared" si="99"/>
        <v>#DIV/0!</v>
      </c>
      <c r="BG83" s="7">
        <f>VLOOKUP(C83,'[2]5月汇总'!$C:$I,7,0)</f>
        <v>150</v>
      </c>
      <c r="BH83" s="16"/>
      <c r="BI83" s="17"/>
      <c r="BJ83" s="20">
        <f>VLOOKUP(C83,[1]两年对比终版!$A:$W,23,0)</f>
        <v>0</v>
      </c>
      <c r="BK83" s="15" t="e">
        <f t="shared" si="102"/>
        <v>#DIV/0!</v>
      </c>
    </row>
    <row r="84" spans="1:63">
      <c r="A84" s="12">
        <v>72</v>
      </c>
      <c r="B84" s="12"/>
      <c r="C84" s="12" t="s">
        <v>108</v>
      </c>
      <c r="D84" s="13"/>
      <c r="E84" s="13">
        <v>132</v>
      </c>
      <c r="F84" s="14"/>
      <c r="G84" s="13">
        <v>0</v>
      </c>
      <c r="H84" s="15">
        <f t="shared" si="89"/>
        <v>1</v>
      </c>
      <c r="I84" s="13">
        <v>1960</v>
      </c>
      <c r="J84" s="13">
        <v>700.31841399999996</v>
      </c>
      <c r="K84" s="14">
        <v>0.35730531326530601</v>
      </c>
      <c r="L84" s="13">
        <v>0</v>
      </c>
      <c r="M84" s="15">
        <f t="shared" si="90"/>
        <v>1</v>
      </c>
      <c r="N84" s="13">
        <v>0</v>
      </c>
      <c r="O84" s="13"/>
      <c r="P84" s="14"/>
      <c r="Q84" s="13">
        <v>0</v>
      </c>
      <c r="R84" s="15" t="e">
        <f t="shared" si="91"/>
        <v>#DIV/0!</v>
      </c>
      <c r="S84" s="13">
        <v>1000</v>
      </c>
      <c r="T84" s="13">
        <v>253.59090800000001</v>
      </c>
      <c r="U84" s="14">
        <v>0.253590908</v>
      </c>
      <c r="V84" s="13">
        <v>0</v>
      </c>
      <c r="W84" s="15">
        <f t="shared" si="92"/>
        <v>1</v>
      </c>
      <c r="X84" s="13">
        <v>0</v>
      </c>
      <c r="Y84" s="13"/>
      <c r="Z84" s="14"/>
      <c r="AA84" s="13" t="s">
        <v>109</v>
      </c>
      <c r="AB84" s="15" t="e">
        <f t="shared" si="93"/>
        <v>#VALUE!</v>
      </c>
      <c r="AC84" s="13">
        <v>1000</v>
      </c>
      <c r="AD84" s="13">
        <v>42.833193000000001</v>
      </c>
      <c r="AE84" s="14">
        <v>4.2833192999999999E-2</v>
      </c>
      <c r="AF84" s="13">
        <v>82.46</v>
      </c>
      <c r="AG84" s="15">
        <f t="shared" si="94"/>
        <v>-0.92514249404661497</v>
      </c>
      <c r="AH84" s="7"/>
      <c r="AI84" s="16"/>
      <c r="AJ84" s="17"/>
      <c r="AK84" s="18">
        <f>VLOOKUP(C84,[1]两年对比终版!$A:$C,3,0)</f>
        <v>0</v>
      </c>
      <c r="AL84" s="15" t="e">
        <f t="shared" si="95"/>
        <v>#DIV/0!</v>
      </c>
      <c r="AM84" s="7">
        <f>VLOOKUP(C84,'[2]5月汇总'!$C:$I,3,0)</f>
        <v>400</v>
      </c>
      <c r="AN84" s="16">
        <f>AM84+J84</f>
        <v>1100.3184140000001</v>
      </c>
      <c r="AO84" s="17">
        <f>AN84/I84</f>
        <v>0.56138694591836702</v>
      </c>
      <c r="AP84" s="19">
        <f>VLOOKUP(C84,[1]两年对比终版!$A:$F,6,0)</f>
        <v>0</v>
      </c>
      <c r="AQ84" s="15">
        <f t="shared" si="96"/>
        <v>1</v>
      </c>
      <c r="AR84" s="7">
        <f>VLOOKUP(C84,'[2]5月汇总'!$C:$I,4,0)</f>
        <v>0</v>
      </c>
      <c r="AS84" s="16"/>
      <c r="AT84" s="17"/>
      <c r="AU84" s="7">
        <f>VLOOKUP(C84,[1]两年对比终版!$A:$W,14,0)</f>
        <v>0</v>
      </c>
      <c r="AV84" s="15" t="e">
        <f t="shared" si="97"/>
        <v>#DIV/0!</v>
      </c>
      <c r="AW84" s="7">
        <f>VLOOKUP(C84,'[2]5月汇总'!$C:$I,5,0)</f>
        <v>143</v>
      </c>
      <c r="AX84" s="16">
        <f>AW84+T84</f>
        <v>396.59090800000001</v>
      </c>
      <c r="AY84" s="17">
        <f>AX84/S84</f>
        <v>0.39659090800000002</v>
      </c>
      <c r="AZ84" s="19">
        <f>VLOOKUP(C84,[1]两年对比终版!$A:$W,17,0)</f>
        <v>0</v>
      </c>
      <c r="BA84" s="15">
        <f t="shared" si="98"/>
        <v>1</v>
      </c>
      <c r="BB84" s="7">
        <f>VLOOKUP(C84,'[2]5月汇总'!$C:$I,6,0)</f>
        <v>0</v>
      </c>
      <c r="BC84" s="16"/>
      <c r="BD84" s="17"/>
      <c r="BE84" s="18" t="str">
        <f>VLOOKUP(C84,[1]两年对比终版!$A:$W,20,0)</f>
        <v>-</v>
      </c>
      <c r="BF84" s="15" t="e">
        <f t="shared" si="99"/>
        <v>#VALUE!</v>
      </c>
      <c r="BG84" s="7">
        <f>VLOOKUP(C84,'[2]5月汇总'!$C:$I,7,0)</f>
        <v>68.95</v>
      </c>
      <c r="BH84" s="16"/>
      <c r="BI84" s="17"/>
      <c r="BJ84" s="20">
        <f>VLOOKUP(C84,[1]两年对比终版!$A:$W,23,0)</f>
        <v>82.46</v>
      </c>
      <c r="BK84" s="15" t="e">
        <f t="shared" si="102"/>
        <v>#DIV/0!</v>
      </c>
    </row>
    <row r="85" spans="1:63" s="4" customFormat="1">
      <c r="A85" s="93" t="s">
        <v>110</v>
      </c>
      <c r="B85" s="94"/>
      <c r="C85" s="94"/>
      <c r="D85" s="21">
        <v>0</v>
      </c>
      <c r="E85" s="21">
        <v>0</v>
      </c>
      <c r="F85" s="22">
        <v>0</v>
      </c>
      <c r="G85" s="21">
        <v>0</v>
      </c>
      <c r="H85" s="23" t="e">
        <f t="shared" si="89"/>
        <v>#DIV/0!</v>
      </c>
      <c r="I85" s="21">
        <v>12002</v>
      </c>
      <c r="J85" s="21">
        <v>3386.25548274317</v>
      </c>
      <c r="K85" s="22">
        <v>0.28214093340636298</v>
      </c>
      <c r="L85" s="21">
        <v>876.64555542849996</v>
      </c>
      <c r="M85" s="23">
        <f t="shared" si="90"/>
        <v>0.74111653420835899</v>
      </c>
      <c r="N85" s="21">
        <v>0</v>
      </c>
      <c r="O85" s="21">
        <v>0</v>
      </c>
      <c r="P85" s="22">
        <v>0</v>
      </c>
      <c r="Q85" s="21">
        <v>0</v>
      </c>
      <c r="R85" s="23" t="e">
        <f t="shared" si="91"/>
        <v>#DIV/0!</v>
      </c>
      <c r="S85" s="21">
        <v>5200</v>
      </c>
      <c r="T85" s="21">
        <v>826.49724213975003</v>
      </c>
      <c r="U85" s="22">
        <v>0.15894177733456699</v>
      </c>
      <c r="V85" s="21">
        <v>696.32845712580001</v>
      </c>
      <c r="W85" s="23">
        <f t="shared" si="92"/>
        <v>0.15749451828411601</v>
      </c>
      <c r="X85" s="21">
        <v>0</v>
      </c>
      <c r="Y85" s="21">
        <v>0</v>
      </c>
      <c r="Z85" s="22">
        <v>0</v>
      </c>
      <c r="AA85" s="21">
        <v>0</v>
      </c>
      <c r="AB85" s="23" t="e">
        <f t="shared" si="93"/>
        <v>#DIV/0!</v>
      </c>
      <c r="AC85" s="21">
        <v>5200</v>
      </c>
      <c r="AD85" s="21">
        <v>575.55432210150002</v>
      </c>
      <c r="AE85" s="22">
        <v>0.110683523481058</v>
      </c>
      <c r="AF85" s="21">
        <v>778.78845712580005</v>
      </c>
      <c r="AG85" s="23">
        <f t="shared" si="94"/>
        <v>-0.353110257746374</v>
      </c>
      <c r="AH85" s="21">
        <f>SUM(AH79:AH84)</f>
        <v>0</v>
      </c>
      <c r="AI85" s="24">
        <f>AH85+E85</f>
        <v>0</v>
      </c>
      <c r="AJ85" s="24">
        <f>AI85+F85</f>
        <v>0</v>
      </c>
      <c r="AK85" s="24">
        <f>AJ85+G85</f>
        <v>0</v>
      </c>
      <c r="AL85" s="23" t="e">
        <f t="shared" si="95"/>
        <v>#DIV/0!</v>
      </c>
      <c r="AM85" s="21">
        <f>SUM(AM79:AM84)</f>
        <v>1022</v>
      </c>
      <c r="AN85" s="24">
        <f>AM85+J85</f>
        <v>4408.2554827431704</v>
      </c>
      <c r="AO85" s="25">
        <f>AN85/I85</f>
        <v>0.36729340799393201</v>
      </c>
      <c r="AP85" s="24">
        <f>AO85+L85</f>
        <v>877.01284883649396</v>
      </c>
      <c r="AQ85" s="23">
        <f t="shared" si="96"/>
        <v>0.80105217307170495</v>
      </c>
      <c r="AR85" s="21">
        <f>SUM(AR79:AR84)</f>
        <v>0</v>
      </c>
      <c r="AS85" s="24">
        <f>AR85+O85</f>
        <v>0</v>
      </c>
      <c r="AT85" s="25"/>
      <c r="AU85" s="24">
        <f>AT85+Q85</f>
        <v>0</v>
      </c>
      <c r="AV85" s="23" t="e">
        <f t="shared" si="97"/>
        <v>#DIV/0!</v>
      </c>
      <c r="AW85" s="21">
        <f>SUM(AW79:AW84)</f>
        <v>458</v>
      </c>
      <c r="AX85" s="24">
        <f>AW85+T85</f>
        <v>1284.4972421397499</v>
      </c>
      <c r="AY85" s="25">
        <f>AX85/S85</f>
        <v>0.24701870041148999</v>
      </c>
      <c r="AZ85" s="24">
        <f>AY85+V85</f>
        <v>696.575475826211</v>
      </c>
      <c r="BA85" s="23">
        <f t="shared" si="98"/>
        <v>0.45770574433788802</v>
      </c>
      <c r="BB85" s="21">
        <f>SUM(BB79:BB84)</f>
        <v>0</v>
      </c>
      <c r="BC85" s="24">
        <f>BB85+Y85</f>
        <v>0</v>
      </c>
      <c r="BD85" s="24">
        <f>BC85+Z85</f>
        <v>0</v>
      </c>
      <c r="BE85" s="24">
        <f>BD85+AA85</f>
        <v>0</v>
      </c>
      <c r="BF85" s="23" t="e">
        <f t="shared" si="99"/>
        <v>#DIV/0!</v>
      </c>
      <c r="BG85" s="21">
        <f>SUM(BG79:BG84)</f>
        <v>307.74592000000001</v>
      </c>
      <c r="BH85" s="24">
        <f>BG85+AD85</f>
        <v>883.30024210149998</v>
      </c>
      <c r="BI85" s="25">
        <f>BH85/AC85</f>
        <v>0.169865431173365</v>
      </c>
      <c r="BJ85" s="24">
        <f>BI85+AF85</f>
        <v>778.95832255697303</v>
      </c>
      <c r="BK85" s="23">
        <f t="shared" si="102"/>
        <v>0.11812735304621</v>
      </c>
    </row>
    <row r="86" spans="1:63" s="4" customFormat="1">
      <c r="A86" s="93" t="s">
        <v>111</v>
      </c>
      <c r="B86" s="94"/>
      <c r="C86" s="94"/>
      <c r="D86" s="21">
        <v>15930</v>
      </c>
      <c r="E86" s="21">
        <v>3956</v>
      </c>
      <c r="F86" s="22">
        <v>0.248336472065286</v>
      </c>
      <c r="G86" s="21">
        <v>5253</v>
      </c>
      <c r="H86" s="23">
        <f t="shared" si="89"/>
        <v>-0.32785642062689602</v>
      </c>
      <c r="I86" s="21">
        <v>245000.01699999999</v>
      </c>
      <c r="J86" s="21">
        <v>58074.291369999999</v>
      </c>
      <c r="K86" s="22">
        <v>0.23703790751165499</v>
      </c>
      <c r="L86" s="21">
        <v>78628.324502000003</v>
      </c>
      <c r="M86" s="23">
        <f t="shared" si="90"/>
        <v>-0.35392654214318697</v>
      </c>
      <c r="N86" s="21">
        <v>6500.3197</v>
      </c>
      <c r="O86" s="21">
        <v>1465</v>
      </c>
      <c r="P86" s="22">
        <v>0.225373530474201</v>
      </c>
      <c r="Q86" s="21">
        <v>1758</v>
      </c>
      <c r="R86" s="23">
        <f t="shared" si="91"/>
        <v>-0.2</v>
      </c>
      <c r="S86" s="21">
        <v>100000.413</v>
      </c>
      <c r="T86" s="21">
        <v>22856.70061</v>
      </c>
      <c r="U86" s="22">
        <v>0.22856606212216299</v>
      </c>
      <c r="V86" s="21">
        <v>29964.344283999999</v>
      </c>
      <c r="W86" s="23">
        <f t="shared" si="92"/>
        <v>-0.31096542739376598</v>
      </c>
      <c r="X86" s="21">
        <v>6500.3197</v>
      </c>
      <c r="Y86" s="21">
        <v>1118</v>
      </c>
      <c r="Z86" s="22">
        <v>0.171991540662223</v>
      </c>
      <c r="AA86" s="21">
        <v>1095</v>
      </c>
      <c r="AB86" s="23">
        <f t="shared" si="93"/>
        <v>2.0572450805008899E-2</v>
      </c>
      <c r="AC86" s="21">
        <v>100000.413</v>
      </c>
      <c r="AD86" s="21">
        <v>19482.1944</v>
      </c>
      <c r="AE86" s="22">
        <v>0.194821139388694</v>
      </c>
      <c r="AF86" s="21">
        <v>17038.829465999999</v>
      </c>
      <c r="AG86" s="23">
        <f t="shared" si="94"/>
        <v>0.125415283506256</v>
      </c>
      <c r="AH86" s="21">
        <f>AH15+AH25+AH37+AH48+AH57+AH67+AH74+AH78+AH85</f>
        <v>1644</v>
      </c>
      <c r="AI86" s="21">
        <f>AI15+AI25+AI37+AI48+AI57+AI67+AI74+AI78+AI85</f>
        <v>5600</v>
      </c>
      <c r="AJ86" s="25">
        <f>AI86/D86</f>
        <v>0.35153797865662273</v>
      </c>
      <c r="AK86" s="21">
        <f>AK15+AK25+AK37+AK48+AK57+AK67+AK74+AK78</f>
        <v>8647.5060240963903</v>
      </c>
      <c r="AL86" s="23">
        <f t="shared" si="95"/>
        <v>-0.54419750430292679</v>
      </c>
      <c r="AM86" s="21">
        <f>AM15+AM25+AM37+AM48+AM57+AM67+AM74+AM78+AM85</f>
        <v>21225.979799999997</v>
      </c>
      <c r="AN86" s="21">
        <f>AN15+AN25+AN37+AN48+AN57+AN67+AN74+AN78+AN85</f>
        <v>82686.526652743181</v>
      </c>
      <c r="AO86" s="25">
        <f>AN86/I86</f>
        <v>0.33749600373596378</v>
      </c>
      <c r="AP86" s="24">
        <f>AO86+L86</f>
        <v>78628.661998003736</v>
      </c>
      <c r="AQ86" s="23">
        <f t="shared" si="96"/>
        <v>4.9075282503776851E-2</v>
      </c>
      <c r="AR86" s="21">
        <f>AR15+AR25+AR37+AR48+AR57+AR67+AR74+AR78+AR85</f>
        <v>673</v>
      </c>
      <c r="AS86" s="21">
        <f>AS15+AS25+AS37+AS48+AS57+AS67+AS74+AS78+AS85</f>
        <v>2138</v>
      </c>
      <c r="AT86" s="25">
        <f>AS86/N86</f>
        <v>0.32890689976371468</v>
      </c>
      <c r="AU86" s="24">
        <f>AT86+Q86</f>
        <v>1758.3289068997638</v>
      </c>
      <c r="AV86" s="23">
        <f t="shared" si="97"/>
        <v>0.17758236347064371</v>
      </c>
      <c r="AW86" s="21">
        <f>AW15+AW25+AW37+AW48+AW57+AW67+AW74+AW78+AW85</f>
        <v>8146.0905000000002</v>
      </c>
      <c r="AX86" s="24">
        <f>AW86+T86</f>
        <v>31002.791109999998</v>
      </c>
      <c r="AY86" s="25">
        <f>AX86/S86</f>
        <v>0.31002663069001524</v>
      </c>
      <c r="AZ86" s="24">
        <f>AY86+V86</f>
        <v>29964.654310630689</v>
      </c>
      <c r="BA86" s="23">
        <f t="shared" si="98"/>
        <v>3.348526897742625E-2</v>
      </c>
      <c r="BB86" s="21">
        <f>BB15+BB25+BB37+BB48+BB57+BB67+BB74+BB78+BB85</f>
        <v>548</v>
      </c>
      <c r="BC86" s="21">
        <f>BC15+BC25+BC37+BC48+BC57+BC67+BC74+BC78+BC85</f>
        <v>1666</v>
      </c>
      <c r="BD86" s="25">
        <f>BC86/X86</f>
        <v>0.25629508653243627</v>
      </c>
      <c r="BE86" s="24">
        <f>BD86+AA86</f>
        <v>1095.2562950865324</v>
      </c>
      <c r="BF86" s="23">
        <f t="shared" si="99"/>
        <v>0.34258325625058078</v>
      </c>
      <c r="BG86" s="21">
        <f>BG15+BG25+BG37+BG48+BG57+BG67+BG74+BG78+BG85</f>
        <v>8058.4929000000011</v>
      </c>
      <c r="BH86" s="21">
        <f>BH15+BH25+BH37+BH48+BH57+BH67+BH74+BH78+BH85</f>
        <v>28116.241622101494</v>
      </c>
      <c r="BI86" s="25">
        <f>BH86/AC86</f>
        <v>0.2811612550250317</v>
      </c>
      <c r="BJ86" s="24">
        <f>BI86+AF86</f>
        <v>17039.110627255024</v>
      </c>
      <c r="BK86" s="23">
        <f t="shared" si="102"/>
        <v>0.39397623422538119</v>
      </c>
    </row>
  </sheetData>
  <mergeCells count="23">
    <mergeCell ref="A1:BI1"/>
    <mergeCell ref="D3:H3"/>
    <mergeCell ref="I3:M3"/>
    <mergeCell ref="N3:R3"/>
    <mergeCell ref="S3:W3"/>
    <mergeCell ref="X3:AB3"/>
    <mergeCell ref="AC3:AG3"/>
    <mergeCell ref="AH3:AQ3"/>
    <mergeCell ref="AR3:BA3"/>
    <mergeCell ref="BB3:BK3"/>
    <mergeCell ref="A3:A4"/>
    <mergeCell ref="B3:B4"/>
    <mergeCell ref="C3:C4"/>
    <mergeCell ref="A15:C15"/>
    <mergeCell ref="A25:C25"/>
    <mergeCell ref="A37:C37"/>
    <mergeCell ref="A48:C48"/>
    <mergeCell ref="A57:C57"/>
    <mergeCell ref="A67:C67"/>
    <mergeCell ref="A74:C74"/>
    <mergeCell ref="A78:C78"/>
    <mergeCell ref="A85:C85"/>
    <mergeCell ref="A86:C86"/>
  </mergeCells>
  <phoneticPr fontId="7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N9"/>
  <sheetViews>
    <sheetView workbookViewId="0">
      <selection activeCell="D26" sqref="D26"/>
    </sheetView>
  </sheetViews>
  <sheetFormatPr defaultColWidth="9" defaultRowHeight="13.5"/>
  <cols>
    <col min="3" max="14" width="9.25" customWidth="1"/>
  </cols>
  <sheetData>
    <row r="4" spans="3:14" ht="37.5" customHeight="1">
      <c r="C4" s="95" t="s">
        <v>120</v>
      </c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</row>
    <row r="5" spans="3:14" ht="30.75" customHeight="1">
      <c r="C5" s="96" t="s">
        <v>13</v>
      </c>
      <c r="D5" s="96"/>
      <c r="E5" s="96"/>
      <c r="F5" s="96"/>
      <c r="G5" s="96"/>
      <c r="H5" s="96"/>
      <c r="I5" s="96" t="s">
        <v>14</v>
      </c>
      <c r="J5" s="96"/>
      <c r="K5" s="96"/>
      <c r="L5" s="96"/>
      <c r="M5" s="96"/>
      <c r="N5" s="96"/>
    </row>
    <row r="6" spans="3:14" ht="48.75" customHeight="1">
      <c r="C6" s="1" t="s">
        <v>20</v>
      </c>
      <c r="D6" s="1" t="s">
        <v>21</v>
      </c>
      <c r="E6" s="1" t="s">
        <v>17</v>
      </c>
      <c r="F6" s="1" t="s">
        <v>22</v>
      </c>
      <c r="G6" s="1" t="s">
        <v>24</v>
      </c>
      <c r="H6" s="1" t="s">
        <v>17</v>
      </c>
      <c r="I6" s="1" t="s">
        <v>20</v>
      </c>
      <c r="J6" s="1" t="s">
        <v>21</v>
      </c>
      <c r="K6" s="1" t="s">
        <v>17</v>
      </c>
      <c r="L6" s="1" t="s">
        <v>22</v>
      </c>
      <c r="M6" s="1" t="s">
        <v>23</v>
      </c>
      <c r="N6" s="1" t="s">
        <v>17</v>
      </c>
    </row>
    <row r="7" spans="3:14" ht="42.75" customHeight="1">
      <c r="C7" s="2">
        <v>1327</v>
      </c>
      <c r="D7" s="2">
        <v>2792</v>
      </c>
      <c r="E7" s="3">
        <v>0.429517335893495</v>
      </c>
      <c r="F7" s="2">
        <v>13936.824000000001</v>
      </c>
      <c r="G7" s="2">
        <v>36793.52461</v>
      </c>
      <c r="H7" s="3">
        <v>0.36793372653370898</v>
      </c>
      <c r="I7" s="2">
        <v>1070</v>
      </c>
      <c r="J7" s="2">
        <v>2188</v>
      </c>
      <c r="K7" s="3">
        <v>0.33659882913143502</v>
      </c>
      <c r="L7" s="2">
        <v>14403.655706400001</v>
      </c>
      <c r="M7" s="2">
        <v>33885.850106400001</v>
      </c>
      <c r="N7" s="3">
        <v>0.33885710158416998</v>
      </c>
    </row>
    <row r="8" spans="3:14" ht="42.75" customHeight="1"/>
    <row r="9" spans="3:14" ht="42.75" customHeight="1"/>
  </sheetData>
  <mergeCells count="3">
    <mergeCell ref="C4:N4"/>
    <mergeCell ref="C5:H5"/>
    <mergeCell ref="I5:N5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30" sqref="L30"/>
    </sheetView>
  </sheetViews>
  <sheetFormatPr defaultColWidth="9" defaultRowHeight="13.5"/>
  <cols>
    <col min="1" max="1" width="6" customWidth="1"/>
    <col min="2" max="2" width="8" customWidth="1"/>
    <col min="3" max="3" width="18" customWidth="1"/>
    <col min="4" max="4" width="9" customWidth="1"/>
    <col min="5" max="5" width="9" style="26" customWidth="1"/>
    <col min="6" max="6" width="10.375" style="26" customWidth="1"/>
    <col min="7" max="7" width="9" customWidth="1"/>
    <col min="8" max="9" width="11.5" style="26" customWidth="1"/>
    <col min="10" max="10" width="9" customWidth="1"/>
    <col min="11" max="12" width="10.375" customWidth="1"/>
    <col min="13" max="13" width="9" customWidth="1"/>
    <col min="14" max="15" width="10.375" style="26" customWidth="1"/>
  </cols>
  <sheetData>
    <row r="1" spans="1:15" ht="18.75">
      <c r="A1" s="80" t="s">
        <v>0</v>
      </c>
      <c r="B1" s="80"/>
      <c r="C1" s="80"/>
      <c r="D1" s="80"/>
      <c r="E1" s="81"/>
      <c r="F1" s="81"/>
      <c r="G1" s="80"/>
      <c r="H1" s="81"/>
      <c r="I1" s="81"/>
      <c r="J1" s="80"/>
      <c r="K1" s="80"/>
      <c r="L1" s="80"/>
      <c r="M1" s="80"/>
      <c r="N1" s="35"/>
      <c r="O1" s="35"/>
    </row>
    <row r="2" spans="1:15">
      <c r="A2" t="s">
        <v>1</v>
      </c>
      <c r="C2" t="s">
        <v>2</v>
      </c>
    </row>
    <row r="3" spans="1:15" ht="25.5" customHeight="1">
      <c r="A3" s="97" t="s">
        <v>3</v>
      </c>
      <c r="B3" s="88" t="s">
        <v>4</v>
      </c>
      <c r="C3" s="88" t="s">
        <v>5</v>
      </c>
      <c r="D3" s="99" t="s">
        <v>135</v>
      </c>
      <c r="E3" s="99"/>
      <c r="F3" s="99"/>
      <c r="G3" s="99" t="s">
        <v>137</v>
      </c>
      <c r="H3" s="99"/>
      <c r="I3" s="99"/>
      <c r="J3" s="99" t="s">
        <v>131</v>
      </c>
      <c r="K3" s="99"/>
      <c r="L3" s="99"/>
      <c r="M3" s="99" t="s">
        <v>133</v>
      </c>
      <c r="N3" s="99"/>
      <c r="O3" s="99"/>
    </row>
    <row r="4" spans="1:15" ht="29.25" customHeight="1">
      <c r="A4" s="98"/>
      <c r="B4" s="89"/>
      <c r="C4" s="89"/>
      <c r="D4" s="10" t="s">
        <v>127</v>
      </c>
      <c r="E4" s="28" t="s">
        <v>18</v>
      </c>
      <c r="F4" s="9" t="s">
        <v>19</v>
      </c>
      <c r="G4" s="10" t="s">
        <v>126</v>
      </c>
      <c r="H4" s="28" t="s">
        <v>18</v>
      </c>
      <c r="I4" s="9" t="s">
        <v>19</v>
      </c>
      <c r="J4" s="10" t="s">
        <v>127</v>
      </c>
      <c r="K4" s="11" t="s">
        <v>18</v>
      </c>
      <c r="L4" s="9" t="s">
        <v>19</v>
      </c>
      <c r="M4" s="10" t="s">
        <v>129</v>
      </c>
      <c r="N4" s="28" t="s">
        <v>18</v>
      </c>
      <c r="O4" s="9" t="s">
        <v>19</v>
      </c>
    </row>
    <row r="5" spans="1:15">
      <c r="A5" s="12">
        <v>1</v>
      </c>
      <c r="B5" s="12" t="s">
        <v>25</v>
      </c>
      <c r="C5" s="12" t="s">
        <v>26</v>
      </c>
      <c r="D5" s="16">
        <v>420</v>
      </c>
      <c r="E5" s="30">
        <v>371</v>
      </c>
      <c r="F5" s="44">
        <v>0.13207547169811321</v>
      </c>
      <c r="G5" s="16">
        <v>6937.15</v>
      </c>
      <c r="H5" s="19">
        <v>6707.2803599999997</v>
      </c>
      <c r="I5" s="29">
        <v>3.4271661189364672E-2</v>
      </c>
      <c r="J5" s="16">
        <v>348</v>
      </c>
      <c r="K5" s="19">
        <v>223</v>
      </c>
      <c r="L5" s="29">
        <v>0.5605381165919282</v>
      </c>
      <c r="M5" s="16">
        <v>7473.34</v>
      </c>
      <c r="N5" s="20">
        <v>4120.0565999999999</v>
      </c>
      <c r="O5" s="29">
        <v>0.81389255671875971</v>
      </c>
    </row>
    <row r="6" spans="1:15">
      <c r="A6" s="12">
        <v>2</v>
      </c>
      <c r="B6" s="12" t="s">
        <v>25</v>
      </c>
      <c r="C6" s="12" t="s">
        <v>27</v>
      </c>
      <c r="D6" s="16">
        <v>179</v>
      </c>
      <c r="E6" s="30">
        <v>207</v>
      </c>
      <c r="F6" s="44">
        <v>-0.13526570048309178</v>
      </c>
      <c r="G6" s="16">
        <v>2931.35</v>
      </c>
      <c r="H6" s="19">
        <v>4230.2511999999997</v>
      </c>
      <c r="I6" s="29">
        <v>-0.30705060730199663</v>
      </c>
      <c r="J6" s="16">
        <v>175</v>
      </c>
      <c r="K6" s="19">
        <v>121</v>
      </c>
      <c r="L6" s="29">
        <v>0.4462809917355372</v>
      </c>
      <c r="M6" s="16">
        <v>3358.53</v>
      </c>
      <c r="N6" s="20">
        <v>2814.2512000000002</v>
      </c>
      <c r="O6" s="29">
        <v>0.19340093023678911</v>
      </c>
    </row>
    <row r="7" spans="1:15">
      <c r="A7" s="12">
        <v>3</v>
      </c>
      <c r="B7" s="12" t="s">
        <v>25</v>
      </c>
      <c r="C7" s="12" t="s">
        <v>28</v>
      </c>
      <c r="D7" s="16">
        <v>105</v>
      </c>
      <c r="E7" s="30">
        <v>126</v>
      </c>
      <c r="F7" s="44">
        <v>-0.16666666666666666</v>
      </c>
      <c r="G7" s="16">
        <v>1346.1599999999999</v>
      </c>
      <c r="H7" s="19">
        <v>1887.3783000000001</v>
      </c>
      <c r="I7" s="29">
        <v>-0.28675666134340966</v>
      </c>
      <c r="J7" s="16">
        <v>88</v>
      </c>
      <c r="K7" s="19">
        <v>125</v>
      </c>
      <c r="L7" s="29">
        <v>-0.29599999999999999</v>
      </c>
      <c r="M7" s="16">
        <v>1216.03</v>
      </c>
      <c r="N7" s="20">
        <v>1964.9377999999999</v>
      </c>
      <c r="O7" s="29">
        <v>-0.38113562678676138</v>
      </c>
    </row>
    <row r="8" spans="1:15">
      <c r="A8" s="12">
        <v>4</v>
      </c>
      <c r="B8" s="12" t="s">
        <v>25</v>
      </c>
      <c r="C8" s="12" t="s">
        <v>29</v>
      </c>
      <c r="D8" s="16">
        <v>31</v>
      </c>
      <c r="E8" s="30">
        <v>0</v>
      </c>
      <c r="F8" s="44"/>
      <c r="G8" s="16">
        <v>302.07</v>
      </c>
      <c r="H8" s="19">
        <v>0</v>
      </c>
      <c r="I8" s="29"/>
      <c r="J8" s="16">
        <v>10</v>
      </c>
      <c r="K8" s="19">
        <v>0</v>
      </c>
      <c r="L8" s="29"/>
      <c r="M8" s="16">
        <v>102.4</v>
      </c>
      <c r="N8" s="20">
        <v>0</v>
      </c>
      <c r="O8" s="29"/>
    </row>
    <row r="9" spans="1:15">
      <c r="A9" s="12">
        <v>5</v>
      </c>
      <c r="B9" s="12" t="s">
        <v>25</v>
      </c>
      <c r="C9" s="12" t="s">
        <v>30</v>
      </c>
      <c r="D9" s="16">
        <v>78</v>
      </c>
      <c r="E9" s="30">
        <v>0</v>
      </c>
      <c r="F9" s="44"/>
      <c r="G9" s="16">
        <v>773.92599999999993</v>
      </c>
      <c r="H9" s="19">
        <v>0</v>
      </c>
      <c r="I9" s="29"/>
      <c r="J9" s="16">
        <v>60</v>
      </c>
      <c r="K9" s="19">
        <v>0</v>
      </c>
      <c r="L9" s="29"/>
      <c r="M9" s="16">
        <v>625.39599999999996</v>
      </c>
      <c r="N9" s="20">
        <v>0</v>
      </c>
      <c r="O9" s="29"/>
    </row>
    <row r="10" spans="1:15">
      <c r="A10" s="12">
        <v>6</v>
      </c>
      <c r="B10" s="12" t="s">
        <v>31</v>
      </c>
      <c r="C10" s="12" t="s">
        <v>32</v>
      </c>
      <c r="D10" s="16">
        <v>37</v>
      </c>
      <c r="E10" s="30">
        <v>30</v>
      </c>
      <c r="F10" s="44">
        <v>0.23333333333333334</v>
      </c>
      <c r="G10" s="16">
        <v>415.27000000000004</v>
      </c>
      <c r="H10" s="19">
        <v>487.23200000000003</v>
      </c>
      <c r="I10" s="29">
        <v>-0.14769555365821618</v>
      </c>
      <c r="J10" s="16">
        <v>55</v>
      </c>
      <c r="K10" s="19">
        <v>36</v>
      </c>
      <c r="L10" s="29">
        <v>0.52777777777777779</v>
      </c>
      <c r="M10" s="16">
        <v>589.0566</v>
      </c>
      <c r="N10" s="20">
        <v>515.13199999999995</v>
      </c>
      <c r="O10" s="29">
        <v>0.14350613046753077</v>
      </c>
    </row>
    <row r="11" spans="1:15">
      <c r="A11" s="12">
        <v>7</v>
      </c>
      <c r="B11" s="12" t="s">
        <v>31</v>
      </c>
      <c r="C11" s="12" t="s">
        <v>33</v>
      </c>
      <c r="D11" s="16">
        <v>53</v>
      </c>
      <c r="E11" s="30">
        <v>156</v>
      </c>
      <c r="F11" s="44">
        <v>-0.66025641025641024</v>
      </c>
      <c r="G11" s="16">
        <v>744.803</v>
      </c>
      <c r="H11" s="19">
        <v>2594.4504999999999</v>
      </c>
      <c r="I11" s="29">
        <v>-0.712924567263858</v>
      </c>
      <c r="J11" s="16">
        <v>33</v>
      </c>
      <c r="K11" s="19">
        <v>108</v>
      </c>
      <c r="L11" s="29">
        <v>-0.69444444444444442</v>
      </c>
      <c r="M11" s="16">
        <v>456.233</v>
      </c>
      <c r="N11" s="20">
        <v>1970.7394999999999</v>
      </c>
      <c r="O11" s="29">
        <v>-0.76849654660090794</v>
      </c>
    </row>
    <row r="12" spans="1:15">
      <c r="A12" s="12">
        <v>8</v>
      </c>
      <c r="B12" s="12" t="s">
        <v>34</v>
      </c>
      <c r="C12" s="12" t="s">
        <v>35</v>
      </c>
      <c r="D12" s="16">
        <v>18</v>
      </c>
      <c r="E12" s="30">
        <v>0</v>
      </c>
      <c r="F12" s="44"/>
      <c r="G12" s="16">
        <v>108.84</v>
      </c>
      <c r="H12" s="19">
        <v>0</v>
      </c>
      <c r="I12" s="29"/>
      <c r="J12" s="16">
        <v>8</v>
      </c>
      <c r="K12" s="19">
        <v>0</v>
      </c>
      <c r="L12" s="29"/>
      <c r="M12" s="16">
        <v>72.84</v>
      </c>
      <c r="N12" s="20">
        <v>0</v>
      </c>
      <c r="O12" s="29"/>
    </row>
    <row r="13" spans="1:15">
      <c r="A13" s="12">
        <v>9</v>
      </c>
      <c r="B13" s="12" t="s">
        <v>34</v>
      </c>
      <c r="C13" s="12" t="s">
        <v>36</v>
      </c>
      <c r="D13" s="16">
        <v>0</v>
      </c>
      <c r="E13" s="30">
        <v>0</v>
      </c>
      <c r="F13" s="44"/>
      <c r="G13" s="16">
        <v>0</v>
      </c>
      <c r="H13" s="19">
        <v>0</v>
      </c>
      <c r="I13" s="29"/>
      <c r="J13" s="16">
        <v>0</v>
      </c>
      <c r="K13" s="19">
        <v>0</v>
      </c>
      <c r="L13" s="29"/>
      <c r="M13" s="16">
        <v>0</v>
      </c>
      <c r="N13" s="20">
        <v>0</v>
      </c>
      <c r="O13" s="29"/>
    </row>
    <row r="14" spans="1:15">
      <c r="A14" s="12">
        <v>10</v>
      </c>
      <c r="B14" s="12" t="s">
        <v>34</v>
      </c>
      <c r="C14" s="12" t="s">
        <v>37</v>
      </c>
      <c r="D14" s="16">
        <v>0</v>
      </c>
      <c r="E14" s="30">
        <v>0</v>
      </c>
      <c r="F14" s="44"/>
      <c r="G14" s="16">
        <v>0</v>
      </c>
      <c r="H14" s="19">
        <v>0</v>
      </c>
      <c r="I14" s="29"/>
      <c r="J14" s="16">
        <v>0</v>
      </c>
      <c r="K14" s="19">
        <v>0</v>
      </c>
      <c r="L14" s="29"/>
      <c r="M14" s="16">
        <v>0</v>
      </c>
      <c r="N14" s="20">
        <v>0</v>
      </c>
      <c r="O14" s="29"/>
    </row>
    <row r="15" spans="1:15" s="4" customFormat="1">
      <c r="A15" s="93" t="s">
        <v>38</v>
      </c>
      <c r="B15" s="94"/>
      <c r="C15" s="94"/>
      <c r="D15" s="24">
        <v>921</v>
      </c>
      <c r="E15" s="31">
        <v>890</v>
      </c>
      <c r="F15" s="48">
        <v>3.4831460674157301E-2</v>
      </c>
      <c r="G15" s="24">
        <v>13559.569</v>
      </c>
      <c r="H15" s="37">
        <v>15906.592359999999</v>
      </c>
      <c r="I15" s="49">
        <v>-0.14755035565643926</v>
      </c>
      <c r="J15" s="24">
        <v>777</v>
      </c>
      <c r="K15" s="31">
        <v>613</v>
      </c>
      <c r="L15" s="23">
        <v>0.26753670473083196</v>
      </c>
      <c r="M15" s="24">
        <v>13893.8256</v>
      </c>
      <c r="N15" s="31">
        <v>11385.117099999999</v>
      </c>
      <c r="O15" s="23">
        <v>0.22034981967818326</v>
      </c>
    </row>
    <row r="16" spans="1:15">
      <c r="A16" s="12">
        <v>11</v>
      </c>
      <c r="B16" s="12" t="s">
        <v>39</v>
      </c>
      <c r="C16" s="12" t="s">
        <v>40</v>
      </c>
      <c r="D16" s="16">
        <v>14</v>
      </c>
      <c r="E16" s="30">
        <v>1</v>
      </c>
      <c r="F16" s="44">
        <v>13</v>
      </c>
      <c r="G16" s="16">
        <v>136.86099999999999</v>
      </c>
      <c r="H16" s="19">
        <v>7.6</v>
      </c>
      <c r="I16" s="29">
        <v>17.008026315789476</v>
      </c>
      <c r="J16" s="16">
        <v>16</v>
      </c>
      <c r="K16" s="19">
        <v>1</v>
      </c>
      <c r="L16" s="29">
        <v>15</v>
      </c>
      <c r="M16" s="16">
        <v>133.30709999999999</v>
      </c>
      <c r="N16" s="20">
        <v>7.6</v>
      </c>
      <c r="O16" s="29">
        <v>16.540407894736841</v>
      </c>
    </row>
    <row r="17" spans="1:17">
      <c r="A17" s="12">
        <v>12</v>
      </c>
      <c r="B17" s="12" t="s">
        <v>25</v>
      </c>
      <c r="C17" s="12" t="s">
        <v>41</v>
      </c>
      <c r="D17" s="16">
        <v>4</v>
      </c>
      <c r="E17" s="30">
        <v>77</v>
      </c>
      <c r="F17" s="44">
        <v>-0.94805194805194803</v>
      </c>
      <c r="G17" s="16">
        <v>74.276200000000003</v>
      </c>
      <c r="H17" s="19">
        <v>1734.6186439999999</v>
      </c>
      <c r="I17" s="29">
        <v>-0.9571800981979991</v>
      </c>
      <c r="J17" s="16">
        <v>32</v>
      </c>
      <c r="K17" s="19">
        <v>25</v>
      </c>
      <c r="L17" s="29">
        <v>0.28000000000000003</v>
      </c>
      <c r="M17" s="16">
        <v>618.03500000000008</v>
      </c>
      <c r="N17" s="20">
        <v>619.60194100000001</v>
      </c>
      <c r="O17" s="29">
        <v>-2.5289478555715643E-3</v>
      </c>
      <c r="Q17" s="51">
        <f>G17+G18-H17-H18</f>
        <v>1010.9484409999995</v>
      </c>
    </row>
    <row r="18" spans="1:17">
      <c r="A18" s="12">
        <v>13</v>
      </c>
      <c r="B18" s="12" t="s">
        <v>25</v>
      </c>
      <c r="C18" s="12" t="s">
        <v>42</v>
      </c>
      <c r="D18" s="16">
        <v>156</v>
      </c>
      <c r="E18" s="30">
        <v>106</v>
      </c>
      <c r="F18" s="44">
        <v>0.47169811320754718</v>
      </c>
      <c r="G18" s="16">
        <v>6633.9</v>
      </c>
      <c r="H18" s="19">
        <v>3962.6091150000002</v>
      </c>
      <c r="I18" s="29">
        <v>0.67412424679692362</v>
      </c>
      <c r="J18" s="16">
        <v>158</v>
      </c>
      <c r="K18" s="19">
        <v>10</v>
      </c>
      <c r="L18" s="29">
        <v>14.8</v>
      </c>
      <c r="M18" s="16">
        <v>6572.41</v>
      </c>
      <c r="N18" s="20">
        <v>374.14792599999998</v>
      </c>
      <c r="O18" s="29">
        <v>16.566340859524104</v>
      </c>
    </row>
    <row r="19" spans="1:17" ht="15.95" customHeight="1">
      <c r="A19" s="12">
        <v>14</v>
      </c>
      <c r="B19" s="12" t="s">
        <v>39</v>
      </c>
      <c r="C19" s="12" t="s">
        <v>43</v>
      </c>
      <c r="D19" s="16">
        <v>6</v>
      </c>
      <c r="E19" s="30">
        <v>26</v>
      </c>
      <c r="F19" s="44">
        <v>-0.76923076923076927</v>
      </c>
      <c r="G19" s="16">
        <v>67.198000000000008</v>
      </c>
      <c r="H19" s="19">
        <v>239.82782900000001</v>
      </c>
      <c r="I19" s="29">
        <v>-0.71980732894846822</v>
      </c>
      <c r="J19" s="16">
        <v>5</v>
      </c>
      <c r="K19" s="19">
        <v>25</v>
      </c>
      <c r="L19" s="29">
        <v>-0.8</v>
      </c>
      <c r="M19" s="16">
        <v>52.820099999999996</v>
      </c>
      <c r="N19" s="20">
        <v>233.58912900000001</v>
      </c>
      <c r="O19" s="29">
        <v>-0.77387603513004244</v>
      </c>
    </row>
    <row r="20" spans="1:17">
      <c r="A20" s="12">
        <v>15</v>
      </c>
      <c r="B20" s="12" t="s">
        <v>39</v>
      </c>
      <c r="C20" s="12" t="s">
        <v>44</v>
      </c>
      <c r="D20" s="16">
        <v>39</v>
      </c>
      <c r="E20" s="30">
        <v>0</v>
      </c>
      <c r="F20" s="44"/>
      <c r="G20" s="16">
        <v>314.13</v>
      </c>
      <c r="H20" s="19">
        <v>0</v>
      </c>
      <c r="I20" s="29"/>
      <c r="J20" s="16">
        <v>29</v>
      </c>
      <c r="K20" s="19">
        <v>0</v>
      </c>
      <c r="L20" s="29"/>
      <c r="M20" s="16">
        <v>234.13</v>
      </c>
      <c r="N20" s="20">
        <v>0</v>
      </c>
      <c r="O20" s="29"/>
    </row>
    <row r="21" spans="1:17">
      <c r="A21" s="12">
        <v>16</v>
      </c>
      <c r="B21" s="12" t="s">
        <v>39</v>
      </c>
      <c r="C21" s="12" t="s">
        <v>45</v>
      </c>
      <c r="D21" s="16">
        <v>0</v>
      </c>
      <c r="E21" s="30">
        <v>0</v>
      </c>
      <c r="F21" s="44"/>
      <c r="G21" s="16">
        <v>0</v>
      </c>
      <c r="H21" s="19">
        <v>0</v>
      </c>
      <c r="I21" s="29"/>
      <c r="J21" s="16">
        <v>0</v>
      </c>
      <c r="K21" s="19">
        <v>0</v>
      </c>
      <c r="L21" s="29"/>
      <c r="M21" s="16">
        <v>0</v>
      </c>
      <c r="N21" s="20">
        <v>0</v>
      </c>
      <c r="O21" s="29"/>
    </row>
    <row r="22" spans="1:17">
      <c r="A22" s="12">
        <v>17</v>
      </c>
      <c r="B22" s="12" t="s">
        <v>31</v>
      </c>
      <c r="C22" s="12" t="s">
        <v>46</v>
      </c>
      <c r="D22" s="16">
        <v>40</v>
      </c>
      <c r="E22" s="30">
        <v>16</v>
      </c>
      <c r="F22" s="44">
        <v>1.5</v>
      </c>
      <c r="G22" s="16">
        <v>932.34799999999996</v>
      </c>
      <c r="H22" s="19">
        <v>132.08500000000001</v>
      </c>
      <c r="I22" s="29">
        <v>6.0586970511413094</v>
      </c>
      <c r="J22" s="16">
        <v>20</v>
      </c>
      <c r="K22" s="19">
        <v>17</v>
      </c>
      <c r="L22" s="29">
        <v>0.17647058823529413</v>
      </c>
      <c r="M22" s="16">
        <v>519.83699999999999</v>
      </c>
      <c r="N22" s="20">
        <v>140.47499999999999</v>
      </c>
      <c r="O22" s="29">
        <v>2.7005659369994661</v>
      </c>
    </row>
    <row r="23" spans="1:17">
      <c r="A23" s="12">
        <v>18</v>
      </c>
      <c r="B23" s="12" t="s">
        <v>39</v>
      </c>
      <c r="C23" s="12" t="s">
        <v>47</v>
      </c>
      <c r="D23" s="16">
        <v>9</v>
      </c>
      <c r="E23" s="30">
        <v>7</v>
      </c>
      <c r="F23" s="44">
        <v>0.2857142857142857</v>
      </c>
      <c r="G23" s="16">
        <v>100.8891</v>
      </c>
      <c r="H23" s="19">
        <v>96.411316999999997</v>
      </c>
      <c r="I23" s="29">
        <v>4.6444578700237049E-2</v>
      </c>
      <c r="J23" s="16">
        <v>9</v>
      </c>
      <c r="K23" s="19">
        <v>16</v>
      </c>
      <c r="L23" s="29">
        <v>-0.4375</v>
      </c>
      <c r="M23" s="16">
        <v>93.789999999999992</v>
      </c>
      <c r="N23" s="20">
        <v>3354.1559590000002</v>
      </c>
      <c r="O23" s="29">
        <v>-0.97203767470968694</v>
      </c>
    </row>
    <row r="24" spans="1:17">
      <c r="A24" s="12">
        <v>19</v>
      </c>
      <c r="B24" s="12" t="s">
        <v>39</v>
      </c>
      <c r="C24" s="12" t="s">
        <v>48</v>
      </c>
      <c r="D24" s="16">
        <v>0</v>
      </c>
      <c r="E24" s="30">
        <v>0</v>
      </c>
      <c r="F24" s="44"/>
      <c r="G24" s="16">
        <v>0</v>
      </c>
      <c r="H24" s="19">
        <v>0</v>
      </c>
      <c r="I24" s="29"/>
      <c r="J24" s="16">
        <v>0</v>
      </c>
      <c r="K24" s="19">
        <v>0</v>
      </c>
      <c r="L24" s="29"/>
      <c r="M24" s="16">
        <v>0</v>
      </c>
      <c r="N24" s="20">
        <v>0</v>
      </c>
      <c r="O24" s="29"/>
    </row>
    <row r="25" spans="1:17" s="4" customFormat="1">
      <c r="A25" s="93" t="s">
        <v>49</v>
      </c>
      <c r="B25" s="94"/>
      <c r="C25" s="94"/>
      <c r="D25" s="24">
        <v>268</v>
      </c>
      <c r="E25" s="21">
        <v>233</v>
      </c>
      <c r="F25" s="48">
        <v>0.15021459227467812</v>
      </c>
      <c r="G25" s="24">
        <v>8259.6023000000005</v>
      </c>
      <c r="H25" s="21">
        <v>6173.1519049999997</v>
      </c>
      <c r="I25" s="49">
        <v>0.33798785889426464</v>
      </c>
      <c r="J25" s="24">
        <v>269</v>
      </c>
      <c r="K25" s="21">
        <v>94</v>
      </c>
      <c r="L25" s="23">
        <v>1.8617021276595744</v>
      </c>
      <c r="M25" s="24">
        <v>8224.3292000000001</v>
      </c>
      <c r="N25" s="21">
        <v>4729.5699549999999</v>
      </c>
      <c r="O25" s="23">
        <v>0.73891691596725739</v>
      </c>
    </row>
    <row r="26" spans="1:17">
      <c r="A26" s="12">
        <v>20</v>
      </c>
      <c r="B26" s="12" t="s">
        <v>34</v>
      </c>
      <c r="C26" s="12" t="s">
        <v>50</v>
      </c>
      <c r="D26" s="16">
        <v>28</v>
      </c>
      <c r="E26" s="30">
        <v>22</v>
      </c>
      <c r="F26" s="44">
        <v>0.27272727272727271</v>
      </c>
      <c r="G26" s="16">
        <v>145.70099999999999</v>
      </c>
      <c r="H26" s="19">
        <v>178.457292</v>
      </c>
      <c r="I26" s="29">
        <v>-0.1835525555324464</v>
      </c>
      <c r="J26" s="16">
        <v>18</v>
      </c>
      <c r="K26" s="19">
        <v>29</v>
      </c>
      <c r="L26" s="29">
        <v>-0.37931034482758619</v>
      </c>
      <c r="M26" s="16">
        <v>113.05420000000001</v>
      </c>
      <c r="N26" s="20">
        <v>228.72333399999999</v>
      </c>
      <c r="O26" s="29">
        <v>-0.50571636910469309</v>
      </c>
    </row>
    <row r="27" spans="1:17">
      <c r="A27" s="12">
        <v>21</v>
      </c>
      <c r="B27" s="12" t="s">
        <v>31</v>
      </c>
      <c r="C27" s="12" t="s">
        <v>51</v>
      </c>
      <c r="D27" s="16">
        <v>13</v>
      </c>
      <c r="E27" s="30">
        <v>3</v>
      </c>
      <c r="F27" s="44">
        <v>3.3333333333333335</v>
      </c>
      <c r="G27" s="16">
        <v>186.9496</v>
      </c>
      <c r="H27" s="19">
        <v>44.012006999999997</v>
      </c>
      <c r="I27" s="29">
        <v>3.2476954073010122</v>
      </c>
      <c r="J27" s="16">
        <v>16</v>
      </c>
      <c r="K27" s="19">
        <v>0</v>
      </c>
      <c r="L27" s="29" t="e">
        <v>#DIV/0!</v>
      </c>
      <c r="M27" s="16">
        <v>422.1675864</v>
      </c>
      <c r="N27" s="20">
        <v>0</v>
      </c>
      <c r="O27" s="29" t="e">
        <v>#DIV/0!</v>
      </c>
    </row>
    <row r="28" spans="1:17">
      <c r="A28" s="12">
        <v>22</v>
      </c>
      <c r="B28" s="12" t="s">
        <v>39</v>
      </c>
      <c r="C28" s="12" t="s">
        <v>52</v>
      </c>
      <c r="D28" s="16">
        <v>8</v>
      </c>
      <c r="E28" s="30">
        <v>2</v>
      </c>
      <c r="F28" s="44">
        <v>3</v>
      </c>
      <c r="G28" s="16">
        <v>67.250399999999999</v>
      </c>
      <c r="H28" s="19">
        <v>6.9127679999999998</v>
      </c>
      <c r="I28" s="29">
        <v>8.7284329518942343</v>
      </c>
      <c r="J28" s="16">
        <v>10</v>
      </c>
      <c r="K28" s="19">
        <v>0</v>
      </c>
      <c r="L28" s="29" t="e">
        <v>#DIV/0!</v>
      </c>
      <c r="M28" s="16">
        <v>89.591199999999986</v>
      </c>
      <c r="N28" s="20">
        <v>0</v>
      </c>
      <c r="O28" s="29" t="e">
        <v>#DIV/0!</v>
      </c>
    </row>
    <row r="29" spans="1:17">
      <c r="A29" s="12">
        <v>23</v>
      </c>
      <c r="B29" s="12" t="s">
        <v>31</v>
      </c>
      <c r="C29" s="12" t="s">
        <v>53</v>
      </c>
      <c r="D29" s="16">
        <v>30</v>
      </c>
      <c r="E29" s="30">
        <v>27</v>
      </c>
      <c r="F29" s="44">
        <v>0.1111111111111111</v>
      </c>
      <c r="G29" s="16">
        <v>249.55799999999999</v>
      </c>
      <c r="H29" s="19">
        <v>224.145533</v>
      </c>
      <c r="I29" s="29">
        <v>0.11337485364921367</v>
      </c>
      <c r="J29" s="16">
        <v>25</v>
      </c>
      <c r="K29" s="19">
        <v>20</v>
      </c>
      <c r="L29" s="29">
        <v>0.25</v>
      </c>
      <c r="M29" s="16">
        <v>208.11799999999999</v>
      </c>
      <c r="N29" s="20">
        <v>167.86765299999999</v>
      </c>
      <c r="O29" s="29">
        <v>0.23977428814114657</v>
      </c>
    </row>
    <row r="30" spans="1:17">
      <c r="A30" s="12">
        <v>24</v>
      </c>
      <c r="B30" s="12" t="s">
        <v>34</v>
      </c>
      <c r="C30" s="12" t="s">
        <v>54</v>
      </c>
      <c r="D30" s="16">
        <v>15</v>
      </c>
      <c r="E30" s="30">
        <v>2</v>
      </c>
      <c r="F30" s="44">
        <v>6.5</v>
      </c>
      <c r="G30" s="16">
        <v>158.3023</v>
      </c>
      <c r="H30" s="19">
        <v>29.534538999999999</v>
      </c>
      <c r="I30" s="29">
        <v>4.359904212488301</v>
      </c>
      <c r="J30" s="16">
        <v>11</v>
      </c>
      <c r="K30" s="19">
        <v>9</v>
      </c>
      <c r="L30" s="29">
        <v>0.22222222222222221</v>
      </c>
      <c r="M30" s="16">
        <v>118.1101</v>
      </c>
      <c r="N30" s="20">
        <v>179.53971200000001</v>
      </c>
      <c r="O30" s="29">
        <v>-0.34215055441327658</v>
      </c>
    </row>
    <row r="31" spans="1:17">
      <c r="A31" s="12">
        <v>25</v>
      </c>
      <c r="B31" s="12" t="s">
        <v>34</v>
      </c>
      <c r="C31" s="12" t="s">
        <v>55</v>
      </c>
      <c r="D31" s="16">
        <v>0</v>
      </c>
      <c r="E31" s="30">
        <v>0</v>
      </c>
      <c r="F31" s="44"/>
      <c r="G31" s="16">
        <v>30</v>
      </c>
      <c r="H31" s="19">
        <v>0</v>
      </c>
      <c r="I31" s="29"/>
      <c r="J31" s="16">
        <v>0</v>
      </c>
      <c r="K31" s="19">
        <v>0</v>
      </c>
      <c r="L31" s="29"/>
      <c r="M31" s="16">
        <v>15</v>
      </c>
      <c r="N31" s="20">
        <v>0</v>
      </c>
      <c r="O31" s="29"/>
    </row>
    <row r="32" spans="1:17">
      <c r="A32" s="12">
        <v>26</v>
      </c>
      <c r="B32" s="12" t="s">
        <v>34</v>
      </c>
      <c r="C32" s="12" t="s">
        <v>56</v>
      </c>
      <c r="D32" s="16">
        <v>8</v>
      </c>
      <c r="E32" s="30">
        <v>1</v>
      </c>
      <c r="F32" s="44">
        <v>7</v>
      </c>
      <c r="G32" s="16">
        <v>177.59969999999998</v>
      </c>
      <c r="H32" s="19">
        <v>7.43</v>
      </c>
      <c r="I32" s="29">
        <v>22.903055181695827</v>
      </c>
      <c r="J32" s="16">
        <v>8</v>
      </c>
      <c r="K32" s="19">
        <v>1</v>
      </c>
      <c r="L32" s="29">
        <v>7</v>
      </c>
      <c r="M32" s="16">
        <v>77.599699999999999</v>
      </c>
      <c r="N32" s="20">
        <v>7.43</v>
      </c>
      <c r="O32" s="29">
        <v>9.4441049798115753</v>
      </c>
    </row>
    <row r="33" spans="1:15">
      <c r="A33" s="12">
        <v>27</v>
      </c>
      <c r="B33" s="12" t="s">
        <v>31</v>
      </c>
      <c r="C33" s="12" t="s">
        <v>57</v>
      </c>
      <c r="D33" s="16">
        <v>12</v>
      </c>
      <c r="E33" s="30">
        <v>1</v>
      </c>
      <c r="F33" s="44">
        <v>11</v>
      </c>
      <c r="G33" s="16">
        <v>88.016800000000003</v>
      </c>
      <c r="H33" s="19">
        <v>7.5608399999999998</v>
      </c>
      <c r="I33" s="29">
        <v>10.641140402389153</v>
      </c>
      <c r="J33" s="16">
        <v>11</v>
      </c>
      <c r="K33" s="19">
        <v>0</v>
      </c>
      <c r="L33" s="29" t="e">
        <v>#DIV/0!</v>
      </c>
      <c r="M33" s="16">
        <v>74.143799999999999</v>
      </c>
      <c r="N33" s="20">
        <v>0</v>
      </c>
      <c r="O33" s="29" t="e">
        <v>#DIV/0!</v>
      </c>
    </row>
    <row r="34" spans="1:15">
      <c r="A34" s="12">
        <v>28</v>
      </c>
      <c r="B34" s="12" t="s">
        <v>25</v>
      </c>
      <c r="C34" s="12" t="s">
        <v>58</v>
      </c>
      <c r="D34" s="16">
        <v>49</v>
      </c>
      <c r="E34" s="30">
        <v>30</v>
      </c>
      <c r="F34" s="44">
        <v>0.6333333333333333</v>
      </c>
      <c r="G34" s="16">
        <v>545.24</v>
      </c>
      <c r="H34" s="19">
        <v>723.49246400000004</v>
      </c>
      <c r="I34" s="29">
        <v>-0.24637777567784039</v>
      </c>
      <c r="J34" s="16">
        <v>27</v>
      </c>
      <c r="K34" s="19">
        <v>19</v>
      </c>
      <c r="L34" s="29">
        <v>0.42105263157894735</v>
      </c>
      <c r="M34" s="16">
        <v>283.96199999999999</v>
      </c>
      <c r="N34" s="20">
        <v>329.72867100000002</v>
      </c>
      <c r="O34" s="29">
        <v>-0.13880100526653938</v>
      </c>
    </row>
    <row r="35" spans="1:15">
      <c r="A35" s="12">
        <v>29</v>
      </c>
      <c r="B35" s="12" t="s">
        <v>34</v>
      </c>
      <c r="C35" s="12" t="s">
        <v>59</v>
      </c>
      <c r="D35" s="16">
        <v>5</v>
      </c>
      <c r="E35" s="30">
        <v>0</v>
      </c>
      <c r="F35" s="44"/>
      <c r="G35" s="16">
        <v>50</v>
      </c>
      <c r="H35" s="19">
        <v>0</v>
      </c>
      <c r="I35" s="29"/>
      <c r="J35" s="16">
        <v>11</v>
      </c>
      <c r="K35" s="19">
        <v>0</v>
      </c>
      <c r="L35" s="29"/>
      <c r="M35" s="16">
        <v>60</v>
      </c>
      <c r="N35" s="20">
        <v>0</v>
      </c>
      <c r="O35" s="29"/>
    </row>
    <row r="36" spans="1:15">
      <c r="A36" s="12">
        <v>30</v>
      </c>
      <c r="B36" s="12" t="s">
        <v>34</v>
      </c>
      <c r="C36" s="12" t="s">
        <v>60</v>
      </c>
      <c r="D36" s="16">
        <v>0</v>
      </c>
      <c r="E36" s="30">
        <v>0</v>
      </c>
      <c r="F36" s="44"/>
      <c r="G36" s="16">
        <v>0</v>
      </c>
      <c r="H36" s="19">
        <v>0</v>
      </c>
      <c r="I36" s="29"/>
      <c r="J36" s="16">
        <v>0</v>
      </c>
      <c r="K36" s="19">
        <v>0</v>
      </c>
      <c r="L36" s="29"/>
      <c r="M36" s="16">
        <v>170</v>
      </c>
      <c r="N36" s="20">
        <v>0</v>
      </c>
      <c r="O36" s="29"/>
    </row>
    <row r="37" spans="1:15" s="4" customFormat="1">
      <c r="A37" s="93" t="s">
        <v>61</v>
      </c>
      <c r="B37" s="94"/>
      <c r="C37" s="94"/>
      <c r="D37" s="24">
        <v>168</v>
      </c>
      <c r="E37" s="21">
        <v>88</v>
      </c>
      <c r="F37" s="48">
        <v>0.90909090909090906</v>
      </c>
      <c r="G37" s="24">
        <v>1698.6178</v>
      </c>
      <c r="H37" s="21">
        <v>1221.545443</v>
      </c>
      <c r="I37" s="49">
        <v>0.39054818609805908</v>
      </c>
      <c r="J37" s="24">
        <v>137</v>
      </c>
      <c r="K37" s="21">
        <v>78</v>
      </c>
      <c r="L37" s="23">
        <v>0.75641025641025639</v>
      </c>
      <c r="M37" s="24">
        <v>1631.7465864000001</v>
      </c>
      <c r="N37" s="21">
        <v>913.28936999999996</v>
      </c>
      <c r="O37" s="23">
        <v>0.78666985514131205</v>
      </c>
    </row>
    <row r="38" spans="1:15">
      <c r="A38" s="12">
        <v>31</v>
      </c>
      <c r="B38" s="12" t="s">
        <v>31</v>
      </c>
      <c r="C38" s="12" t="s">
        <v>62</v>
      </c>
      <c r="D38" s="16">
        <v>35</v>
      </c>
      <c r="E38" s="30">
        <v>27</v>
      </c>
      <c r="F38" s="44">
        <v>0.29629629629629628</v>
      </c>
      <c r="G38" s="16">
        <v>370.9393</v>
      </c>
      <c r="H38" s="19">
        <v>913.934257</v>
      </c>
      <c r="I38" s="29">
        <v>-0.59412912125910167</v>
      </c>
      <c r="J38" s="16">
        <v>31</v>
      </c>
      <c r="K38" s="19">
        <v>26</v>
      </c>
      <c r="L38" s="29">
        <v>0.19230769230769232</v>
      </c>
      <c r="M38" s="16">
        <v>341.67610000000002</v>
      </c>
      <c r="N38" s="20">
        <v>895.74991999999997</v>
      </c>
      <c r="O38" s="29">
        <v>-0.61855860394606565</v>
      </c>
    </row>
    <row r="39" spans="1:15">
      <c r="A39" s="12">
        <v>32</v>
      </c>
      <c r="B39" s="12" t="s">
        <v>25</v>
      </c>
      <c r="C39" s="12" t="s">
        <v>63</v>
      </c>
      <c r="D39" s="16">
        <v>119</v>
      </c>
      <c r="E39" s="30">
        <v>115</v>
      </c>
      <c r="F39" s="44">
        <v>3.4782608695652174E-2</v>
      </c>
      <c r="G39" s="16">
        <v>977.58899999999994</v>
      </c>
      <c r="H39" s="19">
        <v>999.50570600000003</v>
      </c>
      <c r="I39" s="29">
        <v>-2.1927544653757174E-2</v>
      </c>
      <c r="J39" s="16">
        <v>99</v>
      </c>
      <c r="K39" s="19">
        <v>132</v>
      </c>
      <c r="L39" s="29">
        <v>-0.25</v>
      </c>
      <c r="M39" s="16">
        <v>737.58899999999994</v>
      </c>
      <c r="N39" s="20">
        <v>1132.2965879999999</v>
      </c>
      <c r="O39" s="29">
        <v>-0.34859028295508737</v>
      </c>
    </row>
    <row r="40" spans="1:15">
      <c r="A40" s="12">
        <v>33</v>
      </c>
      <c r="B40" s="12" t="s">
        <v>25</v>
      </c>
      <c r="C40" s="12" t="s">
        <v>64</v>
      </c>
      <c r="D40" s="16">
        <v>80</v>
      </c>
      <c r="E40" s="30">
        <v>18</v>
      </c>
      <c r="F40" s="44">
        <v>3.4444444444444446</v>
      </c>
      <c r="G40" s="16">
        <v>509.78700000000003</v>
      </c>
      <c r="H40" s="19">
        <v>244.92996500000001</v>
      </c>
      <c r="I40" s="29">
        <v>1.0813582364248491</v>
      </c>
      <c r="J40" s="16">
        <v>62</v>
      </c>
      <c r="K40" s="19">
        <v>22</v>
      </c>
      <c r="L40" s="29">
        <v>1.8181818181818181</v>
      </c>
      <c r="M40" s="16">
        <v>629.50199999999995</v>
      </c>
      <c r="N40" s="20">
        <v>262.43405999999999</v>
      </c>
      <c r="O40" s="29">
        <v>1.398705411942337</v>
      </c>
    </row>
    <row r="41" spans="1:15">
      <c r="A41" s="12">
        <v>34</v>
      </c>
      <c r="B41" s="12" t="s">
        <v>34</v>
      </c>
      <c r="C41" s="12" t="s">
        <v>65</v>
      </c>
      <c r="D41" s="16">
        <v>7</v>
      </c>
      <c r="E41" s="30">
        <v>11</v>
      </c>
      <c r="F41" s="44">
        <v>-0.36363636363636365</v>
      </c>
      <c r="G41" s="16">
        <v>160</v>
      </c>
      <c r="H41" s="19">
        <v>126.799567</v>
      </c>
      <c r="I41" s="29">
        <v>0.26183396194089531</v>
      </c>
      <c r="J41" s="16">
        <v>11</v>
      </c>
      <c r="K41" s="19">
        <v>12</v>
      </c>
      <c r="L41" s="29">
        <v>-8.3333333333333329E-2</v>
      </c>
      <c r="M41" s="16">
        <v>107.0849</v>
      </c>
      <c r="N41" s="20">
        <v>134.82774499999999</v>
      </c>
      <c r="O41" s="29">
        <v>-0.20576510420759458</v>
      </c>
    </row>
    <row r="42" spans="1:15">
      <c r="A42" s="12">
        <v>35</v>
      </c>
      <c r="B42" s="12" t="s">
        <v>25</v>
      </c>
      <c r="C42" s="12" t="s">
        <v>66</v>
      </c>
      <c r="D42" s="16">
        <v>101</v>
      </c>
      <c r="E42" s="30">
        <v>63</v>
      </c>
      <c r="F42" s="44">
        <v>0.60317460317460314</v>
      </c>
      <c r="G42" s="16">
        <v>846.24599999999998</v>
      </c>
      <c r="H42" s="19">
        <v>500.02766100000002</v>
      </c>
      <c r="I42" s="29">
        <v>0.69239837313720121</v>
      </c>
      <c r="J42" s="16">
        <v>78</v>
      </c>
      <c r="K42" s="19">
        <v>52</v>
      </c>
      <c r="L42" s="29">
        <v>0.5</v>
      </c>
      <c r="M42" s="16">
        <v>677.11699999999996</v>
      </c>
      <c r="N42" s="20">
        <v>388.01157699999999</v>
      </c>
      <c r="O42" s="29">
        <v>0.74509483772439089</v>
      </c>
    </row>
    <row r="43" spans="1:15">
      <c r="A43" s="12">
        <v>36</v>
      </c>
      <c r="B43" s="12" t="s">
        <v>34</v>
      </c>
      <c r="C43" s="12" t="s">
        <v>67</v>
      </c>
      <c r="D43" s="16">
        <v>6</v>
      </c>
      <c r="E43" s="30">
        <v>0</v>
      </c>
      <c r="F43" s="44"/>
      <c r="G43" s="16">
        <v>36.72</v>
      </c>
      <c r="H43" s="19">
        <v>0</v>
      </c>
      <c r="I43" s="29"/>
      <c r="J43" s="16">
        <v>2</v>
      </c>
      <c r="K43" s="19">
        <v>0</v>
      </c>
      <c r="L43" s="29"/>
      <c r="M43" s="16">
        <v>12.24</v>
      </c>
      <c r="N43" s="20">
        <v>0</v>
      </c>
      <c r="O43" s="29"/>
    </row>
    <row r="44" spans="1:15">
      <c r="A44" s="12">
        <v>37</v>
      </c>
      <c r="B44" s="12" t="s">
        <v>39</v>
      </c>
      <c r="C44" s="12" t="s">
        <v>68</v>
      </c>
      <c r="D44" s="16">
        <v>14</v>
      </c>
      <c r="E44" s="30">
        <v>8</v>
      </c>
      <c r="F44" s="44">
        <v>0.75</v>
      </c>
      <c r="G44" s="16">
        <v>110.9294</v>
      </c>
      <c r="H44" s="19">
        <v>61.438507000000001</v>
      </c>
      <c r="I44" s="29">
        <v>0.80553541120392136</v>
      </c>
      <c r="J44" s="16">
        <v>15</v>
      </c>
      <c r="K44" s="19">
        <v>8</v>
      </c>
      <c r="L44" s="29">
        <v>0.875</v>
      </c>
      <c r="M44" s="16">
        <v>110.4079</v>
      </c>
      <c r="N44" s="20">
        <v>61.438507000000001</v>
      </c>
      <c r="O44" s="29">
        <v>0.79704724921131298</v>
      </c>
    </row>
    <row r="45" spans="1:15">
      <c r="A45" s="12">
        <v>38</v>
      </c>
      <c r="B45" s="12" t="s">
        <v>34</v>
      </c>
      <c r="C45" s="12" t="s">
        <v>69</v>
      </c>
      <c r="D45" s="16">
        <v>7</v>
      </c>
      <c r="E45" s="30">
        <v>0</v>
      </c>
      <c r="F45" s="44"/>
      <c r="G45" s="16">
        <v>54.950800000000001</v>
      </c>
      <c r="H45" s="19">
        <v>0</v>
      </c>
      <c r="I45" s="29"/>
      <c r="J45" s="16">
        <v>7</v>
      </c>
      <c r="K45" s="19">
        <v>0</v>
      </c>
      <c r="L45" s="29"/>
      <c r="M45" s="16">
        <v>55</v>
      </c>
      <c r="N45" s="20">
        <v>0</v>
      </c>
      <c r="O45" s="29"/>
    </row>
    <row r="46" spans="1:15">
      <c r="A46" s="12">
        <v>39</v>
      </c>
      <c r="B46" s="12" t="s">
        <v>34</v>
      </c>
      <c r="C46" s="12" t="s">
        <v>70</v>
      </c>
      <c r="D46" s="16">
        <v>18</v>
      </c>
      <c r="E46" s="30">
        <v>0</v>
      </c>
      <c r="F46" s="44"/>
      <c r="G46" s="16">
        <v>270</v>
      </c>
      <c r="H46" s="19">
        <v>0</v>
      </c>
      <c r="I46" s="29"/>
      <c r="J46" s="16">
        <v>18</v>
      </c>
      <c r="K46" s="19">
        <v>0</v>
      </c>
      <c r="L46" s="29"/>
      <c r="M46" s="16">
        <v>270</v>
      </c>
      <c r="N46" s="20">
        <v>0</v>
      </c>
      <c r="O46" s="29"/>
    </row>
    <row r="47" spans="1:15">
      <c r="A47" s="12">
        <v>40</v>
      </c>
      <c r="B47" s="12" t="s">
        <v>39</v>
      </c>
      <c r="C47" s="12" t="s">
        <v>71</v>
      </c>
      <c r="D47" s="16">
        <v>26</v>
      </c>
      <c r="E47" s="30">
        <v>20</v>
      </c>
      <c r="F47" s="44">
        <v>0.3</v>
      </c>
      <c r="G47" s="16">
        <v>153.35629999999998</v>
      </c>
      <c r="H47" s="19">
        <v>200.807132</v>
      </c>
      <c r="I47" s="29">
        <v>-0.23630053139746063</v>
      </c>
      <c r="J47" s="16">
        <v>24</v>
      </c>
      <c r="K47" s="19">
        <v>15</v>
      </c>
      <c r="L47" s="29">
        <v>0.6</v>
      </c>
      <c r="M47" s="16">
        <v>142.48570000000001</v>
      </c>
      <c r="N47" s="20">
        <v>137.57912400000001</v>
      </c>
      <c r="O47" s="29">
        <v>3.5663666531268227E-2</v>
      </c>
    </row>
    <row r="48" spans="1:15" s="4" customFormat="1">
      <c r="A48" s="93" t="s">
        <v>72</v>
      </c>
      <c r="B48" s="94"/>
      <c r="C48" s="94"/>
      <c r="D48" s="24">
        <v>413</v>
      </c>
      <c r="E48" s="21">
        <v>262</v>
      </c>
      <c r="F48" s="48">
        <v>0.57633587786259544</v>
      </c>
      <c r="G48" s="24">
        <v>3490.5178000000001</v>
      </c>
      <c r="H48" s="21">
        <v>3047.4427949999999</v>
      </c>
      <c r="I48" s="49">
        <v>0.14539239447807262</v>
      </c>
      <c r="J48" s="24">
        <v>347</v>
      </c>
      <c r="K48" s="21">
        <v>267</v>
      </c>
      <c r="L48" s="23">
        <v>0.29962546816479402</v>
      </c>
      <c r="M48" s="24">
        <v>3083.1025999999997</v>
      </c>
      <c r="N48" s="21">
        <v>3012.3375209999995</v>
      </c>
      <c r="O48" s="23">
        <v>2.3491749681658684E-2</v>
      </c>
    </row>
    <row r="49" spans="1:15">
      <c r="A49" s="12">
        <v>41</v>
      </c>
      <c r="B49" s="12" t="s">
        <v>34</v>
      </c>
      <c r="C49" s="12" t="s">
        <v>73</v>
      </c>
      <c r="D49" s="16">
        <v>18</v>
      </c>
      <c r="E49" s="30">
        <v>15</v>
      </c>
      <c r="F49" s="44">
        <v>0.2</v>
      </c>
      <c r="G49" s="16">
        <v>201.11799999999999</v>
      </c>
      <c r="H49" s="19">
        <v>187.86055999999999</v>
      </c>
      <c r="I49" s="29">
        <v>7.0570640266376314E-2</v>
      </c>
      <c r="J49" s="16">
        <v>5</v>
      </c>
      <c r="K49" s="19">
        <v>10</v>
      </c>
      <c r="L49" s="29">
        <v>-0.5</v>
      </c>
      <c r="M49" s="16">
        <v>68.681299999999993</v>
      </c>
      <c r="N49" s="20">
        <v>152.329161</v>
      </c>
      <c r="O49" s="29">
        <v>-0.54912572517877922</v>
      </c>
    </row>
    <row r="50" spans="1:15">
      <c r="A50" s="12">
        <v>42</v>
      </c>
      <c r="B50" s="12" t="s">
        <v>25</v>
      </c>
      <c r="C50" s="12" t="s">
        <v>74</v>
      </c>
      <c r="D50" s="16">
        <v>111</v>
      </c>
      <c r="E50" s="30">
        <v>55</v>
      </c>
      <c r="F50" s="44">
        <v>1.0181818181818181</v>
      </c>
      <c r="G50" s="16">
        <v>1035.586</v>
      </c>
      <c r="H50" s="19">
        <v>530.29769199999998</v>
      </c>
      <c r="I50" s="45">
        <v>0.95283897256712946</v>
      </c>
      <c r="J50" s="16">
        <v>87</v>
      </c>
      <c r="K50" s="19">
        <v>48</v>
      </c>
      <c r="L50" s="45">
        <v>0.8125</v>
      </c>
      <c r="M50" s="16">
        <v>808.98900000000003</v>
      </c>
      <c r="N50" s="20">
        <v>502.43066499999998</v>
      </c>
      <c r="O50" s="29">
        <v>0.61015052693887639</v>
      </c>
    </row>
    <row r="51" spans="1:15">
      <c r="A51" s="12">
        <v>43</v>
      </c>
      <c r="B51" s="12" t="s">
        <v>31</v>
      </c>
      <c r="C51" s="12" t="s">
        <v>75</v>
      </c>
      <c r="D51" s="16">
        <v>60</v>
      </c>
      <c r="E51" s="30">
        <v>36</v>
      </c>
      <c r="F51" s="44">
        <v>0.66666666666666663</v>
      </c>
      <c r="G51" s="16">
        <v>379.88099999999997</v>
      </c>
      <c r="H51" s="19">
        <v>317.42713099999997</v>
      </c>
      <c r="I51" s="45">
        <v>0.19675025510028002</v>
      </c>
      <c r="J51" s="16">
        <v>41</v>
      </c>
      <c r="K51" s="19">
        <v>29</v>
      </c>
      <c r="L51" s="45">
        <v>0.41379310344827586</v>
      </c>
      <c r="M51" s="16">
        <v>261.00060000000002</v>
      </c>
      <c r="N51" s="20">
        <v>276.05057599999998</v>
      </c>
      <c r="O51" s="29">
        <v>-5.4518908158336751E-2</v>
      </c>
    </row>
    <row r="52" spans="1:15">
      <c r="A52" s="12">
        <v>44</v>
      </c>
      <c r="B52" s="12" t="s">
        <v>34</v>
      </c>
      <c r="C52" s="12" t="s">
        <v>76</v>
      </c>
      <c r="D52" s="16">
        <v>52</v>
      </c>
      <c r="E52" s="30">
        <v>0</v>
      </c>
      <c r="F52" s="44"/>
      <c r="G52" s="16">
        <v>359.29499999999996</v>
      </c>
      <c r="H52" s="19">
        <v>0</v>
      </c>
      <c r="I52" s="45"/>
      <c r="J52" s="16">
        <v>31</v>
      </c>
      <c r="K52" s="19">
        <v>0</v>
      </c>
      <c r="L52" s="45"/>
      <c r="M52" s="16">
        <v>213.3381</v>
      </c>
      <c r="N52" s="20">
        <v>0</v>
      </c>
      <c r="O52" s="29"/>
    </row>
    <row r="53" spans="1:15">
      <c r="A53" s="12">
        <v>45</v>
      </c>
      <c r="B53" s="12" t="s">
        <v>39</v>
      </c>
      <c r="C53" s="12" t="s">
        <v>77</v>
      </c>
      <c r="D53" s="16">
        <v>19</v>
      </c>
      <c r="E53" s="30">
        <v>2</v>
      </c>
      <c r="F53" s="44">
        <v>8.5</v>
      </c>
      <c r="G53" s="16">
        <v>139.29730000000001</v>
      </c>
      <c r="H53" s="19">
        <v>14.660022</v>
      </c>
      <c r="I53" s="45">
        <v>8.5018479508420945</v>
      </c>
      <c r="J53" s="16">
        <v>20</v>
      </c>
      <c r="K53" s="19">
        <v>1</v>
      </c>
      <c r="L53" s="45">
        <v>19</v>
      </c>
      <c r="M53" s="16">
        <v>163.53039999999999</v>
      </c>
      <c r="N53" s="20">
        <v>6.7391420000000002</v>
      </c>
      <c r="O53" s="29">
        <v>23.265759647147959</v>
      </c>
    </row>
    <row r="54" spans="1:15">
      <c r="A54" s="12">
        <v>46</v>
      </c>
      <c r="B54" s="12" t="s">
        <v>39</v>
      </c>
      <c r="C54" s="12" t="s">
        <v>78</v>
      </c>
      <c r="D54" s="16">
        <v>67</v>
      </c>
      <c r="E54" s="30">
        <v>0</v>
      </c>
      <c r="F54" s="44"/>
      <c r="G54" s="16">
        <v>413.14300000000003</v>
      </c>
      <c r="H54" s="19">
        <v>0</v>
      </c>
      <c r="I54" s="45"/>
      <c r="J54" s="16">
        <v>47</v>
      </c>
      <c r="K54" s="19">
        <v>0</v>
      </c>
      <c r="L54" s="45"/>
      <c r="M54" s="16">
        <v>310.4357</v>
      </c>
      <c r="N54" s="20">
        <v>0</v>
      </c>
      <c r="O54" s="29"/>
    </row>
    <row r="55" spans="1:15">
      <c r="A55" s="12">
        <v>47</v>
      </c>
      <c r="B55" s="12" t="s">
        <v>34</v>
      </c>
      <c r="C55" s="12" t="s">
        <v>79</v>
      </c>
      <c r="D55" s="16">
        <v>44</v>
      </c>
      <c r="E55" s="30">
        <v>2</v>
      </c>
      <c r="F55" s="44">
        <v>21</v>
      </c>
      <c r="G55" s="16">
        <v>244.976</v>
      </c>
      <c r="H55" s="19">
        <v>19.154128</v>
      </c>
      <c r="I55" s="45">
        <v>11.789723447603565</v>
      </c>
      <c r="J55" s="16">
        <v>33</v>
      </c>
      <c r="K55" s="19">
        <v>0</v>
      </c>
      <c r="L55" s="45"/>
      <c r="M55" s="16">
        <v>214.196</v>
      </c>
      <c r="N55" s="20">
        <v>0</v>
      </c>
      <c r="O55" s="29"/>
    </row>
    <row r="56" spans="1:15">
      <c r="A56" s="12">
        <v>48</v>
      </c>
      <c r="B56" s="12" t="s">
        <v>39</v>
      </c>
      <c r="C56" s="12" t="s">
        <v>80</v>
      </c>
      <c r="D56" s="16">
        <v>0</v>
      </c>
      <c r="E56" s="30">
        <v>0</v>
      </c>
      <c r="F56" s="44"/>
      <c r="G56" s="16">
        <v>0</v>
      </c>
      <c r="H56" s="19">
        <v>0</v>
      </c>
      <c r="I56" s="45"/>
      <c r="J56" s="16">
        <v>0</v>
      </c>
      <c r="K56" s="19">
        <v>0</v>
      </c>
      <c r="L56" s="45"/>
      <c r="M56" s="16">
        <v>0</v>
      </c>
      <c r="N56" s="20">
        <v>0</v>
      </c>
      <c r="O56" s="29"/>
    </row>
    <row r="57" spans="1:15" s="4" customFormat="1">
      <c r="A57" s="93" t="s">
        <v>81</v>
      </c>
      <c r="B57" s="94"/>
      <c r="C57" s="94"/>
      <c r="D57" s="24">
        <v>371</v>
      </c>
      <c r="E57" s="21">
        <v>110</v>
      </c>
      <c r="F57" s="48">
        <v>2.3727272727272726</v>
      </c>
      <c r="G57" s="24">
        <v>2773.2963</v>
      </c>
      <c r="H57" s="21">
        <v>1069.3995329999998</v>
      </c>
      <c r="I57" s="50">
        <v>1.5933210314951582</v>
      </c>
      <c r="J57" s="24">
        <v>264</v>
      </c>
      <c r="K57" s="21">
        <v>88</v>
      </c>
      <c r="L57" s="46">
        <v>2</v>
      </c>
      <c r="M57" s="24">
        <v>2040.1711</v>
      </c>
      <c r="N57" s="21">
        <v>937.54954399999997</v>
      </c>
      <c r="O57" s="23">
        <v>1.1760675081721335</v>
      </c>
    </row>
    <row r="58" spans="1:15">
      <c r="A58" s="12">
        <v>49</v>
      </c>
      <c r="B58" s="12" t="s">
        <v>25</v>
      </c>
      <c r="C58" s="12" t="s">
        <v>82</v>
      </c>
      <c r="D58" s="33">
        <v>112</v>
      </c>
      <c r="E58" s="30">
        <v>61</v>
      </c>
      <c r="F58" s="44">
        <v>0.83606557377049184</v>
      </c>
      <c r="G58" s="33">
        <v>1613.28</v>
      </c>
      <c r="H58" s="34">
        <v>919.33171900000002</v>
      </c>
      <c r="I58" s="45">
        <v>0.75483991975697284</v>
      </c>
      <c r="J58" s="33">
        <v>105.5</v>
      </c>
      <c r="K58" s="19">
        <v>38</v>
      </c>
      <c r="L58" s="45">
        <v>1.7763157894736843</v>
      </c>
      <c r="M58" s="16">
        <v>1487.855</v>
      </c>
      <c r="N58" s="20">
        <v>490.77310799999998</v>
      </c>
      <c r="O58" s="29">
        <v>2.0316555160557006</v>
      </c>
    </row>
    <row r="59" spans="1:15">
      <c r="A59" s="12">
        <v>50</v>
      </c>
      <c r="B59" s="12" t="s">
        <v>25</v>
      </c>
      <c r="C59" s="12" t="s">
        <v>83</v>
      </c>
      <c r="D59" s="33">
        <v>101</v>
      </c>
      <c r="E59" s="30">
        <v>90</v>
      </c>
      <c r="F59" s="44">
        <v>0.12222222222222222</v>
      </c>
      <c r="G59" s="33">
        <v>1443.3300000000002</v>
      </c>
      <c r="H59" s="34">
        <v>1491.4457580000001</v>
      </c>
      <c r="I59" s="45">
        <v>-3.2261151799796071E-2</v>
      </c>
      <c r="J59" s="33">
        <v>86.5</v>
      </c>
      <c r="K59" s="19">
        <v>67</v>
      </c>
      <c r="L59" s="45">
        <v>0.29104477611940299</v>
      </c>
      <c r="M59" s="16">
        <v>1098.0989999999999</v>
      </c>
      <c r="N59" s="20">
        <v>931.40596400000004</v>
      </c>
      <c r="O59" s="29">
        <v>0.17896925985326834</v>
      </c>
    </row>
    <row r="60" spans="1:15">
      <c r="A60" s="12">
        <v>51</v>
      </c>
      <c r="B60" s="12" t="s">
        <v>34</v>
      </c>
      <c r="C60" s="12" t="s">
        <v>84</v>
      </c>
      <c r="D60" s="16">
        <v>16</v>
      </c>
      <c r="E60" s="30">
        <v>1</v>
      </c>
      <c r="F60" s="44">
        <v>15</v>
      </c>
      <c r="G60" s="16">
        <v>195.28480000000002</v>
      </c>
      <c r="H60" s="19">
        <v>9.1833600000000004</v>
      </c>
      <c r="I60" s="45">
        <v>20.265070736636702</v>
      </c>
      <c r="J60" s="16">
        <v>12</v>
      </c>
      <c r="K60" s="19">
        <v>1</v>
      </c>
      <c r="L60" s="45">
        <v>11</v>
      </c>
      <c r="M60" s="16">
        <v>156.8896</v>
      </c>
      <c r="N60" s="20">
        <v>16.065435999999998</v>
      </c>
      <c r="O60" s="29">
        <v>8.765660888381742</v>
      </c>
    </row>
    <row r="61" spans="1:15">
      <c r="A61" s="12">
        <v>52</v>
      </c>
      <c r="B61" s="12" t="s">
        <v>34</v>
      </c>
      <c r="C61" s="12" t="s">
        <v>85</v>
      </c>
      <c r="D61" s="16">
        <v>20</v>
      </c>
      <c r="E61" s="30">
        <v>5</v>
      </c>
      <c r="F61" s="44">
        <v>3</v>
      </c>
      <c r="G61" s="16">
        <v>261.98</v>
      </c>
      <c r="H61" s="19">
        <v>50.763553999999999</v>
      </c>
      <c r="I61" s="45">
        <v>4.1607891756357329</v>
      </c>
      <c r="J61" s="16">
        <v>15</v>
      </c>
      <c r="K61" s="19">
        <v>7</v>
      </c>
      <c r="L61" s="45">
        <v>1.1428571428571428</v>
      </c>
      <c r="M61" s="16">
        <v>233.42699999999999</v>
      </c>
      <c r="N61" s="20">
        <v>73.763803999999993</v>
      </c>
      <c r="O61" s="29">
        <v>2.1645195521640943</v>
      </c>
    </row>
    <row r="62" spans="1:15">
      <c r="A62" s="12">
        <v>53</v>
      </c>
      <c r="B62" s="12" t="s">
        <v>25</v>
      </c>
      <c r="C62" s="12" t="s">
        <v>86</v>
      </c>
      <c r="D62" s="16">
        <v>156</v>
      </c>
      <c r="E62" s="30">
        <v>85</v>
      </c>
      <c r="F62" s="44">
        <v>0.83529411764705885</v>
      </c>
      <c r="G62" s="16">
        <v>1308.0349999999999</v>
      </c>
      <c r="H62" s="19">
        <v>925.64737300000002</v>
      </c>
      <c r="I62" s="45">
        <v>0.41310291386739539</v>
      </c>
      <c r="J62" s="16">
        <v>75</v>
      </c>
      <c r="K62" s="19">
        <v>75</v>
      </c>
      <c r="L62" s="45">
        <v>0</v>
      </c>
      <c r="M62" s="16">
        <v>750.923</v>
      </c>
      <c r="N62" s="20">
        <v>819.69526499999995</v>
      </c>
      <c r="O62" s="29">
        <v>-8.389979537090525E-2</v>
      </c>
    </row>
    <row r="63" spans="1:15">
      <c r="A63" s="12">
        <v>54</v>
      </c>
      <c r="B63" s="12" t="s">
        <v>34</v>
      </c>
      <c r="C63" s="12" t="s">
        <v>87</v>
      </c>
      <c r="D63" s="16">
        <v>0</v>
      </c>
      <c r="E63" s="30">
        <v>0</v>
      </c>
      <c r="F63" s="44"/>
      <c r="G63" s="16">
        <v>0</v>
      </c>
      <c r="H63" s="19">
        <v>0</v>
      </c>
      <c r="I63" s="45"/>
      <c r="J63" s="16">
        <v>0</v>
      </c>
      <c r="K63" s="19">
        <v>0</v>
      </c>
      <c r="L63" s="45"/>
      <c r="M63" s="16">
        <v>0</v>
      </c>
      <c r="N63" s="20">
        <v>0</v>
      </c>
      <c r="O63" s="29"/>
    </row>
    <row r="64" spans="1:15">
      <c r="A64" s="12">
        <v>55</v>
      </c>
      <c r="B64" s="12" t="s">
        <v>25</v>
      </c>
      <c r="C64" s="12" t="s">
        <v>88</v>
      </c>
      <c r="D64" s="16">
        <v>142</v>
      </c>
      <c r="E64" s="30">
        <v>135</v>
      </c>
      <c r="F64" s="44">
        <v>5.185185185185185E-2</v>
      </c>
      <c r="G64" s="16">
        <v>1476.913</v>
      </c>
      <c r="H64" s="19">
        <v>1488.884333</v>
      </c>
      <c r="I64" s="45">
        <v>-8.0404721405581206E-3</v>
      </c>
      <c r="J64" s="16">
        <v>130</v>
      </c>
      <c r="K64" s="19">
        <v>110</v>
      </c>
      <c r="L64" s="45">
        <v>0.18181818181818182</v>
      </c>
      <c r="M64" s="16">
        <v>1529.289</v>
      </c>
      <c r="N64" s="20">
        <v>1188.587968</v>
      </c>
      <c r="O64" s="29">
        <v>0.28664351412986872</v>
      </c>
    </row>
    <row r="65" spans="1:15">
      <c r="A65" s="12">
        <v>56</v>
      </c>
      <c r="B65" s="12" t="s">
        <v>39</v>
      </c>
      <c r="C65" s="12" t="s">
        <v>89</v>
      </c>
      <c r="D65" s="16">
        <v>4</v>
      </c>
      <c r="E65" s="30">
        <v>0</v>
      </c>
      <c r="F65" s="44"/>
      <c r="G65" s="16">
        <v>29</v>
      </c>
      <c r="H65" s="19">
        <v>0</v>
      </c>
      <c r="I65" s="45"/>
      <c r="J65" s="16">
        <v>0</v>
      </c>
      <c r="K65" s="19">
        <v>0</v>
      </c>
      <c r="L65" s="45"/>
      <c r="M65" s="16">
        <v>0</v>
      </c>
      <c r="N65" s="20">
        <v>0</v>
      </c>
      <c r="O65" s="29"/>
    </row>
    <row r="66" spans="1:15">
      <c r="A66" s="12">
        <v>57</v>
      </c>
      <c r="B66" s="12" t="s">
        <v>39</v>
      </c>
      <c r="C66" s="12" t="s">
        <v>90</v>
      </c>
      <c r="D66" s="16">
        <v>0</v>
      </c>
      <c r="E66" s="30">
        <v>0</v>
      </c>
      <c r="F66" s="44"/>
      <c r="G66" s="16">
        <v>0</v>
      </c>
      <c r="H66" s="19">
        <v>0</v>
      </c>
      <c r="I66" s="45"/>
      <c r="J66" s="16">
        <v>0</v>
      </c>
      <c r="K66" s="19">
        <v>0</v>
      </c>
      <c r="L66" s="45"/>
      <c r="M66" s="16">
        <v>0</v>
      </c>
      <c r="N66" s="20">
        <v>0</v>
      </c>
      <c r="O66" s="29"/>
    </row>
    <row r="67" spans="1:15" s="4" customFormat="1">
      <c r="A67" s="93" t="s">
        <v>91</v>
      </c>
      <c r="B67" s="94"/>
      <c r="C67" s="94"/>
      <c r="D67" s="24">
        <v>551</v>
      </c>
      <c r="E67" s="21">
        <v>377</v>
      </c>
      <c r="F67" s="48">
        <v>0.46153846153846156</v>
      </c>
      <c r="G67" s="24">
        <v>6327.8227999999999</v>
      </c>
      <c r="H67" s="21">
        <v>4885.2560970000004</v>
      </c>
      <c r="I67" s="50">
        <v>0.29528988334631401</v>
      </c>
      <c r="J67" s="24">
        <v>424</v>
      </c>
      <c r="K67" s="21">
        <v>298</v>
      </c>
      <c r="L67" s="46">
        <v>0.42281879194630873</v>
      </c>
      <c r="M67" s="24">
        <v>5256.4825999999994</v>
      </c>
      <c r="N67" s="21">
        <v>3520.291545</v>
      </c>
      <c r="O67" s="23">
        <v>0.493195246134081</v>
      </c>
    </row>
    <row r="68" spans="1:15">
      <c r="A68" s="12">
        <v>58</v>
      </c>
      <c r="B68" s="12" t="s">
        <v>25</v>
      </c>
      <c r="C68" s="12" t="s">
        <v>92</v>
      </c>
      <c r="D68" s="16">
        <v>104</v>
      </c>
      <c r="E68" s="30">
        <v>406</v>
      </c>
      <c r="F68" s="44">
        <v>-0.74384236453201968</v>
      </c>
      <c r="G68" s="16">
        <v>533.09339999999997</v>
      </c>
      <c r="H68" s="19">
        <v>2397.89588799999</v>
      </c>
      <c r="I68" s="45">
        <v>-0.77768284158298606</v>
      </c>
      <c r="J68" s="16">
        <v>3</v>
      </c>
      <c r="K68" s="19">
        <v>6</v>
      </c>
      <c r="L68" s="45">
        <v>-0.5</v>
      </c>
      <c r="M68" s="16">
        <v>24.8</v>
      </c>
      <c r="N68" s="20">
        <v>57.934756</v>
      </c>
      <c r="O68" s="29">
        <v>-0.5719322611801454</v>
      </c>
    </row>
    <row r="69" spans="1:15">
      <c r="A69" s="12">
        <v>59</v>
      </c>
      <c r="B69" s="12" t="s">
        <v>39</v>
      </c>
      <c r="C69" s="12" t="s">
        <v>93</v>
      </c>
      <c r="D69" s="16">
        <v>25</v>
      </c>
      <c r="E69" s="30">
        <v>7</v>
      </c>
      <c r="F69" s="44">
        <v>2.5714285714285716</v>
      </c>
      <c r="G69" s="16">
        <v>168.21691000000001</v>
      </c>
      <c r="H69" s="19">
        <v>57.436799999999998</v>
      </c>
      <c r="I69" s="45">
        <v>1.9287305351273054</v>
      </c>
      <c r="J69" s="16">
        <v>145</v>
      </c>
      <c r="K69" s="19">
        <v>181</v>
      </c>
      <c r="L69" s="45">
        <v>-0.19889502762430938</v>
      </c>
      <c r="M69" s="16">
        <v>216.303</v>
      </c>
      <c r="N69" s="20">
        <v>1044.6414540000001</v>
      </c>
      <c r="O69" s="29">
        <v>-0.79294043983056417</v>
      </c>
    </row>
    <row r="70" spans="1:15">
      <c r="A70" s="12">
        <v>60</v>
      </c>
      <c r="B70" s="12" t="s">
        <v>34</v>
      </c>
      <c r="C70" s="12" t="s">
        <v>94</v>
      </c>
      <c r="D70" s="16">
        <v>15</v>
      </c>
      <c r="E70" s="30">
        <v>0</v>
      </c>
      <c r="F70" s="44"/>
      <c r="G70" s="16">
        <v>130</v>
      </c>
      <c r="H70" s="19">
        <v>0</v>
      </c>
      <c r="I70" s="45"/>
      <c r="J70" s="16">
        <v>15</v>
      </c>
      <c r="K70" s="19">
        <v>1</v>
      </c>
      <c r="L70" s="45">
        <v>14</v>
      </c>
      <c r="M70" s="16">
        <v>130</v>
      </c>
      <c r="N70" s="20">
        <v>13.231109999999999</v>
      </c>
      <c r="O70" s="29">
        <v>8.8253283360201831</v>
      </c>
    </row>
    <row r="71" spans="1:15">
      <c r="A71" s="12">
        <v>61</v>
      </c>
      <c r="B71" s="12" t="s">
        <v>34</v>
      </c>
      <c r="C71" s="12" t="s">
        <v>95</v>
      </c>
      <c r="D71" s="16">
        <v>30</v>
      </c>
      <c r="E71" s="30">
        <v>14</v>
      </c>
      <c r="F71" s="44">
        <v>1.1428571428571428</v>
      </c>
      <c r="G71" s="16">
        <v>307.6857</v>
      </c>
      <c r="H71" s="19">
        <v>177.80094199999999</v>
      </c>
      <c r="I71" s="45">
        <v>0.73050657965580412</v>
      </c>
      <c r="J71" s="16">
        <v>30</v>
      </c>
      <c r="K71" s="19">
        <v>17</v>
      </c>
      <c r="L71" s="45">
        <v>0.76470588235294112</v>
      </c>
      <c r="M71" s="16">
        <v>309.24799999999999</v>
      </c>
      <c r="N71" s="20">
        <v>210.26359199999999</v>
      </c>
      <c r="O71" s="29">
        <v>0.47076342156277823</v>
      </c>
    </row>
    <row r="72" spans="1:15">
      <c r="A72" s="12">
        <v>62</v>
      </c>
      <c r="B72" s="12" t="s">
        <v>39</v>
      </c>
      <c r="C72" s="12" t="s">
        <v>96</v>
      </c>
      <c r="D72" s="16">
        <v>11</v>
      </c>
      <c r="E72" s="30">
        <v>0</v>
      </c>
      <c r="F72" s="44"/>
      <c r="G72" s="16">
        <v>60.9</v>
      </c>
      <c r="H72" s="19">
        <v>0</v>
      </c>
      <c r="I72" s="45"/>
      <c r="J72" s="16">
        <v>0</v>
      </c>
      <c r="K72" s="19">
        <v>0</v>
      </c>
      <c r="L72" s="45"/>
      <c r="M72" s="16">
        <v>0</v>
      </c>
      <c r="N72" s="20">
        <v>0</v>
      </c>
      <c r="O72" s="29"/>
    </row>
    <row r="73" spans="1:15">
      <c r="A73" s="12">
        <v>63</v>
      </c>
      <c r="B73" s="12" t="s">
        <v>39</v>
      </c>
      <c r="C73" s="12" t="s">
        <v>97</v>
      </c>
      <c r="D73" s="16">
        <v>7</v>
      </c>
      <c r="E73" s="30">
        <v>0</v>
      </c>
      <c r="F73" s="44"/>
      <c r="G73" s="16">
        <v>71.939099999999996</v>
      </c>
      <c r="H73" s="19">
        <v>0</v>
      </c>
      <c r="I73" s="45"/>
      <c r="J73" s="16">
        <v>3</v>
      </c>
      <c r="K73" s="19">
        <v>0</v>
      </c>
      <c r="L73" s="45"/>
      <c r="M73" s="16">
        <v>36.5</v>
      </c>
      <c r="N73" s="20">
        <v>0</v>
      </c>
      <c r="O73" s="29"/>
    </row>
    <row r="74" spans="1:15" s="4" customFormat="1">
      <c r="A74" s="93" t="s">
        <v>98</v>
      </c>
      <c r="B74" s="94"/>
      <c r="C74" s="94"/>
      <c r="D74" s="24">
        <v>192</v>
      </c>
      <c r="E74" s="31">
        <v>427</v>
      </c>
      <c r="F74" s="48">
        <v>-0.55035128805620603</v>
      </c>
      <c r="G74" s="24">
        <v>1271.83511</v>
      </c>
      <c r="H74" s="32">
        <v>2633.1336299999898</v>
      </c>
      <c r="I74" s="50">
        <v>-0.51698801173261955</v>
      </c>
      <c r="J74" s="24">
        <v>196</v>
      </c>
      <c r="K74" s="31">
        <v>205</v>
      </c>
      <c r="L74" s="46">
        <v>-4.3902439024390241E-2</v>
      </c>
      <c r="M74" s="24">
        <v>716.851</v>
      </c>
      <c r="N74" s="37">
        <v>1326.0709120000001</v>
      </c>
      <c r="O74" s="23">
        <v>-0.45941729547567367</v>
      </c>
    </row>
    <row r="75" spans="1:15">
      <c r="A75" s="12">
        <v>64</v>
      </c>
      <c r="B75" s="12" t="s">
        <v>39</v>
      </c>
      <c r="C75" s="12" t="s">
        <v>99</v>
      </c>
      <c r="D75" s="16">
        <v>0</v>
      </c>
      <c r="E75" s="30">
        <v>0</v>
      </c>
      <c r="F75" s="44"/>
      <c r="G75" s="16">
        <v>0</v>
      </c>
      <c r="H75" s="19">
        <v>0</v>
      </c>
      <c r="I75" s="45"/>
      <c r="J75" s="16">
        <v>0</v>
      </c>
      <c r="K75" s="19">
        <v>0</v>
      </c>
      <c r="L75" s="45"/>
      <c r="M75" s="16">
        <v>0</v>
      </c>
      <c r="N75" s="20">
        <v>0</v>
      </c>
      <c r="O75" s="29"/>
    </row>
    <row r="76" spans="1:15">
      <c r="A76" s="12">
        <v>65</v>
      </c>
      <c r="B76" s="12" t="s">
        <v>39</v>
      </c>
      <c r="C76" s="12" t="s">
        <v>100</v>
      </c>
      <c r="D76" s="16">
        <v>6</v>
      </c>
      <c r="E76" s="30">
        <v>0</v>
      </c>
      <c r="F76" s="44"/>
      <c r="G76" s="16">
        <v>16.8</v>
      </c>
      <c r="H76" s="19">
        <v>0</v>
      </c>
      <c r="I76" s="45"/>
      <c r="J76" s="16">
        <v>1</v>
      </c>
      <c r="K76" s="19">
        <v>0</v>
      </c>
      <c r="L76" s="45"/>
      <c r="M76" s="16">
        <v>2.1</v>
      </c>
      <c r="N76" s="20">
        <v>0</v>
      </c>
      <c r="O76" s="29"/>
    </row>
    <row r="77" spans="1:15">
      <c r="A77" s="12">
        <v>66</v>
      </c>
      <c r="B77" s="12" t="s">
        <v>39</v>
      </c>
      <c r="C77" s="12" t="s">
        <v>101</v>
      </c>
      <c r="D77" s="16">
        <v>0</v>
      </c>
      <c r="E77" s="30">
        <v>0</v>
      </c>
      <c r="F77" s="44"/>
      <c r="G77" s="16">
        <v>0</v>
      </c>
      <c r="H77" s="19">
        <v>0</v>
      </c>
      <c r="I77" s="45"/>
      <c r="J77" s="16">
        <v>0</v>
      </c>
      <c r="K77" s="19">
        <v>0</v>
      </c>
      <c r="L77" s="45"/>
      <c r="M77" s="16">
        <v>9</v>
      </c>
      <c r="N77" s="20">
        <v>0</v>
      </c>
      <c r="O77" s="29"/>
    </row>
    <row r="78" spans="1:15" s="4" customFormat="1">
      <c r="A78" s="93" t="s">
        <v>102</v>
      </c>
      <c r="B78" s="94"/>
      <c r="C78" s="94"/>
      <c r="D78" s="24">
        <v>6</v>
      </c>
      <c r="E78" s="31">
        <v>0</v>
      </c>
      <c r="F78" s="38"/>
      <c r="G78" s="24">
        <v>16.8</v>
      </c>
      <c r="H78" s="31">
        <v>0</v>
      </c>
      <c r="I78" s="46"/>
      <c r="J78" s="24">
        <v>1</v>
      </c>
      <c r="K78" s="31">
        <v>0</v>
      </c>
      <c r="L78" s="46"/>
      <c r="M78" s="24">
        <v>11.1</v>
      </c>
      <c r="N78" s="31">
        <v>0</v>
      </c>
      <c r="O78" s="23"/>
    </row>
    <row r="79" spans="1:15">
      <c r="A79" s="12">
        <v>67</v>
      </c>
      <c r="B79" s="12"/>
      <c r="C79" s="12" t="s">
        <v>103</v>
      </c>
      <c r="D79" s="16">
        <v>0</v>
      </c>
      <c r="E79" s="30">
        <v>0</v>
      </c>
      <c r="F79" s="44"/>
      <c r="G79" s="16">
        <v>117.22961951000001</v>
      </c>
      <c r="H79" s="19">
        <v>478.30637452069999</v>
      </c>
      <c r="I79" s="45">
        <v>-0.7549068426539931</v>
      </c>
      <c r="J79" s="16">
        <v>0</v>
      </c>
      <c r="K79" s="19">
        <v>0</v>
      </c>
      <c r="L79" s="45"/>
      <c r="M79" s="16">
        <v>108.22961951000001</v>
      </c>
      <c r="N79" s="20">
        <v>488.30637452069999</v>
      </c>
      <c r="O79" s="29">
        <v>-0.77835714388075838</v>
      </c>
    </row>
    <row r="80" spans="1:15">
      <c r="A80" s="12">
        <v>68</v>
      </c>
      <c r="B80" s="12"/>
      <c r="C80" s="12" t="s">
        <v>104</v>
      </c>
      <c r="D80" s="16">
        <v>0</v>
      </c>
      <c r="E80" s="30">
        <v>0</v>
      </c>
      <c r="F80" s="44"/>
      <c r="G80" s="16">
        <v>0</v>
      </c>
      <c r="H80" s="19">
        <v>0</v>
      </c>
      <c r="I80" s="45"/>
      <c r="J80" s="16">
        <v>0</v>
      </c>
      <c r="K80" s="19">
        <v>0</v>
      </c>
      <c r="L80" s="45"/>
      <c r="M80" s="16"/>
      <c r="N80" s="20">
        <v>0</v>
      </c>
      <c r="O80" s="29"/>
    </row>
    <row r="81" spans="1:15">
      <c r="A81" s="12">
        <v>69</v>
      </c>
      <c r="B81" s="12"/>
      <c r="C81" s="12" t="s">
        <v>105</v>
      </c>
      <c r="D81" s="16">
        <v>0</v>
      </c>
      <c r="E81" s="30">
        <v>0</v>
      </c>
      <c r="F81" s="44"/>
      <c r="G81" s="16">
        <v>6.9669599399999997</v>
      </c>
      <c r="H81" s="19">
        <v>0</v>
      </c>
      <c r="I81" s="45"/>
      <c r="J81" s="16">
        <v>0</v>
      </c>
      <c r="K81" s="19">
        <v>0</v>
      </c>
      <c r="L81" s="45"/>
      <c r="M81" s="16">
        <v>9.8674295914999988</v>
      </c>
      <c r="N81" s="20">
        <v>0</v>
      </c>
      <c r="O81" s="29"/>
    </row>
    <row r="82" spans="1:15">
      <c r="A82" s="12">
        <v>70</v>
      </c>
      <c r="B82" s="12"/>
      <c r="C82" s="12" t="s">
        <v>106</v>
      </c>
      <c r="D82" s="16">
        <v>0</v>
      </c>
      <c r="E82" s="30">
        <v>0</v>
      </c>
      <c r="F82" s="44"/>
      <c r="G82" s="16">
        <v>813.70975468975007</v>
      </c>
      <c r="H82" s="19">
        <v>742.96756373200003</v>
      </c>
      <c r="I82" s="45">
        <v>9.5215719246752803E-2</v>
      </c>
      <c r="J82" s="16">
        <v>0</v>
      </c>
      <c r="K82" s="19">
        <v>0</v>
      </c>
      <c r="L82" s="45"/>
      <c r="M82" s="16"/>
      <c r="N82" s="20">
        <v>752.96756373200003</v>
      </c>
      <c r="O82" s="29">
        <v>-1</v>
      </c>
    </row>
    <row r="83" spans="1:15">
      <c r="A83" s="12">
        <v>71</v>
      </c>
      <c r="B83" s="12"/>
      <c r="C83" s="12" t="s">
        <v>107</v>
      </c>
      <c r="D83" s="16">
        <v>0</v>
      </c>
      <c r="E83" s="30">
        <v>0</v>
      </c>
      <c r="F83" s="44"/>
      <c r="G83" s="16">
        <v>350</v>
      </c>
      <c r="H83" s="19">
        <v>0</v>
      </c>
      <c r="I83" s="45"/>
      <c r="J83" s="16">
        <v>0</v>
      </c>
      <c r="K83" s="19">
        <v>0</v>
      </c>
      <c r="L83" s="45"/>
      <c r="M83" s="16">
        <v>400</v>
      </c>
      <c r="N83" s="20">
        <v>0</v>
      </c>
      <c r="O83" s="29"/>
    </row>
    <row r="84" spans="1:15">
      <c r="A84" s="12">
        <v>72</v>
      </c>
      <c r="B84" s="12"/>
      <c r="C84" s="12" t="s">
        <v>108</v>
      </c>
      <c r="D84" s="16">
        <v>0</v>
      </c>
      <c r="E84" s="30">
        <v>0</v>
      </c>
      <c r="F84" s="44"/>
      <c r="G84" s="16">
        <v>496.59090800000001</v>
      </c>
      <c r="H84" s="19">
        <v>271.17180000000002</v>
      </c>
      <c r="I84" s="45">
        <v>0.83127783936235244</v>
      </c>
      <c r="J84" s="16">
        <v>0</v>
      </c>
      <c r="K84" s="19" t="s">
        <v>109</v>
      </c>
      <c r="L84" s="45"/>
      <c r="M84" s="16"/>
      <c r="N84" s="20">
        <v>152.15352100000001</v>
      </c>
      <c r="O84" s="29">
        <v>-1</v>
      </c>
    </row>
    <row r="85" spans="1:15" s="4" customFormat="1">
      <c r="A85" s="93" t="s">
        <v>110</v>
      </c>
      <c r="B85" s="94"/>
      <c r="C85" s="94"/>
      <c r="D85" s="24">
        <v>0</v>
      </c>
      <c r="E85" s="21">
        <v>0</v>
      </c>
      <c r="F85" s="38"/>
      <c r="G85" s="24">
        <v>1784.4972421397501</v>
      </c>
      <c r="H85" s="21">
        <v>1492.4457382527</v>
      </c>
      <c r="I85" s="46">
        <v>0.19568651402293066</v>
      </c>
      <c r="J85" s="24">
        <v>0</v>
      </c>
      <c r="K85" s="21">
        <v>0</v>
      </c>
      <c r="L85" s="46"/>
      <c r="M85" s="24">
        <v>1289.6902421015</v>
      </c>
      <c r="N85" s="21">
        <v>1393.4274592526999</v>
      </c>
      <c r="O85" s="23">
        <v>-7.4447518930647882E-2</v>
      </c>
    </row>
    <row r="86" spans="1:15" s="4" customFormat="1">
      <c r="A86" s="93" t="s">
        <v>111</v>
      </c>
      <c r="B86" s="94"/>
      <c r="C86" s="94"/>
      <c r="D86" s="24">
        <v>2890</v>
      </c>
      <c r="E86" s="21">
        <v>2387</v>
      </c>
      <c r="F86" s="38">
        <v>0.2107247591118559</v>
      </c>
      <c r="G86" s="24">
        <v>38356.061109999995</v>
      </c>
      <c r="H86" s="21">
        <v>36428.967501252693</v>
      </c>
      <c r="I86" s="46">
        <v>5.2900033707544258E-2</v>
      </c>
      <c r="J86" s="24">
        <v>2415</v>
      </c>
      <c r="K86" s="21">
        <v>1643</v>
      </c>
      <c r="L86" s="46">
        <v>0.46987218502738892</v>
      </c>
      <c r="M86" s="24">
        <v>35571.744606399996</v>
      </c>
      <c r="N86" s="21">
        <v>27217.653406252695</v>
      </c>
      <c r="O86" s="23">
        <v>0.30693649725983063</v>
      </c>
    </row>
    <row r="87" spans="1:15">
      <c r="F87" s="47"/>
    </row>
    <row r="88" spans="1:15">
      <c r="F88" s="47"/>
    </row>
  </sheetData>
  <autoFilter ref="A4:O86"/>
  <mergeCells count="18">
    <mergeCell ref="A25:C25"/>
    <mergeCell ref="A37:C37"/>
    <mergeCell ref="A1:M1"/>
    <mergeCell ref="A3:A4"/>
    <mergeCell ref="B3:B4"/>
    <mergeCell ref="C3:C4"/>
    <mergeCell ref="A86:C86"/>
    <mergeCell ref="J3:L3"/>
    <mergeCell ref="M3:O3"/>
    <mergeCell ref="D3:F3"/>
    <mergeCell ref="G3:I3"/>
    <mergeCell ref="A48:C48"/>
    <mergeCell ref="A57:C57"/>
    <mergeCell ref="A67:C67"/>
    <mergeCell ref="A74:C74"/>
    <mergeCell ref="A78:C78"/>
    <mergeCell ref="A85:C85"/>
    <mergeCell ref="A15:C15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M9" sqref="M9"/>
    </sheetView>
  </sheetViews>
  <sheetFormatPr defaultRowHeight="13.5"/>
  <cols>
    <col min="2" max="2" width="11" customWidth="1"/>
    <col min="3" max="4" width="9" customWidth="1"/>
    <col min="5" max="5" width="11.25" customWidth="1"/>
    <col min="8" max="10" width="9" customWidth="1"/>
    <col min="11" max="11" width="13" bestFit="1" customWidth="1"/>
  </cols>
  <sheetData>
    <row r="1" spans="1:13">
      <c r="A1" t="s">
        <v>0</v>
      </c>
    </row>
    <row r="2" spans="1:13">
      <c r="A2" t="s">
        <v>1</v>
      </c>
    </row>
    <row r="3" spans="1:13" ht="18" customHeight="1">
      <c r="A3" s="103" t="s">
        <v>138</v>
      </c>
      <c r="B3" s="100" t="s">
        <v>134</v>
      </c>
      <c r="C3" s="101"/>
      <c r="D3" s="102"/>
      <c r="E3" s="100" t="s">
        <v>136</v>
      </c>
      <c r="F3" s="101"/>
      <c r="G3" s="102"/>
      <c r="H3" s="100" t="s">
        <v>130</v>
      </c>
      <c r="I3" s="101"/>
      <c r="J3" s="102"/>
      <c r="K3" s="100" t="s">
        <v>132</v>
      </c>
      <c r="L3" s="101"/>
      <c r="M3" s="102"/>
    </row>
    <row r="4" spans="1:13" ht="36" customHeight="1">
      <c r="A4" s="104"/>
      <c r="B4" s="43" t="s">
        <v>124</v>
      </c>
      <c r="C4" s="43" t="s">
        <v>18</v>
      </c>
      <c r="D4" s="43" t="s">
        <v>19</v>
      </c>
      <c r="E4" s="43" t="s">
        <v>125</v>
      </c>
      <c r="F4" s="43" t="s">
        <v>18</v>
      </c>
      <c r="G4" s="43" t="s">
        <v>19</v>
      </c>
      <c r="H4" s="43" t="s">
        <v>124</v>
      </c>
      <c r="I4" s="43" t="s">
        <v>18</v>
      </c>
      <c r="J4" s="43" t="s">
        <v>19</v>
      </c>
      <c r="K4" s="43" t="s">
        <v>128</v>
      </c>
      <c r="L4" s="43" t="s">
        <v>18</v>
      </c>
      <c r="M4" s="43" t="s">
        <v>19</v>
      </c>
    </row>
    <row r="5" spans="1:13" ht="18" customHeight="1">
      <c r="A5" s="36" t="s">
        <v>139</v>
      </c>
      <c r="B5" s="36">
        <v>1002</v>
      </c>
      <c r="C5" s="36">
        <v>890</v>
      </c>
      <c r="D5" s="17">
        <v>0.12584269662921349</v>
      </c>
      <c r="E5" s="39">
        <v>14511.519</v>
      </c>
      <c r="F5" s="39">
        <v>15906.592359999999</v>
      </c>
      <c r="G5" s="17">
        <v>-8.7704099559888296E-2</v>
      </c>
      <c r="H5" s="36">
        <v>826</v>
      </c>
      <c r="I5" s="36">
        <v>613</v>
      </c>
      <c r="J5" s="17">
        <v>0.34747145187601958</v>
      </c>
      <c r="K5" s="39">
        <v>14527.345600000001</v>
      </c>
      <c r="L5" s="39">
        <v>11385.117099999999</v>
      </c>
      <c r="M5" s="17">
        <v>0.27599439447135782</v>
      </c>
    </row>
    <row r="6" spans="1:13" ht="18" customHeight="1">
      <c r="A6" s="36" t="s">
        <v>140</v>
      </c>
      <c r="B6" s="36">
        <v>268</v>
      </c>
      <c r="C6" s="36">
        <v>233</v>
      </c>
      <c r="D6" s="17">
        <v>0.15021459227467812</v>
      </c>
      <c r="E6" s="39">
        <v>8259.6023000000005</v>
      </c>
      <c r="F6" s="39">
        <v>6173.1519049999997</v>
      </c>
      <c r="G6" s="17">
        <v>0.33798785889426464</v>
      </c>
      <c r="H6" s="36">
        <v>269</v>
      </c>
      <c r="I6" s="36">
        <v>94</v>
      </c>
      <c r="J6" s="17">
        <v>1.8617021276595744</v>
      </c>
      <c r="K6" s="39">
        <v>8224.3292000000001</v>
      </c>
      <c r="L6" s="39">
        <v>4729.5699549999999</v>
      </c>
      <c r="M6" s="17">
        <v>0.73891691596725739</v>
      </c>
    </row>
    <row r="7" spans="1:13" ht="18" customHeight="1">
      <c r="A7" s="36" t="s">
        <v>141</v>
      </c>
      <c r="B7" s="36">
        <v>168</v>
      </c>
      <c r="C7" s="36">
        <v>88</v>
      </c>
      <c r="D7" s="17">
        <v>0.90909090909090906</v>
      </c>
      <c r="E7" s="39">
        <v>1698.6178</v>
      </c>
      <c r="F7" s="39">
        <v>1221.545443</v>
      </c>
      <c r="G7" s="17">
        <v>0.39054818609805908</v>
      </c>
      <c r="H7" s="36">
        <v>137</v>
      </c>
      <c r="I7" s="36">
        <v>78</v>
      </c>
      <c r="J7" s="17">
        <v>0.75641025641025639</v>
      </c>
      <c r="K7" s="39">
        <v>1631.7465864000001</v>
      </c>
      <c r="L7" s="39">
        <v>913.28936999999996</v>
      </c>
      <c r="M7" s="17">
        <v>0.78666985514131205</v>
      </c>
    </row>
    <row r="8" spans="1:13" ht="18" customHeight="1">
      <c r="A8" s="36" t="s">
        <v>142</v>
      </c>
      <c r="B8" s="36">
        <v>413</v>
      </c>
      <c r="C8" s="36">
        <v>262</v>
      </c>
      <c r="D8" s="17">
        <v>0.57633587786259544</v>
      </c>
      <c r="E8" s="39">
        <v>3490.5178000000001</v>
      </c>
      <c r="F8" s="39">
        <v>3047.4427949999999</v>
      </c>
      <c r="G8" s="17">
        <v>0.14539239447807262</v>
      </c>
      <c r="H8" s="36">
        <v>347</v>
      </c>
      <c r="I8" s="36">
        <v>267</v>
      </c>
      <c r="J8" s="17">
        <v>0.29962546816479402</v>
      </c>
      <c r="K8" s="39">
        <v>3083.1025999999997</v>
      </c>
      <c r="L8" s="39">
        <v>3012.3375209999995</v>
      </c>
      <c r="M8" s="17">
        <v>2.3491749681658684E-2</v>
      </c>
    </row>
    <row r="9" spans="1:13" ht="18" customHeight="1">
      <c r="A9" s="36" t="s">
        <v>143</v>
      </c>
      <c r="B9" s="36">
        <v>391</v>
      </c>
      <c r="C9" s="36">
        <v>110</v>
      </c>
      <c r="D9" s="17">
        <v>2.5545454545454547</v>
      </c>
      <c r="E9" s="39">
        <v>2973.2963</v>
      </c>
      <c r="F9" s="39">
        <v>1069.3995329999998</v>
      </c>
      <c r="G9" s="17">
        <v>1.7803418724702216</v>
      </c>
      <c r="H9" s="36">
        <v>284</v>
      </c>
      <c r="I9" s="36">
        <v>88</v>
      </c>
      <c r="J9" s="17">
        <v>2.2272727272727271</v>
      </c>
      <c r="K9" s="39">
        <v>2240.1711</v>
      </c>
      <c r="L9" s="39">
        <v>937.54954399999997</v>
      </c>
      <c r="M9" s="17">
        <v>1.389389568088788</v>
      </c>
    </row>
    <row r="10" spans="1:13" ht="18" customHeight="1">
      <c r="A10" s="36" t="s">
        <v>144</v>
      </c>
      <c r="B10" s="36">
        <v>551</v>
      </c>
      <c r="C10" s="36">
        <v>377</v>
      </c>
      <c r="D10" s="17">
        <v>0.46153846153846156</v>
      </c>
      <c r="E10" s="39">
        <v>6327.8227999999999</v>
      </c>
      <c r="F10" s="39">
        <v>4885.2560970000004</v>
      </c>
      <c r="G10" s="17">
        <v>0.29528988334631401</v>
      </c>
      <c r="H10" s="36">
        <v>424</v>
      </c>
      <c r="I10" s="36">
        <v>298</v>
      </c>
      <c r="J10" s="17">
        <v>0.42281879194630873</v>
      </c>
      <c r="K10" s="39">
        <v>5256.4825999999994</v>
      </c>
      <c r="L10" s="39">
        <v>3520.291545</v>
      </c>
      <c r="M10" s="17">
        <v>0.493195246134081</v>
      </c>
    </row>
    <row r="11" spans="1:13" ht="18" customHeight="1">
      <c r="A11" s="36" t="s">
        <v>145</v>
      </c>
      <c r="B11" s="36">
        <v>192</v>
      </c>
      <c r="C11" s="36">
        <v>427</v>
      </c>
      <c r="D11" s="17">
        <v>-0.55035128805620603</v>
      </c>
      <c r="E11" s="39">
        <v>1271.83511</v>
      </c>
      <c r="F11" s="39">
        <v>2633.1336299999898</v>
      </c>
      <c r="G11" s="17">
        <v>-0.51698801173261955</v>
      </c>
      <c r="H11" s="36">
        <v>196</v>
      </c>
      <c r="I11" s="36">
        <v>205</v>
      </c>
      <c r="J11" s="17">
        <v>-4.3902439024390241E-2</v>
      </c>
      <c r="K11" s="39">
        <v>716.851</v>
      </c>
      <c r="L11" s="39">
        <v>1326.0709120000001</v>
      </c>
      <c r="M11" s="17">
        <v>-0.45941729547567367</v>
      </c>
    </row>
    <row r="12" spans="1:13" ht="18" customHeight="1">
      <c r="A12" s="36" t="s">
        <v>146</v>
      </c>
      <c r="B12" s="36">
        <v>6</v>
      </c>
      <c r="C12" s="36">
        <v>0</v>
      </c>
      <c r="D12" s="17"/>
      <c r="E12" s="39">
        <v>16.8</v>
      </c>
      <c r="F12" s="39">
        <v>0</v>
      </c>
      <c r="G12" s="17"/>
      <c r="H12" s="36">
        <v>1</v>
      </c>
      <c r="I12" s="36">
        <v>0</v>
      </c>
      <c r="J12" s="17"/>
      <c r="K12" s="39">
        <v>11.1</v>
      </c>
      <c r="L12" s="39">
        <v>0</v>
      </c>
      <c r="M12" s="17"/>
    </row>
    <row r="13" spans="1:13" ht="18" customHeight="1">
      <c r="A13" s="36" t="s">
        <v>147</v>
      </c>
      <c r="B13" s="36">
        <v>0</v>
      </c>
      <c r="C13" s="36">
        <v>0</v>
      </c>
      <c r="D13" s="17" t="e">
        <v>#DIV/0!</v>
      </c>
      <c r="E13" s="39">
        <v>1784.4972421397501</v>
      </c>
      <c r="F13" s="39">
        <v>1492.4457382527</v>
      </c>
      <c r="G13" s="17">
        <v>0.19568651402293066</v>
      </c>
      <c r="H13" s="36">
        <v>0</v>
      </c>
      <c r="I13" s="36">
        <v>0</v>
      </c>
      <c r="J13" s="17" t="e">
        <v>#DIV/0!</v>
      </c>
      <c r="K13" s="39">
        <v>1289.6902421015</v>
      </c>
      <c r="L13" s="39">
        <v>1393.4274592526999</v>
      </c>
      <c r="M13" s="17">
        <v>-7.4447518930647882E-2</v>
      </c>
    </row>
    <row r="14" spans="1:13" ht="21" customHeight="1">
      <c r="A14" s="40" t="s">
        <v>148</v>
      </c>
      <c r="B14" s="42">
        <f>SUM(B5:B13)</f>
        <v>2991</v>
      </c>
      <c r="C14" s="42">
        <f>SUM(C5:C13)</f>
        <v>2387</v>
      </c>
      <c r="D14" s="41">
        <v>0.2530372852953498</v>
      </c>
      <c r="E14" s="42">
        <f>SUM(E5:E13)</f>
        <v>40334.508352139754</v>
      </c>
      <c r="F14" s="42">
        <f>SUM(F5:F13)</f>
        <v>36428.967501252693</v>
      </c>
      <c r="G14" s="41">
        <v>0.10720975967141402</v>
      </c>
      <c r="H14" s="42">
        <f>SUM(H5:H13)</f>
        <v>2484</v>
      </c>
      <c r="I14" s="42">
        <f>SUM(I5:I13)</f>
        <v>1643</v>
      </c>
      <c r="J14" s="41">
        <v>0.51186853317102865</v>
      </c>
      <c r="K14" s="42">
        <f>SUM(K5:K13)</f>
        <v>36980.818928501496</v>
      </c>
      <c r="L14" s="42">
        <f>SUM(L5:L13)</f>
        <v>27217.653406252695</v>
      </c>
      <c r="M14" s="41">
        <v>0.35870710000318817</v>
      </c>
    </row>
  </sheetData>
  <mergeCells count="5">
    <mergeCell ref="B3:D3"/>
    <mergeCell ref="E3:G3"/>
    <mergeCell ref="H3:J3"/>
    <mergeCell ref="K3:M3"/>
    <mergeCell ref="A3:A4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N13"/>
  <sheetViews>
    <sheetView workbookViewId="0">
      <selection activeCell="G28" sqref="G28"/>
    </sheetView>
  </sheetViews>
  <sheetFormatPr defaultRowHeight="13.5"/>
  <sheetData>
    <row r="2" spans="1:66">
      <c r="A2" s="52">
        <v>31</v>
      </c>
      <c r="B2" s="52" t="s">
        <v>31</v>
      </c>
      <c r="C2" s="52" t="s">
        <v>62</v>
      </c>
      <c r="D2" s="53">
        <v>63</v>
      </c>
      <c r="E2" s="53">
        <v>43</v>
      </c>
      <c r="F2" s="44">
        <v>0.682539682539683</v>
      </c>
      <c r="G2" s="53">
        <v>40</v>
      </c>
      <c r="H2" s="29">
        <v>6.9767441860465101E-2</v>
      </c>
      <c r="I2" s="53">
        <v>2450</v>
      </c>
      <c r="J2" s="53">
        <v>490.78699999999998</v>
      </c>
      <c r="K2" s="44">
        <v>0.200321224489796</v>
      </c>
      <c r="L2" s="53">
        <v>1027.712235</v>
      </c>
      <c r="M2" s="29">
        <v>-1.0940086738238799</v>
      </c>
      <c r="N2" s="53">
        <v>20</v>
      </c>
      <c r="O2" s="53">
        <v>5</v>
      </c>
      <c r="P2" s="44">
        <v>0.25</v>
      </c>
      <c r="Q2" s="53">
        <v>25</v>
      </c>
      <c r="R2" s="29">
        <v>-4</v>
      </c>
      <c r="S2" s="53">
        <v>900</v>
      </c>
      <c r="T2" s="53">
        <v>55.939300000000003</v>
      </c>
      <c r="U2" s="44">
        <v>6.2154777777777802E-2</v>
      </c>
      <c r="V2" s="53">
        <v>891.86092499999995</v>
      </c>
      <c r="W2" s="29">
        <v>-14.9433694200678</v>
      </c>
      <c r="X2" s="53">
        <v>20</v>
      </c>
      <c r="Y2" s="53">
        <v>1</v>
      </c>
      <c r="Z2" s="44">
        <v>0.05</v>
      </c>
      <c r="AA2" s="53">
        <v>16</v>
      </c>
      <c r="AB2" s="29">
        <v>-15</v>
      </c>
      <c r="AC2" s="53">
        <v>900</v>
      </c>
      <c r="AD2" s="53">
        <v>26.676100000000002</v>
      </c>
      <c r="AE2" s="44">
        <v>2.96401111111111E-2</v>
      </c>
      <c r="AF2" s="53">
        <v>539.00554999999997</v>
      </c>
      <c r="AG2" s="29">
        <f t="shared" ref="AG2:AG13" si="0">(AD2-AF2)/AF2</f>
        <v>-0.95050867286988039</v>
      </c>
      <c r="AH2" s="54">
        <f>VLOOKUP(C2,'[2]5月汇总'!$C:$AE,24,0)</f>
        <v>100</v>
      </c>
      <c r="AI2" s="55">
        <f t="shared" ref="AI2" si="1">AH2+E2</f>
        <v>143</v>
      </c>
      <c r="AJ2" s="56">
        <f t="shared" ref="AJ2" si="2">AI2/D2</f>
        <v>2.2698412698412698</v>
      </c>
      <c r="AK2" s="57">
        <f>VLOOKUP(C2,[1]两年对比终版!$A:$C,3,0)</f>
        <v>42</v>
      </c>
      <c r="AL2" s="57">
        <f t="shared" ref="AL2:AL13" si="3">AI2-AK2</f>
        <v>101</v>
      </c>
      <c r="AM2" s="29">
        <f t="shared" ref="AM2:AM13" si="4">(AI2-AK2)/AK2</f>
        <v>2.4047619047619047</v>
      </c>
      <c r="AN2" s="54">
        <f>VLOOKUP(C2,'[2]5月汇总'!$C:$AE,25,0)</f>
        <v>535</v>
      </c>
      <c r="AO2" s="55">
        <f t="shared" ref="AO2" si="5">AN2+J2</f>
        <v>1025.787</v>
      </c>
      <c r="AP2" s="56">
        <f t="shared" ref="AP2" si="6">AO2/I2</f>
        <v>0.41868857142857147</v>
      </c>
      <c r="AQ2" s="59">
        <f>VLOOKUP(C2,[1]两年对比终版!$A:$W,6,0)</f>
        <v>1049.7855669999999</v>
      </c>
      <c r="AR2" s="29">
        <f t="shared" ref="AR2:AR13" si="7">(AO2-AQ2)/AQ2</f>
        <v>-2.2860446699206591E-2</v>
      </c>
      <c r="AS2" s="54">
        <f>VLOOKUP(C2,'[2]5月汇总'!$C:$AE,26,0)</f>
        <v>30</v>
      </c>
      <c r="AT2" s="55">
        <f t="shared" ref="AT2" si="8">AS2+O2</f>
        <v>35</v>
      </c>
      <c r="AU2" s="56">
        <f t="shared" ref="AU2" si="9">AT2/N2</f>
        <v>1.75</v>
      </c>
      <c r="AV2" s="60">
        <f>VLOOKUP(C2,[1]两年对比终版!$A:$N,14,0)</f>
        <v>27</v>
      </c>
      <c r="AW2" s="55">
        <f t="shared" ref="AW2:AW13" si="10">AT2-AV2</f>
        <v>8</v>
      </c>
      <c r="AX2" s="45">
        <f t="shared" ref="AX2:AX13" si="11">(AT2-AV2)/AV2</f>
        <v>0.29629629629629628</v>
      </c>
      <c r="AY2" s="63">
        <f>VLOOKUP(C2,'[2]5月汇总'!$C:$AE,27,0)</f>
        <v>315</v>
      </c>
      <c r="AZ2" s="63">
        <f t="shared" ref="AZ2" si="12">AY2+T2</f>
        <v>370.9393</v>
      </c>
      <c r="BA2" s="64"/>
      <c r="BB2" s="55">
        <f>VLOOKUP(C2,[1]两年对比终版!$A:$W,17,0)</f>
        <v>913.934257</v>
      </c>
      <c r="BC2" s="61">
        <f t="shared" ref="BC2:BC13" si="13">AZ2-BB2</f>
        <v>-542.994957</v>
      </c>
      <c r="BD2" s="45">
        <f t="shared" ref="BD2:BD13" si="14">(AZ2-BB2)/BB2</f>
        <v>-0.59412912125910167</v>
      </c>
      <c r="BE2" s="55">
        <f>VLOOKUP(C2,'[2]5月汇总'!$C:$AE,28,0)</f>
        <v>30</v>
      </c>
      <c r="BF2" s="55">
        <f t="shared" ref="BF2" si="15">BE2+Y2</f>
        <v>31</v>
      </c>
      <c r="BG2" s="64">
        <f t="shared" ref="BG2" si="16">BF2/X2</f>
        <v>1.55</v>
      </c>
      <c r="BH2" s="55">
        <f>VLOOKUP(C2,[1]两年对比终版!$A:$T,20,0)</f>
        <v>26</v>
      </c>
      <c r="BI2" s="45">
        <f t="shared" ref="BI2:BI13" si="17">(BF2-BH2)/BH2</f>
        <v>0.19230769230769232</v>
      </c>
      <c r="BJ2" s="55">
        <f>VLOOKUP(C2,'[2]5月汇总'!$C:$AE,29,0)</f>
        <v>315</v>
      </c>
      <c r="BK2" s="63">
        <f t="shared" ref="BK2:BK13" si="18">BJ2+AD2</f>
        <v>341.67610000000002</v>
      </c>
      <c r="BL2" s="64">
        <f t="shared" ref="BL2:BL13" si="19">BK2/AC2</f>
        <v>0.37964011111111112</v>
      </c>
      <c r="BM2" s="55">
        <f>VLOOKUP(C2,[1]两年对比终版!$A:$W,23,0)</f>
        <v>895.74991999999997</v>
      </c>
      <c r="BN2" s="45">
        <f t="shared" ref="BN2:BN13" si="20">(BK2-BM2)/BM2</f>
        <v>-0.61855860394606565</v>
      </c>
    </row>
    <row r="3" spans="1:66">
      <c r="A3" s="52"/>
      <c r="B3" s="52"/>
      <c r="C3" s="52"/>
      <c r="D3" s="53"/>
      <c r="E3" s="53"/>
      <c r="F3" s="44"/>
      <c r="G3" s="53"/>
      <c r="H3" s="29"/>
      <c r="I3" s="53"/>
      <c r="J3" s="53"/>
      <c r="K3" s="44"/>
      <c r="L3" s="53"/>
      <c r="M3" s="29"/>
      <c r="N3" s="53"/>
      <c r="O3" s="53"/>
      <c r="P3" s="44"/>
      <c r="Q3" s="53"/>
      <c r="R3" s="29"/>
      <c r="S3" s="53"/>
      <c r="T3" s="53"/>
      <c r="U3" s="44"/>
      <c r="V3" s="53"/>
      <c r="W3" s="29"/>
      <c r="X3" s="53"/>
      <c r="Y3" s="53"/>
      <c r="Z3" s="44"/>
      <c r="AA3" s="53"/>
      <c r="AB3" s="29"/>
      <c r="AC3" s="53"/>
      <c r="AD3" s="53"/>
      <c r="AE3" s="44"/>
      <c r="AF3" s="53"/>
      <c r="AG3" s="29"/>
      <c r="AH3" s="54"/>
      <c r="AI3" s="55"/>
      <c r="AJ3" s="56"/>
      <c r="AK3" s="57"/>
      <c r="AL3" s="57"/>
      <c r="AM3" s="29"/>
      <c r="AN3" s="54"/>
      <c r="AO3" s="55"/>
      <c r="AP3" s="56"/>
      <c r="AQ3" s="59"/>
      <c r="AR3" s="29"/>
      <c r="AS3" s="54">
        <f>AS11+AS2</f>
        <v>48</v>
      </c>
      <c r="AT3" s="54">
        <f>AT11+AT2</f>
        <v>53</v>
      </c>
      <c r="AU3" s="56"/>
      <c r="AV3" s="54">
        <f>AV11+AV2</f>
        <v>27</v>
      </c>
      <c r="AW3" s="54">
        <f>AW11+AW2</f>
        <v>26</v>
      </c>
      <c r="AX3" s="45">
        <f t="shared" si="11"/>
        <v>0.96296296296296291</v>
      </c>
      <c r="AY3" s="54">
        <f>AY11+AY2</f>
        <v>585</v>
      </c>
      <c r="AZ3" s="54">
        <f>AZ11+AZ2</f>
        <v>640.9393</v>
      </c>
      <c r="BA3" s="64"/>
      <c r="BB3" s="55">
        <f>BB2+BB11</f>
        <v>913.934257</v>
      </c>
      <c r="BC3" s="61">
        <f>BC2+BC11</f>
        <v>-272.994957</v>
      </c>
      <c r="BD3" s="45">
        <f t="shared" si="14"/>
        <v>-0.29870305758765314</v>
      </c>
      <c r="BE3" s="55">
        <f>BE2+BE11</f>
        <v>48</v>
      </c>
      <c r="BF3" s="55">
        <f>BF2+BF11</f>
        <v>49</v>
      </c>
      <c r="BG3" s="64"/>
      <c r="BH3" s="55">
        <f>BH2+BH11</f>
        <v>26</v>
      </c>
      <c r="BI3" s="45"/>
      <c r="BJ3" s="55">
        <f>BJ2+BJ11</f>
        <v>585</v>
      </c>
      <c r="BK3" s="55">
        <f>BK2+BK11</f>
        <v>611.67610000000002</v>
      </c>
      <c r="BL3" s="64"/>
      <c r="BM3" s="55">
        <f>BM2+BM11</f>
        <v>895.74991999999997</v>
      </c>
      <c r="BN3" s="45">
        <f t="shared" si="20"/>
        <v>-0.31713518880358926</v>
      </c>
    </row>
    <row r="4" spans="1:66">
      <c r="A4" s="52">
        <v>32</v>
      </c>
      <c r="B4" s="52" t="s">
        <v>25</v>
      </c>
      <c r="C4" s="52" t="s">
        <v>63</v>
      </c>
      <c r="D4" s="53">
        <v>733</v>
      </c>
      <c r="E4" s="53">
        <v>213</v>
      </c>
      <c r="F4" s="44">
        <v>0.29058663028649401</v>
      </c>
      <c r="G4" s="53">
        <v>288</v>
      </c>
      <c r="H4" s="29">
        <v>-0.352112676056338</v>
      </c>
      <c r="I4" s="53">
        <v>6860</v>
      </c>
      <c r="J4" s="53">
        <v>1838.18</v>
      </c>
      <c r="K4" s="44">
        <v>0.26795626822157398</v>
      </c>
      <c r="L4" s="53">
        <v>2858.8190140000002</v>
      </c>
      <c r="M4" s="29">
        <v>-0.55524432536530699</v>
      </c>
      <c r="N4" s="53">
        <v>200</v>
      </c>
      <c r="O4" s="53">
        <v>29</v>
      </c>
      <c r="P4" s="44">
        <v>0.14499999999999999</v>
      </c>
      <c r="Q4" s="53">
        <v>56</v>
      </c>
      <c r="R4" s="29">
        <v>-0.931034482758621</v>
      </c>
      <c r="S4" s="53">
        <v>2360</v>
      </c>
      <c r="T4" s="53">
        <v>257.589</v>
      </c>
      <c r="U4" s="44">
        <v>0.10914788135593199</v>
      </c>
      <c r="V4" s="53">
        <v>513.03621799999996</v>
      </c>
      <c r="W4" s="29">
        <v>-0.99168527382768701</v>
      </c>
      <c r="X4" s="53">
        <v>200</v>
      </c>
      <c r="Y4" s="53">
        <v>29</v>
      </c>
      <c r="Z4" s="44">
        <v>0.14499999999999999</v>
      </c>
      <c r="AA4" s="53">
        <v>60</v>
      </c>
      <c r="AB4" s="29">
        <v>-1.0689655172413799</v>
      </c>
      <c r="AC4" s="53">
        <v>2360</v>
      </c>
      <c r="AD4" s="53">
        <v>257.589</v>
      </c>
      <c r="AE4" s="44">
        <v>0.10914788135593199</v>
      </c>
      <c r="AF4" s="53">
        <v>501.76314000000002</v>
      </c>
      <c r="AG4" s="29">
        <f t="shared" si="0"/>
        <v>-0.48663227832957201</v>
      </c>
      <c r="AH4" s="54">
        <f>VLOOKUP(C4,'[2]5月汇总'!$C:$AE,24,0)</f>
        <v>129</v>
      </c>
      <c r="AI4" s="55">
        <f t="shared" ref="AI4:AI13" si="21">AH4+E4</f>
        <v>342</v>
      </c>
      <c r="AJ4" s="56">
        <f t="shared" ref="AJ4:AJ13" si="22">AI4/D4</f>
        <v>0.4665757162346521</v>
      </c>
      <c r="AK4" s="57">
        <f>VLOOKUP(C4,[1]两年对比终版!$A:$W,3,0)</f>
        <v>860</v>
      </c>
      <c r="AL4" s="57">
        <f t="shared" si="3"/>
        <v>-518</v>
      </c>
      <c r="AM4" s="29">
        <f t="shared" si="4"/>
        <v>-0.60232558139534886</v>
      </c>
      <c r="AN4" s="54">
        <f>VLOOKUP(C4,'[2]5月汇总'!$C:$AE,25,0)</f>
        <v>1030</v>
      </c>
      <c r="AO4" s="55">
        <f t="shared" ref="AO4:AO13" si="23">AN4+J4</f>
        <v>2868.1800000000003</v>
      </c>
      <c r="AP4" s="56">
        <f t="shared" ref="AP4:AP13" si="24">AO4/I4</f>
        <v>0.41810204081632657</v>
      </c>
      <c r="AQ4" s="59">
        <f>VLOOKUP(C4,[1]两年对比终版!$A:$W,6,0)</f>
        <v>7680.8760709999397</v>
      </c>
      <c r="AR4" s="29">
        <f t="shared" si="7"/>
        <v>-0.62658165898169416</v>
      </c>
      <c r="AS4" s="54">
        <f>VLOOKUP(C4,'[2]5月汇总'!$C:$AE,26,0)</f>
        <v>90</v>
      </c>
      <c r="AT4" s="55">
        <f t="shared" ref="AT4:AT13" si="25">AS4+O4</f>
        <v>119</v>
      </c>
      <c r="AU4" s="56">
        <f t="shared" ref="AU4:AU13" si="26">AT4/N4</f>
        <v>0.59499999999999997</v>
      </c>
      <c r="AV4" s="60">
        <f>VLOOKUP(C4,[1]两年对比终版!$A:$N,14,0)</f>
        <v>115</v>
      </c>
      <c r="AW4" s="55">
        <f t="shared" si="10"/>
        <v>4</v>
      </c>
      <c r="AX4" s="45">
        <f t="shared" si="11"/>
        <v>3.4782608695652174E-2</v>
      </c>
      <c r="AY4" s="63">
        <f>VLOOKUP(C4,'[2]5月汇总'!$C:$AE,27,0)</f>
        <v>720</v>
      </c>
      <c r="AZ4" s="63">
        <f t="shared" ref="AZ4:AZ13" si="27">AY4+T4</f>
        <v>977.58899999999994</v>
      </c>
      <c r="BA4" s="64">
        <f t="shared" ref="BA4:BA13" si="28">AZ4/S4</f>
        <v>0.41423262711864406</v>
      </c>
      <c r="BB4" s="55">
        <f>VLOOKUP(C4,[1]两年对比终版!$A:$W,17,0)</f>
        <v>999.50570600000003</v>
      </c>
      <c r="BC4" s="61">
        <f t="shared" si="13"/>
        <v>-21.91670600000009</v>
      </c>
      <c r="BD4" s="45">
        <f t="shared" si="14"/>
        <v>-2.1927544653757174E-2</v>
      </c>
      <c r="BE4" s="55">
        <f>VLOOKUP(C4,'[2]5月汇总'!$C:$AE,28,0)</f>
        <v>70</v>
      </c>
      <c r="BF4" s="55">
        <f t="shared" ref="BF4:BF13" si="29">BE4+Y4</f>
        <v>99</v>
      </c>
      <c r="BG4" s="64">
        <f t="shared" ref="BG4:BG13" si="30">BF4/X4</f>
        <v>0.495</v>
      </c>
      <c r="BH4" s="55">
        <f>VLOOKUP(C4,[1]两年对比终版!$A:$T,20,0)</f>
        <v>132</v>
      </c>
      <c r="BI4" s="45">
        <f t="shared" si="17"/>
        <v>-0.25</v>
      </c>
      <c r="BJ4" s="55">
        <f>VLOOKUP(C4,'[2]5月汇总'!$C:$AE,29,0)</f>
        <v>480</v>
      </c>
      <c r="BK4" s="63">
        <f t="shared" si="18"/>
        <v>737.58899999999994</v>
      </c>
      <c r="BL4" s="64">
        <f t="shared" si="19"/>
        <v>0.31253771186440676</v>
      </c>
      <c r="BM4" s="55">
        <f>VLOOKUP(C4,[1]两年对比终版!$A:$W,23,0)</f>
        <v>1132.2965879999999</v>
      </c>
      <c r="BN4" s="45">
        <f t="shared" si="20"/>
        <v>-0.34859028295508737</v>
      </c>
    </row>
    <row r="5" spans="1:66">
      <c r="A5" s="52">
        <v>33</v>
      </c>
      <c r="B5" s="52" t="s">
        <v>25</v>
      </c>
      <c r="C5" s="52" t="s">
        <v>64</v>
      </c>
      <c r="D5" s="53">
        <v>299</v>
      </c>
      <c r="E5" s="53">
        <v>89</v>
      </c>
      <c r="F5" s="44">
        <v>0.29765886287625398</v>
      </c>
      <c r="G5" s="53">
        <v>115</v>
      </c>
      <c r="H5" s="29">
        <v>-0.29213483146067398</v>
      </c>
      <c r="I5" s="53">
        <v>3710</v>
      </c>
      <c r="J5" s="53">
        <v>696.21100000000001</v>
      </c>
      <c r="K5" s="44">
        <v>0.18765795148247999</v>
      </c>
      <c r="L5" s="53">
        <v>884.79748700000096</v>
      </c>
      <c r="M5" s="29">
        <v>-0.27087547740555801</v>
      </c>
      <c r="N5" s="53">
        <v>150</v>
      </c>
      <c r="O5" s="53">
        <v>13</v>
      </c>
      <c r="P5" s="44">
        <v>8.6666666666666697E-2</v>
      </c>
      <c r="Q5" s="53">
        <v>14</v>
      </c>
      <c r="R5" s="29">
        <v>-7.69230769230769E-2</v>
      </c>
      <c r="S5" s="53">
        <v>1500</v>
      </c>
      <c r="T5" s="53">
        <v>108.78700000000001</v>
      </c>
      <c r="U5" s="44">
        <v>7.2524666666666696E-2</v>
      </c>
      <c r="V5" s="53">
        <v>188.043645</v>
      </c>
      <c r="W5" s="29">
        <v>-0.72854886153676401</v>
      </c>
      <c r="X5" s="53">
        <v>150</v>
      </c>
      <c r="Y5" s="53">
        <v>22</v>
      </c>
      <c r="Z5" s="44">
        <v>0.146666666666667</v>
      </c>
      <c r="AA5" s="53">
        <v>8</v>
      </c>
      <c r="AB5" s="29">
        <v>0.63636363636363602</v>
      </c>
      <c r="AC5" s="53">
        <v>1500</v>
      </c>
      <c r="AD5" s="53">
        <v>239.50200000000001</v>
      </c>
      <c r="AE5" s="44">
        <v>0.159668</v>
      </c>
      <c r="AF5" s="53">
        <v>74.390415000000004</v>
      </c>
      <c r="AG5" s="29">
        <f t="shared" si="0"/>
        <v>2.2195276770535557</v>
      </c>
      <c r="AH5" s="54">
        <f>VLOOKUP(C5,'[2]5月汇总'!$C:$AE,24,0)</f>
        <v>94</v>
      </c>
      <c r="AI5" s="55">
        <f t="shared" si="21"/>
        <v>183</v>
      </c>
      <c r="AJ5" s="56">
        <f t="shared" si="22"/>
        <v>0.61204013377926425</v>
      </c>
      <c r="AK5" s="57">
        <f>VLOOKUP(C5,[1]两年对比终版!$A:$W,3,0)</f>
        <v>380</v>
      </c>
      <c r="AL5" s="57">
        <f t="shared" si="3"/>
        <v>-197</v>
      </c>
      <c r="AM5" s="29">
        <f t="shared" si="4"/>
        <v>-0.51842105263157889</v>
      </c>
      <c r="AN5" s="54">
        <f>VLOOKUP(C5,'[2]5月汇总'!$C:$AE,25,0)</f>
        <v>610</v>
      </c>
      <c r="AO5" s="55">
        <f t="shared" si="23"/>
        <v>1306.211</v>
      </c>
      <c r="AP5" s="56">
        <f t="shared" si="24"/>
        <v>0.35207843665768196</v>
      </c>
      <c r="AQ5" s="59">
        <f>VLOOKUP(C5,[1]两年对比终版!$A:$W,6,0)</f>
        <v>2999.3153000000002</v>
      </c>
      <c r="AR5" s="29">
        <f t="shared" si="7"/>
        <v>-0.56449693701759196</v>
      </c>
      <c r="AS5" s="54">
        <f>VLOOKUP(C5,'[2]5月汇总'!$C:$AE,26,0)</f>
        <v>67</v>
      </c>
      <c r="AT5" s="55">
        <f t="shared" si="25"/>
        <v>80</v>
      </c>
      <c r="AU5" s="56">
        <f t="shared" si="26"/>
        <v>0.53333333333333333</v>
      </c>
      <c r="AV5" s="60">
        <f>VLOOKUP(C5,[1]两年对比终版!$A:$N,14,0)</f>
        <v>18</v>
      </c>
      <c r="AW5" s="55">
        <f t="shared" si="10"/>
        <v>62</v>
      </c>
      <c r="AX5" s="45">
        <f t="shared" si="11"/>
        <v>3.4444444444444446</v>
      </c>
      <c r="AY5" s="55">
        <f>VLOOKUP(C5,'[2]5月汇总'!$C:$AE,27,0)</f>
        <v>401</v>
      </c>
      <c r="AZ5" s="55">
        <f t="shared" si="27"/>
        <v>509.78700000000003</v>
      </c>
      <c r="BA5" s="62">
        <f t="shared" si="28"/>
        <v>0.33985800000000005</v>
      </c>
      <c r="BB5" s="55">
        <f>VLOOKUP(C5,[1]两年对比终版!$A:$W,17,0)</f>
        <v>244.92996500000001</v>
      </c>
      <c r="BC5" s="61">
        <f t="shared" si="13"/>
        <v>264.857035</v>
      </c>
      <c r="BD5" s="45">
        <f t="shared" si="14"/>
        <v>1.0813582364248491</v>
      </c>
      <c r="BE5" s="55">
        <f>VLOOKUP(C5,'[2]5月汇总'!$C:$AE,28,0)</f>
        <v>40</v>
      </c>
      <c r="BF5" s="55">
        <f t="shared" si="29"/>
        <v>62</v>
      </c>
      <c r="BG5" s="62">
        <f t="shared" si="30"/>
        <v>0.41333333333333333</v>
      </c>
      <c r="BH5" s="55">
        <f>VLOOKUP(C5,[1]两年对比终版!$A:$T,20,0)</f>
        <v>22</v>
      </c>
      <c r="BI5" s="45">
        <f t="shared" si="17"/>
        <v>1.8181818181818181</v>
      </c>
      <c r="BJ5" s="55">
        <f>VLOOKUP(C5,'[2]5月汇总'!$C:$AE,29,0)</f>
        <v>390</v>
      </c>
      <c r="BK5" s="55">
        <f t="shared" si="18"/>
        <v>629.50199999999995</v>
      </c>
      <c r="BL5" s="62">
        <f t="shared" si="19"/>
        <v>0.41966799999999999</v>
      </c>
      <c r="BM5" s="55">
        <f>VLOOKUP(C5,[1]两年对比终版!$A:$W,23,0)</f>
        <v>262.43405999999999</v>
      </c>
      <c r="BN5" s="45">
        <f t="shared" si="20"/>
        <v>1.398705411942337</v>
      </c>
    </row>
    <row r="6" spans="1:66">
      <c r="A6" s="52">
        <v>34</v>
      </c>
      <c r="B6" s="52" t="s">
        <v>34</v>
      </c>
      <c r="C6" s="52" t="s">
        <v>65</v>
      </c>
      <c r="D6" s="53">
        <v>136</v>
      </c>
      <c r="E6" s="53">
        <v>25</v>
      </c>
      <c r="F6" s="44">
        <v>0.183823529411765</v>
      </c>
      <c r="G6" s="53">
        <v>30</v>
      </c>
      <c r="H6" s="29">
        <v>-0.2</v>
      </c>
      <c r="I6" s="53">
        <v>1820</v>
      </c>
      <c r="J6" s="53">
        <v>479.952</v>
      </c>
      <c r="K6" s="44">
        <v>0.26370989010988999</v>
      </c>
      <c r="L6" s="53">
        <v>304.12705499999998</v>
      </c>
      <c r="M6" s="29">
        <v>0.36633860261026102</v>
      </c>
      <c r="N6" s="53">
        <v>64</v>
      </c>
      <c r="O6" s="53">
        <v>0</v>
      </c>
      <c r="P6" s="44">
        <v>0</v>
      </c>
      <c r="Q6" s="53">
        <v>10</v>
      </c>
      <c r="R6" s="29" t="e">
        <v>#DIV/0!</v>
      </c>
      <c r="S6" s="53">
        <v>732</v>
      </c>
      <c r="T6" s="53">
        <v>0</v>
      </c>
      <c r="U6" s="44">
        <v>0</v>
      </c>
      <c r="V6" s="53">
        <v>117.15049500000001</v>
      </c>
      <c r="W6" s="29" t="e">
        <v>#DIV/0!</v>
      </c>
      <c r="X6" s="53">
        <v>64</v>
      </c>
      <c r="Y6" s="53">
        <v>9</v>
      </c>
      <c r="Z6" s="44">
        <v>0.140625</v>
      </c>
      <c r="AA6" s="53">
        <v>5</v>
      </c>
      <c r="AB6" s="29">
        <v>0.44444444444444398</v>
      </c>
      <c r="AC6" s="53">
        <v>732</v>
      </c>
      <c r="AD6" s="53">
        <v>87.084900000000005</v>
      </c>
      <c r="AE6" s="44">
        <v>0.118968442622951</v>
      </c>
      <c r="AF6" s="53">
        <v>62.953740000000003</v>
      </c>
      <c r="AG6" s="29">
        <f t="shared" si="0"/>
        <v>0.38331574899283188</v>
      </c>
      <c r="AH6" s="54">
        <f>VLOOKUP(C6,'[2]5月汇总'!$C:$AE,24,0)</f>
        <v>40</v>
      </c>
      <c r="AI6" s="55">
        <f t="shared" si="21"/>
        <v>65</v>
      </c>
      <c r="AJ6" s="56">
        <f t="shared" si="22"/>
        <v>0.47794117647058826</v>
      </c>
      <c r="AK6" s="57">
        <f>VLOOKUP(C6,[1]两年对比终版!$A:$W,3,0)</f>
        <v>77</v>
      </c>
      <c r="AL6" s="57">
        <f t="shared" si="3"/>
        <v>-12</v>
      </c>
      <c r="AM6" s="29">
        <f t="shared" si="4"/>
        <v>-0.15584415584415584</v>
      </c>
      <c r="AN6" s="54">
        <f>VLOOKUP(C6,'[2]5月汇总'!$C:$AE,25,0)</f>
        <v>400</v>
      </c>
      <c r="AO6" s="55">
        <f t="shared" si="23"/>
        <v>879.952</v>
      </c>
      <c r="AP6" s="56">
        <f t="shared" si="24"/>
        <v>0.48349010989010988</v>
      </c>
      <c r="AQ6" s="59">
        <f>VLOOKUP(C6,[1]两年对比终版!$A:$W,6,0)</f>
        <v>1017.1580300000001</v>
      </c>
      <c r="AR6" s="29">
        <f t="shared" si="7"/>
        <v>-0.13489155662468696</v>
      </c>
      <c r="AS6" s="54">
        <f>VLOOKUP(C6,'[2]5月汇总'!$C:$AE,26,0)</f>
        <v>7</v>
      </c>
      <c r="AT6" s="55">
        <f t="shared" si="25"/>
        <v>7</v>
      </c>
      <c r="AU6" s="56">
        <f t="shared" si="26"/>
        <v>0.109375</v>
      </c>
      <c r="AV6" s="60">
        <f>VLOOKUP(C6,[1]两年对比终版!$A:$N,14,0)</f>
        <v>11</v>
      </c>
      <c r="AW6" s="55">
        <f t="shared" si="10"/>
        <v>-4</v>
      </c>
      <c r="AX6" s="45">
        <f t="shared" si="11"/>
        <v>-0.36363636363636365</v>
      </c>
      <c r="AY6" s="55">
        <f>VLOOKUP(C6,'[2]5月汇总'!$C:$AE,27,0)</f>
        <v>160</v>
      </c>
      <c r="AZ6" s="55">
        <f t="shared" si="27"/>
        <v>160</v>
      </c>
      <c r="BA6" s="62">
        <f t="shared" si="28"/>
        <v>0.21857923497267759</v>
      </c>
      <c r="BB6" s="55">
        <f>VLOOKUP(C6,[1]两年对比终版!$A:$W,17,0)</f>
        <v>126.799567</v>
      </c>
      <c r="BC6" s="61">
        <f t="shared" si="13"/>
        <v>33.200433000000004</v>
      </c>
      <c r="BD6" s="45">
        <f t="shared" si="14"/>
        <v>0.26183396194089531</v>
      </c>
      <c r="BE6" s="55">
        <f>VLOOKUP(C6,'[2]5月汇总'!$C:$AE,28,0)</f>
        <v>2</v>
      </c>
      <c r="BF6" s="55">
        <f t="shared" si="29"/>
        <v>11</v>
      </c>
      <c r="BG6" s="62">
        <f t="shared" si="30"/>
        <v>0.171875</v>
      </c>
      <c r="BH6" s="55">
        <f>VLOOKUP(C6,[1]两年对比终版!$A:$T,20,0)</f>
        <v>12</v>
      </c>
      <c r="BI6" s="45">
        <f t="shared" si="17"/>
        <v>-8.3333333333333329E-2</v>
      </c>
      <c r="BJ6" s="55">
        <f>VLOOKUP(C6,'[2]5月汇总'!$C:$AE,29,0)</f>
        <v>20</v>
      </c>
      <c r="BK6" s="55">
        <f t="shared" si="18"/>
        <v>107.0849</v>
      </c>
      <c r="BL6" s="62">
        <f t="shared" si="19"/>
        <v>0.14629084699453551</v>
      </c>
      <c r="BM6" s="55">
        <f>VLOOKUP(C6,[1]两年对比终版!$A:$W,23,0)</f>
        <v>134.82774499999999</v>
      </c>
      <c r="BN6" s="45">
        <f t="shared" si="20"/>
        <v>-0.20576510420759458</v>
      </c>
    </row>
    <row r="7" spans="1:66">
      <c r="A7" s="52">
        <v>35</v>
      </c>
      <c r="B7" s="52" t="s">
        <v>25</v>
      </c>
      <c r="C7" s="52" t="s">
        <v>66</v>
      </c>
      <c r="D7" s="53">
        <v>416</v>
      </c>
      <c r="E7" s="53">
        <v>88</v>
      </c>
      <c r="F7" s="44">
        <v>0.21153846153846201</v>
      </c>
      <c r="G7" s="53">
        <v>103</v>
      </c>
      <c r="H7" s="29">
        <v>-0.170454545454545</v>
      </c>
      <c r="I7" s="53">
        <v>3710</v>
      </c>
      <c r="J7" s="53">
        <v>778.69600000000003</v>
      </c>
      <c r="K7" s="44">
        <v>0.209891105121294</v>
      </c>
      <c r="L7" s="53">
        <v>727.193523999999</v>
      </c>
      <c r="M7" s="29">
        <v>6.6139386872413594E-2</v>
      </c>
      <c r="N7" s="53">
        <v>150</v>
      </c>
      <c r="O7" s="53">
        <v>34</v>
      </c>
      <c r="P7" s="44">
        <v>0.22666666666666699</v>
      </c>
      <c r="Q7" s="53">
        <v>46</v>
      </c>
      <c r="R7" s="29">
        <v>-0.35294117647058798</v>
      </c>
      <c r="S7" s="53">
        <v>1500</v>
      </c>
      <c r="T7" s="53">
        <v>246.24600000000001</v>
      </c>
      <c r="U7" s="44">
        <v>0.164164</v>
      </c>
      <c r="V7" s="53">
        <v>332.66630500000002</v>
      </c>
      <c r="W7" s="29">
        <v>-0.35095110174378502</v>
      </c>
      <c r="X7" s="53">
        <v>150</v>
      </c>
      <c r="Y7" s="53">
        <v>32</v>
      </c>
      <c r="Z7" s="44">
        <v>0.21333333333333299</v>
      </c>
      <c r="AA7" s="53">
        <v>32</v>
      </c>
      <c r="AB7" s="29">
        <v>0</v>
      </c>
      <c r="AC7" s="53">
        <v>1500</v>
      </c>
      <c r="AD7" s="53">
        <v>217.11699999999999</v>
      </c>
      <c r="AE7" s="44">
        <v>0.14474466666666699</v>
      </c>
      <c r="AF7" s="53">
        <v>238.98826600000001</v>
      </c>
      <c r="AG7" s="29">
        <f t="shared" si="0"/>
        <v>-9.151606631599235E-2</v>
      </c>
      <c r="AH7" s="54">
        <f>VLOOKUP(C7,'[2]5月汇总'!$C:$AE,24,0)</f>
        <v>59</v>
      </c>
      <c r="AI7" s="55">
        <f t="shared" si="21"/>
        <v>147</v>
      </c>
      <c r="AJ7" s="56">
        <f t="shared" si="22"/>
        <v>0.35336538461538464</v>
      </c>
      <c r="AK7" s="57">
        <f>VLOOKUP(C7,[1]两年对比终版!$A:$W,3,0)</f>
        <v>404</v>
      </c>
      <c r="AL7" s="57">
        <f t="shared" si="3"/>
        <v>-257</v>
      </c>
      <c r="AM7" s="29">
        <f t="shared" si="4"/>
        <v>-0.63613861386138615</v>
      </c>
      <c r="AN7" s="54">
        <f>VLOOKUP(C7,'[2]5月汇总'!$C:$AE,25,0)</f>
        <v>610</v>
      </c>
      <c r="AO7" s="55">
        <f t="shared" si="23"/>
        <v>1388.6959999999999</v>
      </c>
      <c r="AP7" s="56">
        <f t="shared" si="24"/>
        <v>0.37431159029649591</v>
      </c>
      <c r="AQ7" s="59">
        <f>VLOOKUP(C7,[1]两年对比终版!$A:$W,6,0)</f>
        <v>3426.458329</v>
      </c>
      <c r="AR7" s="29">
        <f t="shared" si="7"/>
        <v>-0.5947138804383808</v>
      </c>
      <c r="AS7" s="54">
        <f>VLOOKUP(C7,'[2]5月汇总'!$C:$AE,26,0)</f>
        <v>67</v>
      </c>
      <c r="AT7" s="55">
        <f t="shared" si="25"/>
        <v>101</v>
      </c>
      <c r="AU7" s="56">
        <f t="shared" si="26"/>
        <v>0.67333333333333334</v>
      </c>
      <c r="AV7" s="60">
        <f>VLOOKUP(C7,[1]两年对比终版!$A:$N,14,0)</f>
        <v>63</v>
      </c>
      <c r="AW7" s="55">
        <f t="shared" si="10"/>
        <v>38</v>
      </c>
      <c r="AX7" s="45">
        <f t="shared" si="11"/>
        <v>0.60317460317460314</v>
      </c>
      <c r="AY7" s="55">
        <f>VLOOKUP(C7,'[2]5月汇总'!$C:$AE,27,0)</f>
        <v>600</v>
      </c>
      <c r="AZ7" s="55">
        <f t="shared" si="27"/>
        <v>846.24599999999998</v>
      </c>
      <c r="BA7" s="62">
        <f t="shared" si="28"/>
        <v>0.564164</v>
      </c>
      <c r="BB7" s="55">
        <f>VLOOKUP(C7,[1]两年对比终版!$A:$W,17,0)</f>
        <v>500.02766100000002</v>
      </c>
      <c r="BC7" s="61">
        <f t="shared" si="13"/>
        <v>346.21833899999996</v>
      </c>
      <c r="BD7" s="45">
        <f t="shared" si="14"/>
        <v>0.69239837313720121</v>
      </c>
      <c r="BE7" s="55">
        <f>VLOOKUP(C7,'[2]5月汇总'!$C:$AE,28,0)</f>
        <v>46</v>
      </c>
      <c r="BF7" s="55">
        <f t="shared" si="29"/>
        <v>78</v>
      </c>
      <c r="BG7" s="62">
        <f t="shared" si="30"/>
        <v>0.52</v>
      </c>
      <c r="BH7" s="55">
        <f>VLOOKUP(C7,[1]两年对比终版!$A:$T,20,0)</f>
        <v>52</v>
      </c>
      <c r="BI7" s="45">
        <f t="shared" si="17"/>
        <v>0.5</v>
      </c>
      <c r="BJ7" s="55">
        <f>VLOOKUP(C7,'[2]5月汇总'!$C:$AE,29,0)</f>
        <v>460</v>
      </c>
      <c r="BK7" s="55">
        <f t="shared" si="18"/>
        <v>677.11699999999996</v>
      </c>
      <c r="BL7" s="62">
        <f t="shared" si="19"/>
        <v>0.45141133333333333</v>
      </c>
      <c r="BM7" s="55">
        <f>VLOOKUP(C7,[1]两年对比终版!$A:$W,23,0)</f>
        <v>388.01157699999999</v>
      </c>
      <c r="BN7" s="45">
        <f t="shared" si="20"/>
        <v>0.74509483772439089</v>
      </c>
    </row>
    <row r="8" spans="1:66">
      <c r="A8" s="52">
        <v>36</v>
      </c>
      <c r="B8" s="52" t="s">
        <v>34</v>
      </c>
      <c r="C8" s="52" t="s">
        <v>67</v>
      </c>
      <c r="D8" s="53">
        <v>50</v>
      </c>
      <c r="E8" s="53">
        <v>12</v>
      </c>
      <c r="F8" s="44">
        <v>0.24</v>
      </c>
      <c r="G8" s="53">
        <v>0</v>
      </c>
      <c r="H8" s="29">
        <v>1</v>
      </c>
      <c r="I8" s="53">
        <v>700</v>
      </c>
      <c r="J8" s="53">
        <v>155.36600000000001</v>
      </c>
      <c r="K8" s="44">
        <v>0.22195142857142899</v>
      </c>
      <c r="L8" s="53">
        <v>0</v>
      </c>
      <c r="M8" s="29">
        <v>1</v>
      </c>
      <c r="N8" s="53">
        <v>42</v>
      </c>
      <c r="O8" s="53">
        <v>0</v>
      </c>
      <c r="P8" s="44">
        <v>0</v>
      </c>
      <c r="Q8" s="53">
        <v>0</v>
      </c>
      <c r="R8" s="29" t="e">
        <v>#DIV/0!</v>
      </c>
      <c r="S8" s="53">
        <v>500</v>
      </c>
      <c r="T8" s="53">
        <v>0</v>
      </c>
      <c r="U8" s="44">
        <v>0</v>
      </c>
      <c r="V8" s="53">
        <v>0</v>
      </c>
      <c r="W8" s="29" t="e">
        <v>#DIV/0!</v>
      </c>
      <c r="X8" s="53">
        <v>42</v>
      </c>
      <c r="Y8" s="53">
        <v>0</v>
      </c>
      <c r="Z8" s="44">
        <v>0</v>
      </c>
      <c r="AA8" s="53">
        <v>0</v>
      </c>
      <c r="AB8" s="29" t="e">
        <v>#DIV/0!</v>
      </c>
      <c r="AC8" s="53">
        <v>500</v>
      </c>
      <c r="AD8" s="53">
        <v>0</v>
      </c>
      <c r="AE8" s="44">
        <v>0</v>
      </c>
      <c r="AF8" s="53">
        <v>0</v>
      </c>
      <c r="AG8" s="29" t="e">
        <f t="shared" si="0"/>
        <v>#DIV/0!</v>
      </c>
      <c r="AH8" s="54">
        <f>VLOOKUP(C8,'[2]5月汇总'!$C:$AE,24,0)</f>
        <v>16</v>
      </c>
      <c r="AI8" s="55">
        <f t="shared" si="21"/>
        <v>28</v>
      </c>
      <c r="AJ8" s="56">
        <f t="shared" si="22"/>
        <v>0.56000000000000005</v>
      </c>
      <c r="AK8" s="57">
        <f>VLOOKUP(C8,[1]两年对比终版!$A:$W,3,0)</f>
        <v>0</v>
      </c>
      <c r="AL8" s="57">
        <f t="shared" si="3"/>
        <v>28</v>
      </c>
      <c r="AM8" s="29" t="e">
        <f t="shared" si="4"/>
        <v>#DIV/0!</v>
      </c>
      <c r="AN8" s="54">
        <f>VLOOKUP(C8,'[2]5月汇总'!$C:$AE,25,0)</f>
        <v>97.92</v>
      </c>
      <c r="AO8" s="55">
        <f t="shared" si="23"/>
        <v>253.286</v>
      </c>
      <c r="AP8" s="56">
        <f t="shared" si="24"/>
        <v>0.36183714285714286</v>
      </c>
      <c r="AQ8" s="59">
        <f>VLOOKUP(C8,[1]两年对比终版!$A:$W,6,0)</f>
        <v>0</v>
      </c>
      <c r="AR8" s="29"/>
      <c r="AS8" s="54">
        <f>VLOOKUP(C8,'[2]5月汇总'!$C:$AE,26,0)</f>
        <v>6</v>
      </c>
      <c r="AT8" s="55">
        <f t="shared" si="25"/>
        <v>6</v>
      </c>
      <c r="AU8" s="56">
        <f t="shared" si="26"/>
        <v>0.14285714285714285</v>
      </c>
      <c r="AV8" s="60">
        <f>VLOOKUP(C8,[1]两年对比终版!$A:$N,14,0)</f>
        <v>0</v>
      </c>
      <c r="AW8" s="55">
        <f t="shared" si="10"/>
        <v>6</v>
      </c>
      <c r="AX8" s="45"/>
      <c r="AY8" s="55">
        <f>VLOOKUP(C8,'[2]5月汇总'!$C:$AE,27,0)</f>
        <v>36.72</v>
      </c>
      <c r="AZ8" s="55">
        <f t="shared" si="27"/>
        <v>36.72</v>
      </c>
      <c r="BA8" s="62">
        <f t="shared" si="28"/>
        <v>7.3439999999999991E-2</v>
      </c>
      <c r="BB8" s="55">
        <f>VLOOKUP(C8,[1]两年对比终版!$A:$W,17,0)</f>
        <v>0</v>
      </c>
      <c r="BC8" s="61">
        <f t="shared" si="13"/>
        <v>36.72</v>
      </c>
      <c r="BD8" s="45"/>
      <c r="BE8" s="55">
        <f>VLOOKUP(C8,'[2]5月汇总'!$C:$AE,28,0)</f>
        <v>2</v>
      </c>
      <c r="BF8" s="55">
        <f t="shared" si="29"/>
        <v>2</v>
      </c>
      <c r="BG8" s="62">
        <f t="shared" si="30"/>
        <v>4.7619047619047616E-2</v>
      </c>
      <c r="BH8" s="55">
        <f>VLOOKUP(C8,[1]两年对比终版!$A:$T,20,0)</f>
        <v>0</v>
      </c>
      <c r="BI8" s="45"/>
      <c r="BJ8" s="55">
        <f>VLOOKUP(C8,'[2]5月汇总'!$C:$AE,29,0)</f>
        <v>12.24</v>
      </c>
      <c r="BK8" s="55">
        <f t="shared" si="18"/>
        <v>12.24</v>
      </c>
      <c r="BL8" s="62">
        <f t="shared" si="19"/>
        <v>2.4480000000000002E-2</v>
      </c>
      <c r="BM8" s="55">
        <f>VLOOKUP(C8,[1]两年对比终版!$A:$W,23,0)</f>
        <v>0</v>
      </c>
      <c r="BN8" s="45"/>
    </row>
    <row r="9" spans="1:66">
      <c r="A9" s="52">
        <v>37</v>
      </c>
      <c r="B9" s="52" t="s">
        <v>39</v>
      </c>
      <c r="C9" s="52" t="s">
        <v>68</v>
      </c>
      <c r="D9" s="53">
        <v>81</v>
      </c>
      <c r="E9" s="53">
        <v>24</v>
      </c>
      <c r="F9" s="44">
        <v>0.296296296296296</v>
      </c>
      <c r="G9" s="53">
        <v>19</v>
      </c>
      <c r="H9" s="29">
        <v>0.20833333333333301</v>
      </c>
      <c r="I9" s="53">
        <v>700</v>
      </c>
      <c r="J9" s="53">
        <v>292.14400000000001</v>
      </c>
      <c r="K9" s="44">
        <v>0.41734857142857201</v>
      </c>
      <c r="L9" s="53">
        <v>141.60718600000001</v>
      </c>
      <c r="M9" s="29">
        <v>0.51528292212059801</v>
      </c>
      <c r="N9" s="53">
        <v>42</v>
      </c>
      <c r="O9" s="53">
        <v>8</v>
      </c>
      <c r="P9" s="44">
        <v>0.19047619047618999</v>
      </c>
      <c r="Q9" s="53">
        <v>5</v>
      </c>
      <c r="R9" s="29">
        <v>0.375</v>
      </c>
      <c r="S9" s="53">
        <v>300</v>
      </c>
      <c r="T9" s="53">
        <v>65.929400000000001</v>
      </c>
      <c r="U9" s="44">
        <v>0.219764666666667</v>
      </c>
      <c r="V9" s="53">
        <v>36.667755</v>
      </c>
      <c r="W9" s="29">
        <v>0.44383302441702799</v>
      </c>
      <c r="X9" s="53">
        <v>42</v>
      </c>
      <c r="Y9" s="53">
        <v>4</v>
      </c>
      <c r="Z9" s="44">
        <v>9.5238095238095205E-2</v>
      </c>
      <c r="AA9" s="53">
        <v>0</v>
      </c>
      <c r="AB9" s="29">
        <v>1</v>
      </c>
      <c r="AC9" s="53">
        <v>300</v>
      </c>
      <c r="AD9" s="53">
        <v>29.107900000000001</v>
      </c>
      <c r="AE9" s="44">
        <v>9.7026333333333298E-2</v>
      </c>
      <c r="AF9" s="53">
        <v>0</v>
      </c>
      <c r="AG9" s="29" t="e">
        <f t="shared" si="0"/>
        <v>#DIV/0!</v>
      </c>
      <c r="AH9" s="54">
        <f>VLOOKUP(C9,'[2]5月汇总'!$C:$AE,24,0)</f>
        <v>6</v>
      </c>
      <c r="AI9" s="55">
        <f t="shared" si="21"/>
        <v>30</v>
      </c>
      <c r="AJ9" s="56">
        <f t="shared" si="22"/>
        <v>0.37037037037037035</v>
      </c>
      <c r="AK9" s="57">
        <f>VLOOKUP(C9,[1]两年对比终版!$A:$W,3,0)</f>
        <v>53</v>
      </c>
      <c r="AL9" s="57">
        <f t="shared" si="3"/>
        <v>-23</v>
      </c>
      <c r="AM9" s="29">
        <f t="shared" si="4"/>
        <v>-0.43396226415094341</v>
      </c>
      <c r="AN9" s="54">
        <f>VLOOKUP(C9,'[2]5月汇总'!$C:$AE,25,0)</f>
        <v>45</v>
      </c>
      <c r="AO9" s="55">
        <f t="shared" si="23"/>
        <v>337.14400000000001</v>
      </c>
      <c r="AP9" s="56">
        <f t="shared" si="24"/>
        <v>0.48163428571428574</v>
      </c>
      <c r="AQ9" s="59">
        <f>VLOOKUP(C9,[1]两年对比终版!$A:$W,6,0)</f>
        <v>592.63861599999996</v>
      </c>
      <c r="AR9" s="29">
        <f t="shared" si="7"/>
        <v>-0.43111368227142316</v>
      </c>
      <c r="AS9" s="54">
        <f>VLOOKUP(C9,'[2]5月汇总'!$C:$AE,26,0)</f>
        <v>6</v>
      </c>
      <c r="AT9" s="55">
        <f t="shared" si="25"/>
        <v>14</v>
      </c>
      <c r="AU9" s="56">
        <f t="shared" si="26"/>
        <v>0.33333333333333331</v>
      </c>
      <c r="AV9" s="60">
        <f>VLOOKUP(C9,[1]两年对比终版!$A:$N,14,0)</f>
        <v>8</v>
      </c>
      <c r="AW9" s="55">
        <f t="shared" si="10"/>
        <v>6</v>
      </c>
      <c r="AX9" s="45">
        <f t="shared" si="11"/>
        <v>0.75</v>
      </c>
      <c r="AY9" s="55">
        <f>VLOOKUP(C9,'[2]5月汇总'!$C:$AE,27,0)</f>
        <v>45</v>
      </c>
      <c r="AZ9" s="55">
        <f t="shared" si="27"/>
        <v>110.9294</v>
      </c>
      <c r="BA9" s="62">
        <f t="shared" si="28"/>
        <v>0.36976466666666669</v>
      </c>
      <c r="BB9" s="55">
        <f>VLOOKUP(C9,[1]两年对比终版!$A:$W,17,0)</f>
        <v>61.438507000000001</v>
      </c>
      <c r="BC9" s="61">
        <f t="shared" si="13"/>
        <v>49.490893</v>
      </c>
      <c r="BD9" s="45">
        <f t="shared" si="14"/>
        <v>0.80553541120392136</v>
      </c>
      <c r="BE9" s="55">
        <f>VLOOKUP(C9,'[2]5月汇总'!$C:$AE,28,0)</f>
        <v>11</v>
      </c>
      <c r="BF9" s="55">
        <f t="shared" si="29"/>
        <v>15</v>
      </c>
      <c r="BG9" s="62">
        <f t="shared" si="30"/>
        <v>0.35714285714285715</v>
      </c>
      <c r="BH9" s="55">
        <f>VLOOKUP(C9,[1]两年对比终版!$A:$T,20,0)</f>
        <v>8</v>
      </c>
      <c r="BI9" s="45">
        <f t="shared" si="17"/>
        <v>0.875</v>
      </c>
      <c r="BJ9" s="55">
        <f>VLOOKUP(C9,'[2]5月汇总'!$C:$AE,29,0)</f>
        <v>81.3</v>
      </c>
      <c r="BK9" s="55">
        <f t="shared" si="18"/>
        <v>110.4079</v>
      </c>
      <c r="BL9" s="62">
        <f t="shared" si="19"/>
        <v>0.36802633333333334</v>
      </c>
      <c r="BM9" s="55">
        <f>VLOOKUP(C9,[1]两年对比终版!$A:$W,23,0)</f>
        <v>61.438507000000001</v>
      </c>
      <c r="BN9" s="45">
        <f t="shared" si="20"/>
        <v>0.79704724921131298</v>
      </c>
    </row>
    <row r="10" spans="1:66">
      <c r="A10" s="52">
        <v>38</v>
      </c>
      <c r="B10" s="52" t="s">
        <v>34</v>
      </c>
      <c r="C10" s="52" t="s">
        <v>69</v>
      </c>
      <c r="D10" s="53">
        <v>181</v>
      </c>
      <c r="E10" s="53">
        <v>18</v>
      </c>
      <c r="F10" s="44">
        <v>9.9447513812154706E-2</v>
      </c>
      <c r="G10" s="53">
        <v>0</v>
      </c>
      <c r="H10" s="29">
        <v>1</v>
      </c>
      <c r="I10" s="53">
        <v>1680</v>
      </c>
      <c r="J10" s="53">
        <v>333.39699999999999</v>
      </c>
      <c r="K10" s="44">
        <v>0.198450595238095</v>
      </c>
      <c r="L10" s="53">
        <v>0</v>
      </c>
      <c r="M10" s="29">
        <v>1</v>
      </c>
      <c r="N10" s="53">
        <v>80</v>
      </c>
      <c r="O10" s="53">
        <v>3</v>
      </c>
      <c r="P10" s="44">
        <v>3.7499999999999999E-2</v>
      </c>
      <c r="Q10" s="53">
        <v>0</v>
      </c>
      <c r="R10" s="29">
        <v>1</v>
      </c>
      <c r="S10" s="53">
        <v>700</v>
      </c>
      <c r="T10" s="53">
        <v>24.950800000000001</v>
      </c>
      <c r="U10" s="44">
        <v>3.5644000000000002E-2</v>
      </c>
      <c r="V10" s="53">
        <v>0</v>
      </c>
      <c r="W10" s="29">
        <v>1</v>
      </c>
      <c r="X10" s="53">
        <v>80</v>
      </c>
      <c r="Y10" s="53">
        <v>0</v>
      </c>
      <c r="Z10" s="44">
        <v>0</v>
      </c>
      <c r="AA10" s="53">
        <v>0</v>
      </c>
      <c r="AB10" s="29" t="e">
        <v>#DIV/0!</v>
      </c>
      <c r="AC10" s="53">
        <v>700</v>
      </c>
      <c r="AD10" s="53">
        <v>0</v>
      </c>
      <c r="AE10" s="44">
        <v>0</v>
      </c>
      <c r="AF10" s="53">
        <v>0</v>
      </c>
      <c r="AG10" s="29" t="e">
        <f t="shared" si="0"/>
        <v>#DIV/0!</v>
      </c>
      <c r="AH10" s="54">
        <f>VLOOKUP(C10,'[2]5月汇总'!$C:$AE,24,0)</f>
        <v>4</v>
      </c>
      <c r="AI10" s="55">
        <f t="shared" si="21"/>
        <v>22</v>
      </c>
      <c r="AJ10" s="56">
        <f t="shared" si="22"/>
        <v>0.12154696132596685</v>
      </c>
      <c r="AK10" s="57">
        <f>VLOOKUP(C10,[1]两年对比终版!$A:$W,3,0)</f>
        <v>0</v>
      </c>
      <c r="AL10" s="57">
        <f t="shared" si="3"/>
        <v>22</v>
      </c>
      <c r="AM10" s="29" t="e">
        <f t="shared" si="4"/>
        <v>#DIV/0!</v>
      </c>
      <c r="AN10" s="54">
        <f>VLOOKUP(C10,'[2]5月汇总'!$C:$AE,25,0)</f>
        <v>30</v>
      </c>
      <c r="AO10" s="55">
        <f t="shared" si="23"/>
        <v>363.39699999999999</v>
      </c>
      <c r="AP10" s="56">
        <f t="shared" si="24"/>
        <v>0.21630773809523809</v>
      </c>
      <c r="AQ10" s="59">
        <f>VLOOKUP(C10,[1]两年对比终版!$A:$W,6,0)</f>
        <v>0</v>
      </c>
      <c r="AR10" s="29"/>
      <c r="AS10" s="54">
        <f>VLOOKUP(C10,'[2]5月汇总'!$C:$AE,26,0)</f>
        <v>4</v>
      </c>
      <c r="AT10" s="55">
        <f t="shared" si="25"/>
        <v>7</v>
      </c>
      <c r="AU10" s="56">
        <f t="shared" si="26"/>
        <v>8.7499999999999994E-2</v>
      </c>
      <c r="AV10" s="60">
        <f>VLOOKUP(C10,[1]两年对比终版!$A:$N,14,0)</f>
        <v>0</v>
      </c>
      <c r="AW10" s="55">
        <f t="shared" si="10"/>
        <v>7</v>
      </c>
      <c r="AX10" s="45"/>
      <c r="AY10" s="55">
        <f>VLOOKUP(C10,'[2]5月汇总'!$C:$AE,27,0)</f>
        <v>30</v>
      </c>
      <c r="AZ10" s="55">
        <f t="shared" si="27"/>
        <v>54.950800000000001</v>
      </c>
      <c r="BA10" s="62">
        <f t="shared" si="28"/>
        <v>7.8501142857142853E-2</v>
      </c>
      <c r="BB10" s="55">
        <f>VLOOKUP(C10,[1]两年对比终版!$A:$W,17,0)</f>
        <v>0</v>
      </c>
      <c r="BC10" s="61">
        <f t="shared" si="13"/>
        <v>54.950800000000001</v>
      </c>
      <c r="BD10" s="45"/>
      <c r="BE10" s="55">
        <f>VLOOKUP(C10,'[2]5月汇总'!$C:$AE,28,0)</f>
        <v>7</v>
      </c>
      <c r="BF10" s="55">
        <f t="shared" si="29"/>
        <v>7</v>
      </c>
      <c r="BG10" s="62">
        <f t="shared" si="30"/>
        <v>8.7499999999999994E-2</v>
      </c>
      <c r="BH10" s="55">
        <f>VLOOKUP(C10,[1]两年对比终版!$A:$T,20,0)</f>
        <v>0</v>
      </c>
      <c r="BI10" s="45"/>
      <c r="BJ10" s="55">
        <f>VLOOKUP(C10,'[2]5月汇总'!$C:$AE,29,0)</f>
        <v>55</v>
      </c>
      <c r="BK10" s="55">
        <f t="shared" si="18"/>
        <v>55</v>
      </c>
      <c r="BL10" s="62">
        <f t="shared" si="19"/>
        <v>7.857142857142857E-2</v>
      </c>
      <c r="BM10" s="55">
        <f>VLOOKUP(C10,[1]两年对比终版!$A:$W,23,0)</f>
        <v>0</v>
      </c>
      <c r="BN10" s="45"/>
    </row>
    <row r="11" spans="1:66">
      <c r="A11" s="52">
        <v>39</v>
      </c>
      <c r="B11" s="52" t="s">
        <v>34</v>
      </c>
      <c r="C11" s="52" t="s">
        <v>70</v>
      </c>
      <c r="D11" s="53">
        <v>59</v>
      </c>
      <c r="E11" s="53">
        <v>0</v>
      </c>
      <c r="F11" s="44">
        <v>0</v>
      </c>
      <c r="G11" s="53">
        <v>0</v>
      </c>
      <c r="H11" s="29" t="e">
        <v>#DIV/0!</v>
      </c>
      <c r="I11" s="53">
        <v>910</v>
      </c>
      <c r="J11" s="53">
        <v>0</v>
      </c>
      <c r="K11" s="44">
        <v>0</v>
      </c>
      <c r="L11" s="53">
        <v>0</v>
      </c>
      <c r="M11" s="29" t="e">
        <v>#DIV/0!</v>
      </c>
      <c r="N11" s="53">
        <v>44</v>
      </c>
      <c r="O11" s="53">
        <v>0</v>
      </c>
      <c r="P11" s="44">
        <v>0</v>
      </c>
      <c r="Q11" s="53">
        <v>0</v>
      </c>
      <c r="R11" s="29" t="e">
        <v>#DIV/0!</v>
      </c>
      <c r="S11" s="53">
        <v>600</v>
      </c>
      <c r="T11" s="53">
        <v>0</v>
      </c>
      <c r="U11" s="44">
        <v>0</v>
      </c>
      <c r="V11" s="53">
        <v>0</v>
      </c>
      <c r="W11" s="29" t="e">
        <v>#DIV/0!</v>
      </c>
      <c r="X11" s="53">
        <v>44</v>
      </c>
      <c r="Y11" s="53">
        <v>0</v>
      </c>
      <c r="Z11" s="44">
        <v>0</v>
      </c>
      <c r="AA11" s="53">
        <v>0</v>
      </c>
      <c r="AB11" s="29" t="e">
        <v>#DIV/0!</v>
      </c>
      <c r="AC11" s="53">
        <v>600</v>
      </c>
      <c r="AD11" s="53">
        <v>0</v>
      </c>
      <c r="AE11" s="44">
        <v>0</v>
      </c>
      <c r="AF11" s="53">
        <v>0</v>
      </c>
      <c r="AG11" s="29" t="e">
        <f t="shared" si="0"/>
        <v>#DIV/0!</v>
      </c>
      <c r="AH11" s="54">
        <f>VLOOKUP(C11,'[2]5月汇总'!$C:$AE,24,0)</f>
        <v>60</v>
      </c>
      <c r="AI11" s="55">
        <f t="shared" si="21"/>
        <v>60</v>
      </c>
      <c r="AJ11" s="56">
        <f t="shared" si="22"/>
        <v>1.0169491525423728</v>
      </c>
      <c r="AK11" s="57">
        <f>VLOOKUP(C11,[1]两年对比终版!$A:$W,3,0)</f>
        <v>0</v>
      </c>
      <c r="AL11" s="57">
        <f t="shared" si="3"/>
        <v>60</v>
      </c>
      <c r="AM11" s="29" t="e">
        <f t="shared" si="4"/>
        <v>#DIV/0!</v>
      </c>
      <c r="AN11" s="54">
        <f>VLOOKUP(C11,'[2]5月汇总'!$C:$AE,25,0)</f>
        <v>410</v>
      </c>
      <c r="AO11" s="55">
        <f t="shared" si="23"/>
        <v>410</v>
      </c>
      <c r="AP11" s="56">
        <f t="shared" si="24"/>
        <v>0.45054945054945056</v>
      </c>
      <c r="AQ11" s="59">
        <f>VLOOKUP(C11,[1]两年对比终版!$A:$W,6,0)</f>
        <v>0</v>
      </c>
      <c r="AR11" s="29"/>
      <c r="AS11" s="54">
        <f>VLOOKUP(C11,'[2]5月汇总'!$C:$AE,26,0)</f>
        <v>18</v>
      </c>
      <c r="AT11" s="55">
        <f t="shared" si="25"/>
        <v>18</v>
      </c>
      <c r="AU11" s="56">
        <f t="shared" si="26"/>
        <v>0.40909090909090912</v>
      </c>
      <c r="AV11" s="60">
        <f>VLOOKUP(C11,[1]两年对比终版!$A:$N,14,0)</f>
        <v>0</v>
      </c>
      <c r="AW11" s="55">
        <f t="shared" si="10"/>
        <v>18</v>
      </c>
      <c r="AX11" s="45"/>
      <c r="AY11" s="55">
        <f>VLOOKUP(C11,'[2]5月汇总'!$C:$AE,27,0)</f>
        <v>270</v>
      </c>
      <c r="AZ11" s="55">
        <f t="shared" si="27"/>
        <v>270</v>
      </c>
      <c r="BA11" s="62">
        <f t="shared" si="28"/>
        <v>0.45</v>
      </c>
      <c r="BB11" s="55">
        <f>VLOOKUP(C11,[1]两年对比终版!$A:$W,17,0)</f>
        <v>0</v>
      </c>
      <c r="BC11" s="61">
        <f t="shared" si="13"/>
        <v>270</v>
      </c>
      <c r="BD11" s="45"/>
      <c r="BE11" s="55">
        <f>VLOOKUP(C11,'[2]5月汇总'!$C:$AE,28,0)</f>
        <v>18</v>
      </c>
      <c r="BF11" s="55">
        <f t="shared" si="29"/>
        <v>18</v>
      </c>
      <c r="BG11" s="62">
        <f t="shared" si="30"/>
        <v>0.40909090909090912</v>
      </c>
      <c r="BH11" s="55">
        <f>VLOOKUP(C11,[1]两年对比终版!$A:$T,20,0)</f>
        <v>0</v>
      </c>
      <c r="BI11" s="45"/>
      <c r="BJ11" s="55">
        <f>VLOOKUP(C11,'[2]5月汇总'!$C:$AE,29,0)</f>
        <v>270</v>
      </c>
      <c r="BK11" s="55">
        <f t="shared" si="18"/>
        <v>270</v>
      </c>
      <c r="BL11" s="62">
        <f t="shared" si="19"/>
        <v>0.45</v>
      </c>
      <c r="BM11" s="55">
        <f>VLOOKUP(C11,[1]两年对比终版!$A:$W,23,0)</f>
        <v>0</v>
      </c>
      <c r="BN11" s="45"/>
    </row>
    <row r="12" spans="1:66">
      <c r="A12" s="52">
        <v>40</v>
      </c>
      <c r="B12" s="52" t="s">
        <v>39</v>
      </c>
      <c r="C12" s="52" t="s">
        <v>71</v>
      </c>
      <c r="D12" s="53">
        <v>45</v>
      </c>
      <c r="E12" s="53">
        <v>29</v>
      </c>
      <c r="F12" s="44">
        <v>0.64444444444444404</v>
      </c>
      <c r="G12" s="53">
        <v>34</v>
      </c>
      <c r="H12" s="29">
        <v>-0.17241379310344801</v>
      </c>
      <c r="I12" s="53">
        <v>700</v>
      </c>
      <c r="J12" s="53">
        <v>198.864</v>
      </c>
      <c r="K12" s="44">
        <v>0.28409142857142899</v>
      </c>
      <c r="L12" s="53">
        <v>259.53637099999997</v>
      </c>
      <c r="M12" s="29">
        <v>-0.30509479342666301</v>
      </c>
      <c r="N12" s="53">
        <v>25</v>
      </c>
      <c r="O12" s="53">
        <v>15</v>
      </c>
      <c r="P12" s="44">
        <v>0.6</v>
      </c>
      <c r="Q12" s="53">
        <v>10</v>
      </c>
      <c r="R12" s="29">
        <v>0.33333333333333298</v>
      </c>
      <c r="S12" s="53">
        <v>300</v>
      </c>
      <c r="T12" s="53">
        <v>95.056299999999993</v>
      </c>
      <c r="U12" s="44">
        <v>0.31685433333333302</v>
      </c>
      <c r="V12" s="53">
        <v>114.989859</v>
      </c>
      <c r="W12" s="29">
        <v>-0.20970266042334901</v>
      </c>
      <c r="X12" s="53">
        <v>25</v>
      </c>
      <c r="Y12" s="53">
        <v>2</v>
      </c>
      <c r="Z12" s="44">
        <v>0.08</v>
      </c>
      <c r="AA12" s="53">
        <v>8</v>
      </c>
      <c r="AB12" s="29">
        <v>-3</v>
      </c>
      <c r="AC12" s="53">
        <v>300</v>
      </c>
      <c r="AD12" s="53">
        <v>12.4017</v>
      </c>
      <c r="AE12" s="44">
        <v>4.1339000000000001E-2</v>
      </c>
      <c r="AF12" s="53">
        <v>48.080717</v>
      </c>
      <c r="AG12" s="29">
        <f t="shared" si="0"/>
        <v>-0.74206499457984376</v>
      </c>
      <c r="AH12" s="54">
        <f>VLOOKUP(C12,'[2]5月汇总'!$C:$AE,24,0)</f>
        <v>29</v>
      </c>
      <c r="AI12" s="55">
        <f t="shared" si="21"/>
        <v>58</v>
      </c>
      <c r="AJ12" s="56">
        <f t="shared" si="22"/>
        <v>1.288888888888889</v>
      </c>
      <c r="AK12" s="57">
        <f>VLOOKUP(C12,[1]两年对比终版!$A:$W,3,0)</f>
        <v>92</v>
      </c>
      <c r="AL12" s="57">
        <f t="shared" si="3"/>
        <v>-34</v>
      </c>
      <c r="AM12" s="29">
        <f t="shared" si="4"/>
        <v>-0.36956521739130432</v>
      </c>
      <c r="AN12" s="54">
        <f>VLOOKUP(C12,'[2]5月汇总'!$C:$AE,25,0)</f>
        <v>157</v>
      </c>
      <c r="AO12" s="55">
        <f t="shared" si="23"/>
        <v>355.86400000000003</v>
      </c>
      <c r="AP12" s="56">
        <f t="shared" si="24"/>
        <v>0.50837714285714286</v>
      </c>
      <c r="AQ12" s="59">
        <f>VLOOKUP(C12,[1]两年对比终版!$A:$W,6,0)</f>
        <v>1001.540992</v>
      </c>
      <c r="AR12" s="29">
        <f t="shared" si="7"/>
        <v>-0.64468353982260163</v>
      </c>
      <c r="AS12" s="54">
        <f>VLOOKUP(C12,'[2]5月汇总'!$C:$AE,26,0)</f>
        <v>11</v>
      </c>
      <c r="AT12" s="55">
        <f t="shared" si="25"/>
        <v>26</v>
      </c>
      <c r="AU12" s="56">
        <f t="shared" si="26"/>
        <v>1.04</v>
      </c>
      <c r="AV12" s="60">
        <f>VLOOKUP(C12,[1]两年对比终版!$A:$N,14,0)</f>
        <v>20</v>
      </c>
      <c r="AW12" s="55">
        <f t="shared" si="10"/>
        <v>6</v>
      </c>
      <c r="AX12" s="45">
        <f t="shared" si="11"/>
        <v>0.3</v>
      </c>
      <c r="AY12" s="55">
        <f>VLOOKUP(C12,'[2]5月汇总'!$C:$AE,27,0)</f>
        <v>58.3</v>
      </c>
      <c r="AZ12" s="55">
        <f t="shared" si="27"/>
        <v>153.35629999999998</v>
      </c>
      <c r="BA12" s="62">
        <f t="shared" si="28"/>
        <v>0.5111876666666666</v>
      </c>
      <c r="BB12" s="53">
        <f>VLOOKUP(C12,[1]两年对比终版!$A:$W,17,0)</f>
        <v>200.807132</v>
      </c>
      <c r="BC12" s="61">
        <f t="shared" si="13"/>
        <v>-47.45083200000002</v>
      </c>
      <c r="BD12" s="45">
        <f t="shared" si="14"/>
        <v>-0.23630053139746063</v>
      </c>
      <c r="BE12" s="55">
        <f>VLOOKUP(C12,'[2]5月汇总'!$C:$AE,28,0)</f>
        <v>22</v>
      </c>
      <c r="BF12" s="55">
        <f t="shared" si="29"/>
        <v>24</v>
      </c>
      <c r="BG12" s="62">
        <f t="shared" si="30"/>
        <v>0.96</v>
      </c>
      <c r="BH12" s="53">
        <f>VLOOKUP(C12,[1]两年对比终版!$A:$T,20,0)</f>
        <v>15</v>
      </c>
      <c r="BI12" s="45">
        <f t="shared" si="17"/>
        <v>0.6</v>
      </c>
      <c r="BJ12" s="55">
        <f>VLOOKUP(C12,'[2]5月汇总'!$C:$AE,29,0)</f>
        <v>130.084</v>
      </c>
      <c r="BK12" s="55">
        <f t="shared" si="18"/>
        <v>142.48570000000001</v>
      </c>
      <c r="BL12" s="62">
        <f t="shared" si="19"/>
        <v>0.47495233333333337</v>
      </c>
      <c r="BM12" s="53">
        <f>VLOOKUP(C12,[1]两年对比终版!$A:$W,23,0)</f>
        <v>137.57912400000001</v>
      </c>
      <c r="BN12" s="45">
        <f t="shared" si="20"/>
        <v>3.5663666531268227E-2</v>
      </c>
    </row>
    <row r="13" spans="1:66" s="77" customFormat="1">
      <c r="A13" s="78" t="s">
        <v>72</v>
      </c>
      <c r="B13" s="79"/>
      <c r="C13" s="79"/>
      <c r="D13" s="68">
        <v>2063</v>
      </c>
      <c r="E13" s="68">
        <v>541</v>
      </c>
      <c r="F13" s="69">
        <v>0.26223945710130903</v>
      </c>
      <c r="G13" s="68">
        <v>629</v>
      </c>
      <c r="H13" s="70">
        <v>-0.162661737523105</v>
      </c>
      <c r="I13" s="68">
        <v>23240</v>
      </c>
      <c r="J13" s="68">
        <v>5263.5969999999998</v>
      </c>
      <c r="K13" s="69">
        <v>0.226488683304647</v>
      </c>
      <c r="L13" s="68">
        <v>6203.792872</v>
      </c>
      <c r="M13" s="70">
        <v>-0.178622313220408</v>
      </c>
      <c r="N13" s="68">
        <v>817</v>
      </c>
      <c r="O13" s="68">
        <v>107</v>
      </c>
      <c r="P13" s="69">
        <v>0.13096695226438201</v>
      </c>
      <c r="Q13" s="68">
        <v>166</v>
      </c>
      <c r="R13" s="70">
        <v>-0.55140186915887801</v>
      </c>
      <c r="S13" s="68">
        <v>9392</v>
      </c>
      <c r="T13" s="68">
        <v>854.49779999999998</v>
      </c>
      <c r="U13" s="69">
        <v>9.0981452299829596E-2</v>
      </c>
      <c r="V13" s="68">
        <v>2194.4152020000001</v>
      </c>
      <c r="W13" s="70">
        <v>-1.5680758944025399</v>
      </c>
      <c r="X13" s="68">
        <v>817</v>
      </c>
      <c r="Y13" s="68">
        <v>99</v>
      </c>
      <c r="Z13" s="69">
        <v>0.121175030599755</v>
      </c>
      <c r="AA13" s="68">
        <v>129</v>
      </c>
      <c r="AB13" s="70">
        <v>-0.30303030303030298</v>
      </c>
      <c r="AC13" s="68">
        <v>9392</v>
      </c>
      <c r="AD13" s="68">
        <v>869.47860000000003</v>
      </c>
      <c r="AE13" s="69">
        <v>9.2576511925042598E-2</v>
      </c>
      <c r="AF13" s="68">
        <v>1465.181828</v>
      </c>
      <c r="AG13" s="70">
        <f t="shared" si="0"/>
        <v>-0.40657290215859815</v>
      </c>
      <c r="AH13" s="68">
        <f>SUM(AH2:AH12)</f>
        <v>537</v>
      </c>
      <c r="AI13" s="71">
        <f t="shared" si="21"/>
        <v>1078</v>
      </c>
      <c r="AJ13" s="41">
        <f t="shared" si="22"/>
        <v>0.52253999030538056</v>
      </c>
      <c r="AK13" s="68">
        <f>SUM(AK2:AK12)</f>
        <v>1908</v>
      </c>
      <c r="AL13" s="73">
        <f t="shared" si="3"/>
        <v>-830</v>
      </c>
      <c r="AM13" s="70">
        <f t="shared" si="4"/>
        <v>-0.43501048218029348</v>
      </c>
      <c r="AN13" s="68">
        <f>SUM(AN2:AN12)</f>
        <v>3924.92</v>
      </c>
      <c r="AO13" s="71">
        <f t="shared" si="23"/>
        <v>9188.5169999999998</v>
      </c>
      <c r="AP13" s="41">
        <f t="shared" si="24"/>
        <v>0.39537508605851979</v>
      </c>
      <c r="AQ13" s="68">
        <f>SUM(AQ2:AQ12)</f>
        <v>17767.77290499994</v>
      </c>
      <c r="AR13" s="70">
        <f t="shared" si="7"/>
        <v>-0.48285488287537121</v>
      </c>
      <c r="AS13" s="68">
        <f>SUM(AS2:AS12)</f>
        <v>354</v>
      </c>
      <c r="AT13" s="71">
        <f t="shared" si="25"/>
        <v>461</v>
      </c>
      <c r="AU13" s="41">
        <f t="shared" si="26"/>
        <v>0.56425948592411257</v>
      </c>
      <c r="AV13" s="68">
        <f t="shared" ref="AV13:BB13" si="31">SUM(AV2:AV12)</f>
        <v>289</v>
      </c>
      <c r="AW13" s="71">
        <f t="shared" si="10"/>
        <v>172</v>
      </c>
      <c r="AX13" s="74">
        <f t="shared" si="11"/>
        <v>0.59515570934256057</v>
      </c>
      <c r="AY13" s="71">
        <f t="shared" si="31"/>
        <v>3221.02</v>
      </c>
      <c r="AZ13" s="71">
        <f t="shared" si="27"/>
        <v>4075.5178000000001</v>
      </c>
      <c r="BA13" s="75">
        <f t="shared" si="28"/>
        <v>0.43393502981260651</v>
      </c>
      <c r="BB13" s="71">
        <f t="shared" si="31"/>
        <v>3961.3770519999998</v>
      </c>
      <c r="BC13" s="76">
        <f t="shared" si="13"/>
        <v>114.14074800000026</v>
      </c>
      <c r="BD13" s="74">
        <f t="shared" si="14"/>
        <v>2.8813401628197309E-2</v>
      </c>
      <c r="BE13" s="71">
        <f>SUM(BE2:BE12)</f>
        <v>296</v>
      </c>
      <c r="BF13" s="71">
        <f t="shared" si="29"/>
        <v>395</v>
      </c>
      <c r="BG13" s="75">
        <f t="shared" si="30"/>
        <v>0.48347613219094249</v>
      </c>
      <c r="BH13" s="71">
        <f t="shared" ref="BH13:BM13" si="32">SUM(BH2:BH12)</f>
        <v>293</v>
      </c>
      <c r="BI13" s="74">
        <f t="shared" si="17"/>
        <v>0.34812286689419797</v>
      </c>
      <c r="BJ13" s="71">
        <f t="shared" si="32"/>
        <v>2798.6239999999998</v>
      </c>
      <c r="BK13" s="71">
        <f t="shared" si="18"/>
        <v>3668.1025999999997</v>
      </c>
      <c r="BL13" s="75">
        <f t="shared" si="19"/>
        <v>0.39055606899488926</v>
      </c>
      <c r="BM13" s="71">
        <f t="shared" si="32"/>
        <v>3908.0874409999997</v>
      </c>
      <c r="BN13" s="74">
        <f t="shared" si="20"/>
        <v>-6.1407234260498725E-2</v>
      </c>
    </row>
  </sheetData>
  <mergeCells count="1">
    <mergeCell ref="A13:C13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N47"/>
    </sheetView>
  </sheetViews>
  <sheetFormatPr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1-4月+5-6月明细</vt:lpstr>
      <vt:lpstr>上半年单月明细</vt:lpstr>
      <vt:lpstr>Sheet2</vt:lpstr>
      <vt:lpstr>Sheet1</vt:lpstr>
      <vt:lpstr>大区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cp:lastPrinted>2026-05-06T03:29:47Z</cp:lastPrinted>
  <dcterms:created xsi:type="dcterms:W3CDTF">2026-04-28T02:19:00Z</dcterms:created>
  <dcterms:modified xsi:type="dcterms:W3CDTF">2026-05-11T02:49:05Z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KSOReadingLayout">
    <vt:bool>true</vt:bool>
  </property>
  <property fmtid="{D5CDD505-2E9C-101B-9397-08002B2CF9AE}" pid="4" name="ICV">
    <vt:lpwstr>9CC682CA40C94A5387C6C752D9E9B892_13</vt:lpwstr>
  </property>
  <property fmtid="{D5CDD505-2E9C-101B-9397-08002B2CF9AE}" pid="5" name="CalculationRule">
    <vt:i4>0</vt:i4>
  </property>
</Properties>
</file>