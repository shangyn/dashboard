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7945" windowHeight="12375"/>
  </bookViews>
  <sheets>
    <sheet name="汇总" sheetId="2" r:id="rId1"/>
    <sheet name="明细" sheetId="1" r:id="rId2"/>
  </sheets>
  <externalReferences>
    <externalReference r:id="rId3"/>
    <externalReference r:id="rId4"/>
  </externalReferences>
  <definedNames>
    <definedName name="_xlnm._FilterDatabase" localSheetId="0" hidden="1">汇总!$A$4:$BF$85</definedName>
    <definedName name="_xlnm._FilterDatabase" localSheetId="1" hidden="1">明细!$A$4:$AZ$85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84" i="2" l="1"/>
  <c r="BB84" i="2"/>
  <c r="BA84" i="2"/>
  <c r="AZ84" i="2"/>
  <c r="AS84" i="2"/>
  <c r="AR84" i="2"/>
  <c r="AK84" i="2"/>
  <c r="AJ84" i="2"/>
  <c r="AC84" i="2"/>
  <c r="AB84" i="2"/>
  <c r="U84" i="2"/>
  <c r="T84" i="2"/>
  <c r="M84" i="2"/>
  <c r="L84" i="2"/>
  <c r="E84" i="2"/>
  <c r="D84" i="2"/>
  <c r="BE83" i="2"/>
  <c r="BD83" i="2"/>
  <c r="BF83" i="2" s="1"/>
  <c r="AW83" i="2"/>
  <c r="AU83" i="2"/>
  <c r="AT83" i="2"/>
  <c r="AO83" i="2"/>
  <c r="AM83" i="2"/>
  <c r="AL83" i="2"/>
  <c r="AG83" i="2"/>
  <c r="AE83" i="2"/>
  <c r="AD83" i="2"/>
  <c r="Y83" i="2"/>
  <c r="W83" i="2"/>
  <c r="V83" i="2"/>
  <c r="Q83" i="2"/>
  <c r="O83" i="2"/>
  <c r="N83" i="2"/>
  <c r="I83" i="2"/>
  <c r="G83" i="2"/>
  <c r="F83" i="2"/>
  <c r="BE82" i="2"/>
  <c r="BD82" i="2"/>
  <c r="BF82" i="2" s="1"/>
  <c r="AW82" i="2"/>
  <c r="AU82" i="2"/>
  <c r="AT82" i="2"/>
  <c r="AO82" i="2"/>
  <c r="AM82" i="2"/>
  <c r="AL82" i="2"/>
  <c r="AG82" i="2"/>
  <c r="AE82" i="2"/>
  <c r="AD82" i="2"/>
  <c r="Y82" i="2"/>
  <c r="W82" i="2"/>
  <c r="V82" i="2"/>
  <c r="Q82" i="2"/>
  <c r="O82" i="2"/>
  <c r="N82" i="2"/>
  <c r="I82" i="2"/>
  <c r="G82" i="2"/>
  <c r="F82" i="2"/>
  <c r="BE81" i="2"/>
  <c r="BD81" i="2"/>
  <c r="BF81" i="2" s="1"/>
  <c r="AW81" i="2"/>
  <c r="AU81" i="2"/>
  <c r="AT81" i="2"/>
  <c r="AO81" i="2"/>
  <c r="AM81" i="2"/>
  <c r="AL81" i="2"/>
  <c r="AG81" i="2"/>
  <c r="AE81" i="2"/>
  <c r="AD81" i="2"/>
  <c r="Y81" i="2"/>
  <c r="W81" i="2"/>
  <c r="V81" i="2"/>
  <c r="Q81" i="2"/>
  <c r="O81" i="2"/>
  <c r="N81" i="2"/>
  <c r="I81" i="2"/>
  <c r="G81" i="2"/>
  <c r="F81" i="2"/>
  <c r="BE80" i="2"/>
  <c r="BD80" i="2"/>
  <c r="BF80" i="2" s="1"/>
  <c r="AW80" i="2"/>
  <c r="AU80" i="2"/>
  <c r="AT80" i="2"/>
  <c r="AO80" i="2"/>
  <c r="AM80" i="2"/>
  <c r="AL80" i="2"/>
  <c r="AG80" i="2"/>
  <c r="AE80" i="2"/>
  <c r="AD80" i="2"/>
  <c r="Y80" i="2"/>
  <c r="W80" i="2"/>
  <c r="V80" i="2"/>
  <c r="Q80" i="2"/>
  <c r="O80" i="2"/>
  <c r="N80" i="2"/>
  <c r="I80" i="2"/>
  <c r="G80" i="2"/>
  <c r="F80" i="2"/>
  <c r="BE79" i="2"/>
  <c r="BD79" i="2"/>
  <c r="BF79" i="2" s="1"/>
  <c r="AW79" i="2"/>
  <c r="AU79" i="2"/>
  <c r="AT79" i="2"/>
  <c r="AO79" i="2"/>
  <c r="AM79" i="2"/>
  <c r="AL79" i="2"/>
  <c r="AG79" i="2"/>
  <c r="AE79" i="2"/>
  <c r="AD79" i="2"/>
  <c r="Y79" i="2"/>
  <c r="W79" i="2"/>
  <c r="V79" i="2"/>
  <c r="Q79" i="2"/>
  <c r="O79" i="2"/>
  <c r="N79" i="2"/>
  <c r="I79" i="2"/>
  <c r="G79" i="2"/>
  <c r="F79" i="2"/>
  <c r="BE78" i="2"/>
  <c r="BD78" i="2"/>
  <c r="AW78" i="2"/>
  <c r="AU78" i="2"/>
  <c r="AT78" i="2"/>
  <c r="AO78" i="2"/>
  <c r="AM78" i="2"/>
  <c r="AL78" i="2"/>
  <c r="AG78" i="2"/>
  <c r="AE78" i="2"/>
  <c r="AD78" i="2"/>
  <c r="Y78" i="2"/>
  <c r="W78" i="2"/>
  <c r="V78" i="2"/>
  <c r="Q78" i="2"/>
  <c r="O78" i="2"/>
  <c r="N78" i="2"/>
  <c r="I78" i="2"/>
  <c r="G78" i="2"/>
  <c r="F78" i="2"/>
  <c r="BC77" i="2"/>
  <c r="BB77" i="2"/>
  <c r="BA77" i="2"/>
  <c r="AZ77" i="2"/>
  <c r="AS77" i="2"/>
  <c r="AR77" i="2"/>
  <c r="AK77" i="2"/>
  <c r="AJ77" i="2"/>
  <c r="AC77" i="2"/>
  <c r="AB77" i="2"/>
  <c r="U77" i="2"/>
  <c r="T77" i="2"/>
  <c r="M77" i="2"/>
  <c r="L77" i="2"/>
  <c r="E77" i="2"/>
  <c r="D77" i="2"/>
  <c r="BE76" i="2"/>
  <c r="BD76" i="2"/>
  <c r="BF76" i="2" s="1"/>
  <c r="AW76" i="2"/>
  <c r="AU76" i="2"/>
  <c r="AT76" i="2"/>
  <c r="AO76" i="2"/>
  <c r="AM76" i="2"/>
  <c r="AL76" i="2"/>
  <c r="AG76" i="2"/>
  <c r="AE76" i="2"/>
  <c r="AD76" i="2"/>
  <c r="Y76" i="2"/>
  <c r="W76" i="2"/>
  <c r="V76" i="2"/>
  <c r="Q76" i="2"/>
  <c r="O76" i="2"/>
  <c r="N76" i="2"/>
  <c r="I76" i="2"/>
  <c r="G76" i="2"/>
  <c r="F76" i="2"/>
  <c r="BE75" i="2"/>
  <c r="BD75" i="2"/>
  <c r="BF75" i="2" s="1"/>
  <c r="AW75" i="2"/>
  <c r="AU75" i="2"/>
  <c r="AT75" i="2"/>
  <c r="AO75" i="2"/>
  <c r="AM75" i="2"/>
  <c r="AL75" i="2"/>
  <c r="AG75" i="2"/>
  <c r="AE75" i="2"/>
  <c r="AD75" i="2"/>
  <c r="Y75" i="2"/>
  <c r="W75" i="2"/>
  <c r="V75" i="2"/>
  <c r="Q75" i="2"/>
  <c r="O75" i="2"/>
  <c r="N75" i="2"/>
  <c r="I75" i="2"/>
  <c r="G75" i="2"/>
  <c r="F75" i="2"/>
  <c r="BE74" i="2"/>
  <c r="BD74" i="2"/>
  <c r="BF74" i="2" s="1"/>
  <c r="AW74" i="2"/>
  <c r="AU74" i="2"/>
  <c r="AU77" i="2" s="1"/>
  <c r="AT74" i="2"/>
  <c r="AO74" i="2"/>
  <c r="AM74" i="2"/>
  <c r="AL74" i="2"/>
  <c r="AG74" i="2"/>
  <c r="AE74" i="2"/>
  <c r="AD74" i="2"/>
  <c r="AD77" i="2" s="1"/>
  <c r="Y74" i="2"/>
  <c r="Y77" i="2" s="1"/>
  <c r="W74" i="2"/>
  <c r="V74" i="2"/>
  <c r="Q74" i="2"/>
  <c r="O74" i="2"/>
  <c r="N74" i="2"/>
  <c r="I74" i="2"/>
  <c r="G74" i="2"/>
  <c r="G77" i="2" s="1"/>
  <c r="F74" i="2"/>
  <c r="BC73" i="2"/>
  <c r="BB73" i="2"/>
  <c r="BA73" i="2"/>
  <c r="AZ73" i="2"/>
  <c r="AS73" i="2"/>
  <c r="AR73" i="2"/>
  <c r="AK73" i="2"/>
  <c r="AJ73" i="2"/>
  <c r="AC73" i="2"/>
  <c r="AB73" i="2"/>
  <c r="U73" i="2"/>
  <c r="T73" i="2"/>
  <c r="M73" i="2"/>
  <c r="L73" i="2"/>
  <c r="E73" i="2"/>
  <c r="D73" i="2"/>
  <c r="BE72" i="2"/>
  <c r="BD72" i="2"/>
  <c r="BF72" i="2" s="1"/>
  <c r="AW72" i="2"/>
  <c r="AU72" i="2"/>
  <c r="AT72" i="2"/>
  <c r="AO72" i="2"/>
  <c r="AM72" i="2"/>
  <c r="AL72" i="2"/>
  <c r="AG72" i="2"/>
  <c r="AE72" i="2"/>
  <c r="AD72" i="2"/>
  <c r="Y72" i="2"/>
  <c r="W72" i="2"/>
  <c r="V72" i="2"/>
  <c r="Q72" i="2"/>
  <c r="O72" i="2"/>
  <c r="N72" i="2"/>
  <c r="I72" i="2"/>
  <c r="G72" i="2"/>
  <c r="F72" i="2"/>
  <c r="BE71" i="2"/>
  <c r="BD71" i="2"/>
  <c r="BF71" i="2" s="1"/>
  <c r="AW71" i="2"/>
  <c r="AU71" i="2"/>
  <c r="AT71" i="2"/>
  <c r="AO71" i="2"/>
  <c r="AM71" i="2"/>
  <c r="AL71" i="2"/>
  <c r="AG71" i="2"/>
  <c r="AE71" i="2"/>
  <c r="AD71" i="2"/>
  <c r="Y71" i="2"/>
  <c r="W71" i="2"/>
  <c r="V71" i="2"/>
  <c r="Q71" i="2"/>
  <c r="O71" i="2"/>
  <c r="N71" i="2"/>
  <c r="I71" i="2"/>
  <c r="G71" i="2"/>
  <c r="F71" i="2"/>
  <c r="BE70" i="2"/>
  <c r="BD70" i="2"/>
  <c r="BF70" i="2" s="1"/>
  <c r="AW70" i="2"/>
  <c r="AU70" i="2"/>
  <c r="AT70" i="2"/>
  <c r="AO70" i="2"/>
  <c r="AM70" i="2"/>
  <c r="AL70" i="2"/>
  <c r="AG70" i="2"/>
  <c r="AE70" i="2"/>
  <c r="AD70" i="2"/>
  <c r="Y70" i="2"/>
  <c r="W70" i="2"/>
  <c r="V70" i="2"/>
  <c r="Q70" i="2"/>
  <c r="O70" i="2"/>
  <c r="N70" i="2"/>
  <c r="I70" i="2"/>
  <c r="G70" i="2"/>
  <c r="F70" i="2"/>
  <c r="BE69" i="2"/>
  <c r="BD69" i="2"/>
  <c r="BF69" i="2" s="1"/>
  <c r="AW69" i="2"/>
  <c r="AU69" i="2"/>
  <c r="AT69" i="2"/>
  <c r="AO69" i="2"/>
  <c r="AM69" i="2"/>
  <c r="AL69" i="2"/>
  <c r="AG69" i="2"/>
  <c r="AE69" i="2"/>
  <c r="AD69" i="2"/>
  <c r="Y69" i="2"/>
  <c r="W69" i="2"/>
  <c r="V69" i="2"/>
  <c r="Q69" i="2"/>
  <c r="O69" i="2"/>
  <c r="N69" i="2"/>
  <c r="I69" i="2"/>
  <c r="G69" i="2"/>
  <c r="F69" i="2"/>
  <c r="BE68" i="2"/>
  <c r="BD68" i="2"/>
  <c r="BF68" i="2" s="1"/>
  <c r="AW68" i="2"/>
  <c r="AU68" i="2"/>
  <c r="AT68" i="2"/>
  <c r="AO68" i="2"/>
  <c r="AM68" i="2"/>
  <c r="AL68" i="2"/>
  <c r="AG68" i="2"/>
  <c r="AE68" i="2"/>
  <c r="AD68" i="2"/>
  <c r="Y68" i="2"/>
  <c r="W68" i="2"/>
  <c r="V68" i="2"/>
  <c r="Q68" i="2"/>
  <c r="O68" i="2"/>
  <c r="N68" i="2"/>
  <c r="I68" i="2"/>
  <c r="G68" i="2"/>
  <c r="F68" i="2"/>
  <c r="BE67" i="2"/>
  <c r="BD67" i="2"/>
  <c r="AW67" i="2"/>
  <c r="AU67" i="2"/>
  <c r="AT67" i="2"/>
  <c r="AO67" i="2"/>
  <c r="AM67" i="2"/>
  <c r="AL67" i="2"/>
  <c r="AG67" i="2"/>
  <c r="AE67" i="2"/>
  <c r="AD67" i="2"/>
  <c r="Y67" i="2"/>
  <c r="W67" i="2"/>
  <c r="V67" i="2"/>
  <c r="Q67" i="2"/>
  <c r="O67" i="2"/>
  <c r="N67" i="2"/>
  <c r="I67" i="2"/>
  <c r="G67" i="2"/>
  <c r="F67" i="2"/>
  <c r="BC66" i="2"/>
  <c r="BB66" i="2"/>
  <c r="BA66" i="2"/>
  <c r="AZ66" i="2"/>
  <c r="AS66" i="2"/>
  <c r="AR66" i="2"/>
  <c r="AK66" i="2"/>
  <c r="AJ66" i="2"/>
  <c r="AC66" i="2"/>
  <c r="AB66" i="2"/>
  <c r="U66" i="2"/>
  <c r="T66" i="2"/>
  <c r="M66" i="2"/>
  <c r="L66" i="2"/>
  <c r="E66" i="2"/>
  <c r="D66" i="2"/>
  <c r="BE65" i="2"/>
  <c r="BD65" i="2"/>
  <c r="BF65" i="2" s="1"/>
  <c r="AW65" i="2"/>
  <c r="AU65" i="2"/>
  <c r="AT65" i="2"/>
  <c r="AO65" i="2"/>
  <c r="AM65" i="2"/>
  <c r="AL65" i="2"/>
  <c r="AG65" i="2"/>
  <c r="AE65" i="2"/>
  <c r="AD65" i="2"/>
  <c r="Y65" i="2"/>
  <c r="W65" i="2"/>
  <c r="V65" i="2"/>
  <c r="Q65" i="2"/>
  <c r="O65" i="2"/>
  <c r="N65" i="2"/>
  <c r="I65" i="2"/>
  <c r="G65" i="2"/>
  <c r="F65" i="2"/>
  <c r="BE64" i="2"/>
  <c r="BD64" i="2"/>
  <c r="BF64" i="2" s="1"/>
  <c r="AW64" i="2"/>
  <c r="AU64" i="2"/>
  <c r="AT64" i="2"/>
  <c r="AO64" i="2"/>
  <c r="AM64" i="2"/>
  <c r="AL64" i="2"/>
  <c r="AG64" i="2"/>
  <c r="AE64" i="2"/>
  <c r="AD64" i="2"/>
  <c r="Y64" i="2"/>
  <c r="W64" i="2"/>
  <c r="V64" i="2"/>
  <c r="Q64" i="2"/>
  <c r="O64" i="2"/>
  <c r="N64" i="2"/>
  <c r="I64" i="2"/>
  <c r="G64" i="2"/>
  <c r="F64" i="2"/>
  <c r="BE63" i="2"/>
  <c r="BD63" i="2"/>
  <c r="BF63" i="2" s="1"/>
  <c r="AW63" i="2"/>
  <c r="AU63" i="2"/>
  <c r="AT63" i="2"/>
  <c r="AO63" i="2"/>
  <c r="AM63" i="2"/>
  <c r="AL63" i="2"/>
  <c r="AG63" i="2"/>
  <c r="AE63" i="2"/>
  <c r="AD63" i="2"/>
  <c r="Y63" i="2"/>
  <c r="W63" i="2"/>
  <c r="V63" i="2"/>
  <c r="Q63" i="2"/>
  <c r="O63" i="2"/>
  <c r="N63" i="2"/>
  <c r="I63" i="2"/>
  <c r="G63" i="2"/>
  <c r="F63" i="2"/>
  <c r="BE62" i="2"/>
  <c r="BD62" i="2"/>
  <c r="BF62" i="2" s="1"/>
  <c r="AW62" i="2"/>
  <c r="AU62" i="2"/>
  <c r="AT62" i="2"/>
  <c r="AO62" i="2"/>
  <c r="AM62" i="2"/>
  <c r="AL62" i="2"/>
  <c r="AG62" i="2"/>
  <c r="AE62" i="2"/>
  <c r="AD62" i="2"/>
  <c r="Y62" i="2"/>
  <c r="W62" i="2"/>
  <c r="V62" i="2"/>
  <c r="Q62" i="2"/>
  <c r="O62" i="2"/>
  <c r="N62" i="2"/>
  <c r="I62" i="2"/>
  <c r="G62" i="2"/>
  <c r="F62" i="2"/>
  <c r="BE61" i="2"/>
  <c r="BD61" i="2"/>
  <c r="BF61" i="2" s="1"/>
  <c r="AW61" i="2"/>
  <c r="AU61" i="2"/>
  <c r="AT61" i="2"/>
  <c r="AO61" i="2"/>
  <c r="AM61" i="2"/>
  <c r="AL61" i="2"/>
  <c r="AG61" i="2"/>
  <c r="AE61" i="2"/>
  <c r="AD61" i="2"/>
  <c r="AF61" i="2" s="1"/>
  <c r="AI61" i="2" s="1"/>
  <c r="Y61" i="2"/>
  <c r="W61" i="2"/>
  <c r="V61" i="2"/>
  <c r="Q61" i="2"/>
  <c r="O61" i="2"/>
  <c r="N61" i="2"/>
  <c r="I61" i="2"/>
  <c r="G61" i="2"/>
  <c r="F61" i="2"/>
  <c r="BE60" i="2"/>
  <c r="BD60" i="2"/>
  <c r="BF60" i="2" s="1"/>
  <c r="AW60" i="2"/>
  <c r="AU60" i="2"/>
  <c r="AT60" i="2"/>
  <c r="AO60" i="2"/>
  <c r="AM60" i="2"/>
  <c r="AL60" i="2"/>
  <c r="AG60" i="2"/>
  <c r="AE60" i="2"/>
  <c r="AD60" i="2"/>
  <c r="Y60" i="2"/>
  <c r="W60" i="2"/>
  <c r="V60" i="2"/>
  <c r="Q60" i="2"/>
  <c r="O60" i="2"/>
  <c r="N60" i="2"/>
  <c r="I60" i="2"/>
  <c r="G60" i="2"/>
  <c r="F60" i="2"/>
  <c r="BE59" i="2"/>
  <c r="BD59" i="2"/>
  <c r="BF59" i="2" s="1"/>
  <c r="AW59" i="2"/>
  <c r="AU59" i="2"/>
  <c r="AT59" i="2"/>
  <c r="AO59" i="2"/>
  <c r="AM59" i="2"/>
  <c r="AL59" i="2"/>
  <c r="AG59" i="2"/>
  <c r="AE59" i="2"/>
  <c r="AD59" i="2"/>
  <c r="Y59" i="2"/>
  <c r="W59" i="2"/>
  <c r="V59" i="2"/>
  <c r="Q59" i="2"/>
  <c r="O59" i="2"/>
  <c r="N59" i="2"/>
  <c r="I59" i="2"/>
  <c r="G59" i="2"/>
  <c r="F59" i="2"/>
  <c r="BE58" i="2"/>
  <c r="BD58" i="2"/>
  <c r="BF58" i="2" s="1"/>
  <c r="AW58" i="2"/>
  <c r="AV58" i="2"/>
  <c r="AY58" i="2" s="1"/>
  <c r="AO58" i="2"/>
  <c r="AN58" i="2"/>
  <c r="AG58" i="2"/>
  <c r="AD58" i="2"/>
  <c r="AF58" i="2" s="1"/>
  <c r="AI58" i="2" s="1"/>
  <c r="Y58" i="2"/>
  <c r="V58" i="2"/>
  <c r="Q58" i="2"/>
  <c r="N58" i="2"/>
  <c r="P58" i="2" s="1"/>
  <c r="S58" i="2" s="1"/>
  <c r="I58" i="2"/>
  <c r="F58" i="2"/>
  <c r="BE57" i="2"/>
  <c r="BD57" i="2"/>
  <c r="BF57" i="2" s="1"/>
  <c r="AW57" i="2"/>
  <c r="AV57" i="2"/>
  <c r="AY57" i="2" s="1"/>
  <c r="AO57" i="2"/>
  <c r="AN57" i="2"/>
  <c r="AQ57" i="2" s="1"/>
  <c r="AG57" i="2"/>
  <c r="AD57" i="2"/>
  <c r="Y57" i="2"/>
  <c r="V57" i="2"/>
  <c r="X57" i="2" s="1"/>
  <c r="AA57" i="2" s="1"/>
  <c r="Q57" i="2"/>
  <c r="N57" i="2"/>
  <c r="P57" i="2" s="1"/>
  <c r="I57" i="2"/>
  <c r="F57" i="2"/>
  <c r="H57" i="2" s="1"/>
  <c r="BC56" i="2"/>
  <c r="BB56" i="2"/>
  <c r="BA56" i="2"/>
  <c r="AZ56" i="2"/>
  <c r="AS56" i="2"/>
  <c r="AR56" i="2"/>
  <c r="AK56" i="2"/>
  <c r="AJ56" i="2"/>
  <c r="AC56" i="2"/>
  <c r="AB56" i="2"/>
  <c r="U56" i="2"/>
  <c r="T56" i="2"/>
  <c r="M56" i="2"/>
  <c r="L56" i="2"/>
  <c r="E56" i="2"/>
  <c r="D56" i="2"/>
  <c r="BE55" i="2"/>
  <c r="BD55" i="2"/>
  <c r="BF55" i="2" s="1"/>
  <c r="AW55" i="2"/>
  <c r="AU55" i="2"/>
  <c r="AT55" i="2"/>
  <c r="AO55" i="2"/>
  <c r="AM55" i="2"/>
  <c r="AL55" i="2"/>
  <c r="AG55" i="2"/>
  <c r="AE55" i="2"/>
  <c r="AD55" i="2"/>
  <c r="Y55" i="2"/>
  <c r="W55" i="2"/>
  <c r="V55" i="2"/>
  <c r="Q55" i="2"/>
  <c r="O55" i="2"/>
  <c r="N55" i="2"/>
  <c r="I55" i="2"/>
  <c r="G55" i="2"/>
  <c r="F55" i="2"/>
  <c r="BE54" i="2"/>
  <c r="BD54" i="2"/>
  <c r="BF54" i="2" s="1"/>
  <c r="AW54" i="2"/>
  <c r="AU54" i="2"/>
  <c r="AT54" i="2"/>
  <c r="AO54" i="2"/>
  <c r="AM54" i="2"/>
  <c r="AL54" i="2"/>
  <c r="AG54" i="2"/>
  <c r="AE54" i="2"/>
  <c r="AD54" i="2"/>
  <c r="Y54" i="2"/>
  <c r="W54" i="2"/>
  <c r="V54" i="2"/>
  <c r="Q54" i="2"/>
  <c r="O54" i="2"/>
  <c r="N54" i="2"/>
  <c r="I54" i="2"/>
  <c r="G54" i="2"/>
  <c r="F54" i="2"/>
  <c r="BE53" i="2"/>
  <c r="BD53" i="2"/>
  <c r="BF53" i="2" s="1"/>
  <c r="AW53" i="2"/>
  <c r="AU53" i="2"/>
  <c r="AT53" i="2"/>
  <c r="AO53" i="2"/>
  <c r="AM53" i="2"/>
  <c r="AL53" i="2"/>
  <c r="AG53" i="2"/>
  <c r="AE53" i="2"/>
  <c r="AD53" i="2"/>
  <c r="Y53" i="2"/>
  <c r="W53" i="2"/>
  <c r="V53" i="2"/>
  <c r="Q53" i="2"/>
  <c r="O53" i="2"/>
  <c r="N53" i="2"/>
  <c r="I53" i="2"/>
  <c r="G53" i="2"/>
  <c r="F53" i="2"/>
  <c r="BE52" i="2"/>
  <c r="BD52" i="2"/>
  <c r="BF52" i="2" s="1"/>
  <c r="AW52" i="2"/>
  <c r="AU52" i="2"/>
  <c r="AT52" i="2"/>
  <c r="AO52" i="2"/>
  <c r="AM52" i="2"/>
  <c r="AL52" i="2"/>
  <c r="AG52" i="2"/>
  <c r="AE52" i="2"/>
  <c r="AD52" i="2"/>
  <c r="Y52" i="2"/>
  <c r="W52" i="2"/>
  <c r="V52" i="2"/>
  <c r="Q52" i="2"/>
  <c r="O52" i="2"/>
  <c r="N52" i="2"/>
  <c r="I52" i="2"/>
  <c r="G52" i="2"/>
  <c r="F52" i="2"/>
  <c r="BE51" i="2"/>
  <c r="BD51" i="2"/>
  <c r="BF51" i="2" s="1"/>
  <c r="AW51" i="2"/>
  <c r="AU51" i="2"/>
  <c r="AT51" i="2"/>
  <c r="AO51" i="2"/>
  <c r="AM51" i="2"/>
  <c r="AL51" i="2"/>
  <c r="AG51" i="2"/>
  <c r="AE51" i="2"/>
  <c r="AD51" i="2"/>
  <c r="Y51" i="2"/>
  <c r="W51" i="2"/>
  <c r="V51" i="2"/>
  <c r="Q51" i="2"/>
  <c r="O51" i="2"/>
  <c r="N51" i="2"/>
  <c r="I51" i="2"/>
  <c r="G51" i="2"/>
  <c r="F51" i="2"/>
  <c r="BE50" i="2"/>
  <c r="BD50" i="2"/>
  <c r="BF50" i="2" s="1"/>
  <c r="AW50" i="2"/>
  <c r="AU50" i="2"/>
  <c r="AT50" i="2"/>
  <c r="AO50" i="2"/>
  <c r="AM50" i="2"/>
  <c r="AL50" i="2"/>
  <c r="AG50" i="2"/>
  <c r="AE50" i="2"/>
  <c r="AD50" i="2"/>
  <c r="Y50" i="2"/>
  <c r="W50" i="2"/>
  <c r="V50" i="2"/>
  <c r="Q50" i="2"/>
  <c r="O50" i="2"/>
  <c r="N50" i="2"/>
  <c r="I50" i="2"/>
  <c r="G50" i="2"/>
  <c r="F50" i="2"/>
  <c r="BE49" i="2"/>
  <c r="BD49" i="2"/>
  <c r="BF49" i="2" s="1"/>
  <c r="AW49" i="2"/>
  <c r="AU49" i="2"/>
  <c r="AT49" i="2"/>
  <c r="AO49" i="2"/>
  <c r="AM49" i="2"/>
  <c r="AL49" i="2"/>
  <c r="AG49" i="2"/>
  <c r="AE49" i="2"/>
  <c r="AD49" i="2"/>
  <c r="Y49" i="2"/>
  <c r="W49" i="2"/>
  <c r="V49" i="2"/>
  <c r="Q49" i="2"/>
  <c r="O49" i="2"/>
  <c r="N49" i="2"/>
  <c r="I49" i="2"/>
  <c r="G49" i="2"/>
  <c r="F49" i="2"/>
  <c r="BE48" i="2"/>
  <c r="BD48" i="2"/>
  <c r="BF48" i="2" s="1"/>
  <c r="AW48" i="2"/>
  <c r="AU48" i="2"/>
  <c r="AT48" i="2"/>
  <c r="AO48" i="2"/>
  <c r="AM48" i="2"/>
  <c r="AL48" i="2"/>
  <c r="AG48" i="2"/>
  <c r="AE48" i="2"/>
  <c r="AD48" i="2"/>
  <c r="Y48" i="2"/>
  <c r="W48" i="2"/>
  <c r="V48" i="2"/>
  <c r="Q48" i="2"/>
  <c r="O48" i="2"/>
  <c r="N48" i="2"/>
  <c r="I48" i="2"/>
  <c r="G48" i="2"/>
  <c r="F48" i="2"/>
  <c r="BC47" i="2"/>
  <c r="BB47" i="2"/>
  <c r="BA47" i="2"/>
  <c r="AZ47" i="2"/>
  <c r="AS47" i="2"/>
  <c r="AR47" i="2"/>
  <c r="AK47" i="2"/>
  <c r="AJ47" i="2"/>
  <c r="AC47" i="2"/>
  <c r="AB47" i="2"/>
  <c r="U47" i="2"/>
  <c r="T47" i="2"/>
  <c r="M47" i="2"/>
  <c r="L47" i="2"/>
  <c r="E47" i="2"/>
  <c r="D47" i="2"/>
  <c r="BE46" i="2"/>
  <c r="BD46" i="2"/>
  <c r="BF46" i="2" s="1"/>
  <c r="AW46" i="2"/>
  <c r="AU46" i="2"/>
  <c r="AT46" i="2"/>
  <c r="AO46" i="2"/>
  <c r="AM46" i="2"/>
  <c r="AL46" i="2"/>
  <c r="AG46" i="2"/>
  <c r="AE46" i="2"/>
  <c r="AD46" i="2"/>
  <c r="Y46" i="2"/>
  <c r="W46" i="2"/>
  <c r="V46" i="2"/>
  <c r="Q46" i="2"/>
  <c r="O46" i="2"/>
  <c r="N46" i="2"/>
  <c r="I46" i="2"/>
  <c r="G46" i="2"/>
  <c r="F46" i="2"/>
  <c r="BE45" i="2"/>
  <c r="BD45" i="2"/>
  <c r="BF45" i="2" s="1"/>
  <c r="AW45" i="2"/>
  <c r="AU45" i="2"/>
  <c r="AT45" i="2"/>
  <c r="AO45" i="2"/>
  <c r="AM45" i="2"/>
  <c r="AL45" i="2"/>
  <c r="AG45" i="2"/>
  <c r="AE45" i="2"/>
  <c r="AD45" i="2"/>
  <c r="Y45" i="2"/>
  <c r="W45" i="2"/>
  <c r="V45" i="2"/>
  <c r="Q45" i="2"/>
  <c r="O45" i="2"/>
  <c r="N45" i="2"/>
  <c r="I45" i="2"/>
  <c r="G45" i="2"/>
  <c r="F45" i="2"/>
  <c r="BE44" i="2"/>
  <c r="BD44" i="2"/>
  <c r="BF44" i="2" s="1"/>
  <c r="AW44" i="2"/>
  <c r="AU44" i="2"/>
  <c r="AT44" i="2"/>
  <c r="AO44" i="2"/>
  <c r="AM44" i="2"/>
  <c r="AL44" i="2"/>
  <c r="AG44" i="2"/>
  <c r="AE44" i="2"/>
  <c r="AD44" i="2"/>
  <c r="Y44" i="2"/>
  <c r="W44" i="2"/>
  <c r="V44" i="2"/>
  <c r="Q44" i="2"/>
  <c r="O44" i="2"/>
  <c r="N44" i="2"/>
  <c r="I44" i="2"/>
  <c r="G44" i="2"/>
  <c r="F44" i="2"/>
  <c r="BE43" i="2"/>
  <c r="BD43" i="2"/>
  <c r="BF43" i="2" s="1"/>
  <c r="AW43" i="2"/>
  <c r="AU43" i="2"/>
  <c r="AT43" i="2"/>
  <c r="AO43" i="2"/>
  <c r="AM43" i="2"/>
  <c r="AL43" i="2"/>
  <c r="AG43" i="2"/>
  <c r="AE43" i="2"/>
  <c r="AD43" i="2"/>
  <c r="Y43" i="2"/>
  <c r="W43" i="2"/>
  <c r="V43" i="2"/>
  <c r="Q43" i="2"/>
  <c r="O43" i="2"/>
  <c r="N43" i="2"/>
  <c r="I43" i="2"/>
  <c r="G43" i="2"/>
  <c r="F43" i="2"/>
  <c r="BE42" i="2"/>
  <c r="BD42" i="2"/>
  <c r="BF42" i="2" s="1"/>
  <c r="AW42" i="2"/>
  <c r="AU42" i="2"/>
  <c r="AT42" i="2"/>
  <c r="AO42" i="2"/>
  <c r="AM42" i="2"/>
  <c r="AL42" i="2"/>
  <c r="AG42" i="2"/>
  <c r="AE42" i="2"/>
  <c r="AD42" i="2"/>
  <c r="Y42" i="2"/>
  <c r="W42" i="2"/>
  <c r="V42" i="2"/>
  <c r="Q42" i="2"/>
  <c r="O42" i="2"/>
  <c r="N42" i="2"/>
  <c r="I42" i="2"/>
  <c r="G42" i="2"/>
  <c r="F42" i="2"/>
  <c r="BE41" i="2"/>
  <c r="BD41" i="2"/>
  <c r="BF41" i="2" s="1"/>
  <c r="AW41" i="2"/>
  <c r="AU41" i="2"/>
  <c r="AT41" i="2"/>
  <c r="AO41" i="2"/>
  <c r="AM41" i="2"/>
  <c r="AL41" i="2"/>
  <c r="AG41" i="2"/>
  <c r="AE41" i="2"/>
  <c r="AD41" i="2"/>
  <c r="Y41" i="2"/>
  <c r="W41" i="2"/>
  <c r="V41" i="2"/>
  <c r="Q41" i="2"/>
  <c r="O41" i="2"/>
  <c r="N41" i="2"/>
  <c r="I41" i="2"/>
  <c r="G41" i="2"/>
  <c r="F41" i="2"/>
  <c r="BE40" i="2"/>
  <c r="BD40" i="2"/>
  <c r="BF40" i="2" s="1"/>
  <c r="AW40" i="2"/>
  <c r="AU40" i="2"/>
  <c r="AT40" i="2"/>
  <c r="AO40" i="2"/>
  <c r="AM40" i="2"/>
  <c r="AL40" i="2"/>
  <c r="AG40" i="2"/>
  <c r="AE40" i="2"/>
  <c r="AD40" i="2"/>
  <c r="Y40" i="2"/>
  <c r="W40" i="2"/>
  <c r="V40" i="2"/>
  <c r="Q40" i="2"/>
  <c r="O40" i="2"/>
  <c r="N40" i="2"/>
  <c r="I40" i="2"/>
  <c r="G40" i="2"/>
  <c r="F40" i="2"/>
  <c r="BE39" i="2"/>
  <c r="BD39" i="2"/>
  <c r="BF39" i="2" s="1"/>
  <c r="AW39" i="2"/>
  <c r="AU39" i="2"/>
  <c r="AT39" i="2"/>
  <c r="AO39" i="2"/>
  <c r="AM39" i="2"/>
  <c r="AL39" i="2"/>
  <c r="AG39" i="2"/>
  <c r="AE39" i="2"/>
  <c r="AD39" i="2"/>
  <c r="Y39" i="2"/>
  <c r="W39" i="2"/>
  <c r="V39" i="2"/>
  <c r="Q39" i="2"/>
  <c r="O39" i="2"/>
  <c r="N39" i="2"/>
  <c r="I39" i="2"/>
  <c r="G39" i="2"/>
  <c r="F39" i="2"/>
  <c r="BE38" i="2"/>
  <c r="BD38" i="2"/>
  <c r="BF38" i="2" s="1"/>
  <c r="AW38" i="2"/>
  <c r="AU38" i="2"/>
  <c r="AT38" i="2"/>
  <c r="AO38" i="2"/>
  <c r="AM38" i="2"/>
  <c r="AL38" i="2"/>
  <c r="AG38" i="2"/>
  <c r="AE38" i="2"/>
  <c r="AD38" i="2"/>
  <c r="Y38" i="2"/>
  <c r="W38" i="2"/>
  <c r="V38" i="2"/>
  <c r="Q38" i="2"/>
  <c r="O38" i="2"/>
  <c r="N38" i="2"/>
  <c r="I38" i="2"/>
  <c r="G38" i="2"/>
  <c r="F38" i="2"/>
  <c r="BC37" i="2"/>
  <c r="BB37" i="2"/>
  <c r="BA37" i="2"/>
  <c r="AZ37" i="2"/>
  <c r="AS37" i="2"/>
  <c r="AR37" i="2"/>
  <c r="AK37" i="2"/>
  <c r="AJ37" i="2"/>
  <c r="AC37" i="2"/>
  <c r="AB37" i="2"/>
  <c r="U37" i="2"/>
  <c r="T37" i="2"/>
  <c r="M37" i="2"/>
  <c r="L37" i="2"/>
  <c r="E37" i="2"/>
  <c r="D37" i="2"/>
  <c r="BE36" i="2"/>
  <c r="BD36" i="2"/>
  <c r="BF36" i="2" s="1"/>
  <c r="AW36" i="2"/>
  <c r="AU36" i="2"/>
  <c r="AT36" i="2"/>
  <c r="AO36" i="2"/>
  <c r="AM36" i="2"/>
  <c r="AL36" i="2"/>
  <c r="AG36" i="2"/>
  <c r="AE36" i="2"/>
  <c r="AD36" i="2"/>
  <c r="Y36" i="2"/>
  <c r="W36" i="2"/>
  <c r="V36" i="2"/>
  <c r="Q36" i="2"/>
  <c r="O36" i="2"/>
  <c r="N36" i="2"/>
  <c r="I36" i="2"/>
  <c r="G36" i="2"/>
  <c r="F36" i="2"/>
  <c r="BE35" i="2"/>
  <c r="BD35" i="2"/>
  <c r="BF35" i="2" s="1"/>
  <c r="AW35" i="2"/>
  <c r="AU35" i="2"/>
  <c r="AT35" i="2"/>
  <c r="AO35" i="2"/>
  <c r="AM35" i="2"/>
  <c r="AL35" i="2"/>
  <c r="AG35" i="2"/>
  <c r="AE35" i="2"/>
  <c r="AD35" i="2"/>
  <c r="Y35" i="2"/>
  <c r="W35" i="2"/>
  <c r="V35" i="2"/>
  <c r="Q35" i="2"/>
  <c r="O35" i="2"/>
  <c r="N35" i="2"/>
  <c r="I35" i="2"/>
  <c r="G35" i="2"/>
  <c r="F35" i="2"/>
  <c r="BE34" i="2"/>
  <c r="BD34" i="2"/>
  <c r="BF34" i="2" s="1"/>
  <c r="AW34" i="2"/>
  <c r="AU34" i="2"/>
  <c r="AT34" i="2"/>
  <c r="AO34" i="2"/>
  <c r="AM34" i="2"/>
  <c r="AL34" i="2"/>
  <c r="AG34" i="2"/>
  <c r="AE34" i="2"/>
  <c r="AD34" i="2"/>
  <c r="Y34" i="2"/>
  <c r="W34" i="2"/>
  <c r="V34" i="2"/>
  <c r="Q34" i="2"/>
  <c r="O34" i="2"/>
  <c r="N34" i="2"/>
  <c r="I34" i="2"/>
  <c r="G34" i="2"/>
  <c r="F34" i="2"/>
  <c r="BE33" i="2"/>
  <c r="BD33" i="2"/>
  <c r="BF33" i="2" s="1"/>
  <c r="AW33" i="2"/>
  <c r="AU33" i="2"/>
  <c r="AT33" i="2"/>
  <c r="AO33" i="2"/>
  <c r="AM33" i="2"/>
  <c r="AL33" i="2"/>
  <c r="AG33" i="2"/>
  <c r="AE33" i="2"/>
  <c r="AD33" i="2"/>
  <c r="Y33" i="2"/>
  <c r="W33" i="2"/>
  <c r="V33" i="2"/>
  <c r="Q33" i="2"/>
  <c r="O33" i="2"/>
  <c r="N33" i="2"/>
  <c r="I33" i="2"/>
  <c r="G33" i="2"/>
  <c r="F33" i="2"/>
  <c r="BE32" i="2"/>
  <c r="BD32" i="2"/>
  <c r="BF32" i="2" s="1"/>
  <c r="AW32" i="2"/>
  <c r="AU32" i="2"/>
  <c r="AT32" i="2"/>
  <c r="AO32" i="2"/>
  <c r="AM32" i="2"/>
  <c r="AL32" i="2"/>
  <c r="AG32" i="2"/>
  <c r="AE32" i="2"/>
  <c r="AD32" i="2"/>
  <c r="Y32" i="2"/>
  <c r="W32" i="2"/>
  <c r="V32" i="2"/>
  <c r="Q32" i="2"/>
  <c r="O32" i="2"/>
  <c r="N32" i="2"/>
  <c r="I32" i="2"/>
  <c r="G32" i="2"/>
  <c r="F32" i="2"/>
  <c r="BE31" i="2"/>
  <c r="BD31" i="2"/>
  <c r="BF31" i="2" s="1"/>
  <c r="AW31" i="2"/>
  <c r="AU31" i="2"/>
  <c r="AT31" i="2"/>
  <c r="AO31" i="2"/>
  <c r="AM31" i="2"/>
  <c r="AL31" i="2"/>
  <c r="AG31" i="2"/>
  <c r="AE31" i="2"/>
  <c r="AD31" i="2"/>
  <c r="Y31" i="2"/>
  <c r="W31" i="2"/>
  <c r="V31" i="2"/>
  <c r="Q31" i="2"/>
  <c r="O31" i="2"/>
  <c r="N31" i="2"/>
  <c r="I31" i="2"/>
  <c r="G31" i="2"/>
  <c r="F31" i="2"/>
  <c r="BE30" i="2"/>
  <c r="BD30" i="2"/>
  <c r="BF30" i="2" s="1"/>
  <c r="AW30" i="2"/>
  <c r="AU30" i="2"/>
  <c r="AT30" i="2"/>
  <c r="AO30" i="2"/>
  <c r="AM30" i="2"/>
  <c r="AL30" i="2"/>
  <c r="AG30" i="2"/>
  <c r="AE30" i="2"/>
  <c r="AD30" i="2"/>
  <c r="Y30" i="2"/>
  <c r="W30" i="2"/>
  <c r="V30" i="2"/>
  <c r="Q30" i="2"/>
  <c r="O30" i="2"/>
  <c r="N30" i="2"/>
  <c r="I30" i="2"/>
  <c r="G30" i="2"/>
  <c r="F30" i="2"/>
  <c r="BE29" i="2"/>
  <c r="BD29" i="2"/>
  <c r="BF29" i="2" s="1"/>
  <c r="AW29" i="2"/>
  <c r="AU29" i="2"/>
  <c r="AT29" i="2"/>
  <c r="AO29" i="2"/>
  <c r="AM29" i="2"/>
  <c r="AL29" i="2"/>
  <c r="AG29" i="2"/>
  <c r="AE29" i="2"/>
  <c r="AD29" i="2"/>
  <c r="Y29" i="2"/>
  <c r="W29" i="2"/>
  <c r="V29" i="2"/>
  <c r="Q29" i="2"/>
  <c r="O29" i="2"/>
  <c r="N29" i="2"/>
  <c r="I29" i="2"/>
  <c r="G29" i="2"/>
  <c r="F29" i="2"/>
  <c r="BE28" i="2"/>
  <c r="BD28" i="2"/>
  <c r="BF28" i="2" s="1"/>
  <c r="AW28" i="2"/>
  <c r="AU28" i="2"/>
  <c r="AT28" i="2"/>
  <c r="AO28" i="2"/>
  <c r="AM28" i="2"/>
  <c r="AL28" i="2"/>
  <c r="AG28" i="2"/>
  <c r="AE28" i="2"/>
  <c r="AD28" i="2"/>
  <c r="Y28" i="2"/>
  <c r="W28" i="2"/>
  <c r="V28" i="2"/>
  <c r="Q28" i="2"/>
  <c r="O28" i="2"/>
  <c r="N28" i="2"/>
  <c r="I28" i="2"/>
  <c r="G28" i="2"/>
  <c r="F28" i="2"/>
  <c r="BE27" i="2"/>
  <c r="BD27" i="2"/>
  <c r="BF27" i="2" s="1"/>
  <c r="AW27" i="2"/>
  <c r="AU27" i="2"/>
  <c r="AT27" i="2"/>
  <c r="AO27" i="2"/>
  <c r="AM27" i="2"/>
  <c r="AL27" i="2"/>
  <c r="AG27" i="2"/>
  <c r="AE27" i="2"/>
  <c r="AD27" i="2"/>
  <c r="Y27" i="2"/>
  <c r="W27" i="2"/>
  <c r="V27" i="2"/>
  <c r="Q27" i="2"/>
  <c r="O27" i="2"/>
  <c r="N27" i="2"/>
  <c r="I27" i="2"/>
  <c r="G27" i="2"/>
  <c r="F27" i="2"/>
  <c r="BE26" i="2"/>
  <c r="BD26" i="2"/>
  <c r="BF26" i="2" s="1"/>
  <c r="AW26" i="2"/>
  <c r="AU26" i="2"/>
  <c r="AT26" i="2"/>
  <c r="AO26" i="2"/>
  <c r="AM26" i="2"/>
  <c r="AL26" i="2"/>
  <c r="AG26" i="2"/>
  <c r="AE26" i="2"/>
  <c r="AD26" i="2"/>
  <c r="AF26" i="2" s="1"/>
  <c r="Y26" i="2"/>
  <c r="W26" i="2"/>
  <c r="V26" i="2"/>
  <c r="Q26" i="2"/>
  <c r="O26" i="2"/>
  <c r="N26" i="2"/>
  <c r="I26" i="2"/>
  <c r="G26" i="2"/>
  <c r="F26" i="2"/>
  <c r="BC25" i="2"/>
  <c r="BB25" i="2"/>
  <c r="BA25" i="2"/>
  <c r="AZ25" i="2"/>
  <c r="AS25" i="2"/>
  <c r="AR25" i="2"/>
  <c r="AK25" i="2"/>
  <c r="AJ25" i="2"/>
  <c r="AC25" i="2"/>
  <c r="AB25" i="2"/>
  <c r="U25" i="2"/>
  <c r="T25" i="2"/>
  <c r="M25" i="2"/>
  <c r="L25" i="2"/>
  <c r="E25" i="2"/>
  <c r="D25" i="2"/>
  <c r="BE24" i="2"/>
  <c r="BD24" i="2"/>
  <c r="BF24" i="2" s="1"/>
  <c r="AW24" i="2"/>
  <c r="AU24" i="2"/>
  <c r="AT24" i="2"/>
  <c r="AO24" i="2"/>
  <c r="AM24" i="2"/>
  <c r="AL24" i="2"/>
  <c r="AG24" i="2"/>
  <c r="AE24" i="2"/>
  <c r="AD24" i="2"/>
  <c r="Y24" i="2"/>
  <c r="W24" i="2"/>
  <c r="V24" i="2"/>
  <c r="Q24" i="2"/>
  <c r="O24" i="2"/>
  <c r="N24" i="2"/>
  <c r="I24" i="2"/>
  <c r="G24" i="2"/>
  <c r="F24" i="2"/>
  <c r="BE23" i="2"/>
  <c r="BD23" i="2"/>
  <c r="BF23" i="2" s="1"/>
  <c r="AW23" i="2"/>
  <c r="AU23" i="2"/>
  <c r="AT23" i="2"/>
  <c r="AO23" i="2"/>
  <c r="AM23" i="2"/>
  <c r="AL23" i="2"/>
  <c r="AG23" i="2"/>
  <c r="AE23" i="2"/>
  <c r="AD23" i="2"/>
  <c r="AF23" i="2" s="1"/>
  <c r="AI23" i="2" s="1"/>
  <c r="Y23" i="2"/>
  <c r="W23" i="2"/>
  <c r="V23" i="2"/>
  <c r="Q23" i="2"/>
  <c r="O23" i="2"/>
  <c r="N23" i="2"/>
  <c r="I23" i="2"/>
  <c r="G23" i="2"/>
  <c r="F23" i="2"/>
  <c r="BE22" i="2"/>
  <c r="BD22" i="2"/>
  <c r="BF22" i="2" s="1"/>
  <c r="AW22" i="2"/>
  <c r="AU22" i="2"/>
  <c r="AT22" i="2"/>
  <c r="AO22" i="2"/>
  <c r="AM22" i="2"/>
  <c r="AL22" i="2"/>
  <c r="AG22" i="2"/>
  <c r="AE22" i="2"/>
  <c r="AD22" i="2"/>
  <c r="Y22" i="2"/>
  <c r="W22" i="2"/>
  <c r="V22" i="2"/>
  <c r="Q22" i="2"/>
  <c r="O22" i="2"/>
  <c r="N22" i="2"/>
  <c r="I22" i="2"/>
  <c r="G22" i="2"/>
  <c r="F22" i="2"/>
  <c r="BE21" i="2"/>
  <c r="BD21" i="2"/>
  <c r="BF21" i="2" s="1"/>
  <c r="AW21" i="2"/>
  <c r="AU21" i="2"/>
  <c r="AT21" i="2"/>
  <c r="AO21" i="2"/>
  <c r="AM21" i="2"/>
  <c r="AL21" i="2"/>
  <c r="AG21" i="2"/>
  <c r="AE21" i="2"/>
  <c r="AD21" i="2"/>
  <c r="Y21" i="2"/>
  <c r="W21" i="2"/>
  <c r="V21" i="2"/>
  <c r="Q21" i="2"/>
  <c r="O21" i="2"/>
  <c r="N21" i="2"/>
  <c r="I21" i="2"/>
  <c r="G21" i="2"/>
  <c r="F21" i="2"/>
  <c r="BE20" i="2"/>
  <c r="BD20" i="2"/>
  <c r="BF20" i="2" s="1"/>
  <c r="AW20" i="2"/>
  <c r="AU20" i="2"/>
  <c r="AT20" i="2"/>
  <c r="AO20" i="2"/>
  <c r="AM20" i="2"/>
  <c r="AL20" i="2"/>
  <c r="AG20" i="2"/>
  <c r="AE20" i="2"/>
  <c r="AD20" i="2"/>
  <c r="Y20" i="2"/>
  <c r="W20" i="2"/>
  <c r="V20" i="2"/>
  <c r="Q20" i="2"/>
  <c r="O20" i="2"/>
  <c r="N20" i="2"/>
  <c r="I20" i="2"/>
  <c r="G20" i="2"/>
  <c r="F20" i="2"/>
  <c r="BE19" i="2"/>
  <c r="BD19" i="2"/>
  <c r="BF19" i="2" s="1"/>
  <c r="AW19" i="2"/>
  <c r="AU19" i="2"/>
  <c r="AT19" i="2"/>
  <c r="AO19" i="2"/>
  <c r="AM19" i="2"/>
  <c r="AL19" i="2"/>
  <c r="AG19" i="2"/>
  <c r="AE19" i="2"/>
  <c r="AD19" i="2"/>
  <c r="Y19" i="2"/>
  <c r="W19" i="2"/>
  <c r="V19" i="2"/>
  <c r="Q19" i="2"/>
  <c r="O19" i="2"/>
  <c r="N19" i="2"/>
  <c r="I19" i="2"/>
  <c r="G19" i="2"/>
  <c r="F19" i="2"/>
  <c r="BE18" i="2"/>
  <c r="BD18" i="2"/>
  <c r="BF18" i="2" s="1"/>
  <c r="AW18" i="2"/>
  <c r="AU18" i="2"/>
  <c r="AT18" i="2"/>
  <c r="AO18" i="2"/>
  <c r="AM18" i="2"/>
  <c r="AL18" i="2"/>
  <c r="AG18" i="2"/>
  <c r="AE18" i="2"/>
  <c r="AD18" i="2"/>
  <c r="Y18" i="2"/>
  <c r="W18" i="2"/>
  <c r="V18" i="2"/>
  <c r="Q18" i="2"/>
  <c r="O18" i="2"/>
  <c r="N18" i="2"/>
  <c r="I18" i="2"/>
  <c r="G18" i="2"/>
  <c r="F18" i="2"/>
  <c r="BE17" i="2"/>
  <c r="BD17" i="2"/>
  <c r="BF17" i="2" s="1"/>
  <c r="AW17" i="2"/>
  <c r="AU17" i="2"/>
  <c r="AT17" i="2"/>
  <c r="AO17" i="2"/>
  <c r="AM17" i="2"/>
  <c r="AL17" i="2"/>
  <c r="AG17" i="2"/>
  <c r="AE17" i="2"/>
  <c r="AD17" i="2"/>
  <c r="AF17" i="2" s="1"/>
  <c r="AI17" i="2" s="1"/>
  <c r="Y17" i="2"/>
  <c r="W17" i="2"/>
  <c r="V17" i="2"/>
  <c r="Q17" i="2"/>
  <c r="O17" i="2"/>
  <c r="N17" i="2"/>
  <c r="I17" i="2"/>
  <c r="G17" i="2"/>
  <c r="F17" i="2"/>
  <c r="BE16" i="2"/>
  <c r="BD16" i="2"/>
  <c r="AW16" i="2"/>
  <c r="AU16" i="2"/>
  <c r="AU25" i="2" s="1"/>
  <c r="AT16" i="2"/>
  <c r="AO16" i="2"/>
  <c r="AM16" i="2"/>
  <c r="AL16" i="2"/>
  <c r="AL25" i="2" s="1"/>
  <c r="AG16" i="2"/>
  <c r="AE16" i="2"/>
  <c r="AD16" i="2"/>
  <c r="AF16" i="2" s="1"/>
  <c r="Y16" i="2"/>
  <c r="W16" i="2"/>
  <c r="V16" i="2"/>
  <c r="Q16" i="2"/>
  <c r="O16" i="2"/>
  <c r="N16" i="2"/>
  <c r="I16" i="2"/>
  <c r="G16" i="2"/>
  <c r="F16" i="2"/>
  <c r="BC15" i="2"/>
  <c r="BB15" i="2"/>
  <c r="BA15" i="2"/>
  <c r="AZ15" i="2"/>
  <c r="AS15" i="2"/>
  <c r="AR15" i="2"/>
  <c r="AK15" i="2"/>
  <c r="AJ15" i="2"/>
  <c r="AC15" i="2"/>
  <c r="AB15" i="2"/>
  <c r="U15" i="2"/>
  <c r="T15" i="2"/>
  <c r="M15" i="2"/>
  <c r="L15" i="2"/>
  <c r="E15" i="2"/>
  <c r="D15" i="2"/>
  <c r="BE14" i="2"/>
  <c r="BD14" i="2"/>
  <c r="BF14" i="2" s="1"/>
  <c r="AW14" i="2"/>
  <c r="AU14" i="2"/>
  <c r="AT14" i="2"/>
  <c r="AO14" i="2"/>
  <c r="AM14" i="2"/>
  <c r="AL14" i="2"/>
  <c r="AG14" i="2"/>
  <c r="AE14" i="2"/>
  <c r="AD14" i="2"/>
  <c r="Y14" i="2"/>
  <c r="W14" i="2"/>
  <c r="V14" i="2"/>
  <c r="Q14" i="2"/>
  <c r="O14" i="2"/>
  <c r="N14" i="2"/>
  <c r="I14" i="2"/>
  <c r="G14" i="2"/>
  <c r="F14" i="2"/>
  <c r="BE13" i="2"/>
  <c r="BD13" i="2"/>
  <c r="BF13" i="2" s="1"/>
  <c r="AW13" i="2"/>
  <c r="AU13" i="2"/>
  <c r="AT13" i="2"/>
  <c r="AO13" i="2"/>
  <c r="AM13" i="2"/>
  <c r="AL13" i="2"/>
  <c r="AG13" i="2"/>
  <c r="AE13" i="2"/>
  <c r="AD13" i="2"/>
  <c r="Y13" i="2"/>
  <c r="W13" i="2"/>
  <c r="V13" i="2"/>
  <c r="Q13" i="2"/>
  <c r="O13" i="2"/>
  <c r="N13" i="2"/>
  <c r="I13" i="2"/>
  <c r="G13" i="2"/>
  <c r="F13" i="2"/>
  <c r="BE12" i="2"/>
  <c r="BD12" i="2"/>
  <c r="BF12" i="2" s="1"/>
  <c r="AW12" i="2"/>
  <c r="AU12" i="2"/>
  <c r="AT12" i="2"/>
  <c r="AO12" i="2"/>
  <c r="AM12" i="2"/>
  <c r="AL12" i="2"/>
  <c r="AG12" i="2"/>
  <c r="AE12" i="2"/>
  <c r="AD12" i="2"/>
  <c r="Y12" i="2"/>
  <c r="W12" i="2"/>
  <c r="V12" i="2"/>
  <c r="Q12" i="2"/>
  <c r="O12" i="2"/>
  <c r="N12" i="2"/>
  <c r="I12" i="2"/>
  <c r="G12" i="2"/>
  <c r="F12" i="2"/>
  <c r="BE11" i="2"/>
  <c r="BD11" i="2"/>
  <c r="BF11" i="2" s="1"/>
  <c r="AW11" i="2"/>
  <c r="AU11" i="2"/>
  <c r="AT11" i="2"/>
  <c r="AO11" i="2"/>
  <c r="AM11" i="2"/>
  <c r="AL11" i="2"/>
  <c r="AG11" i="2"/>
  <c r="AE11" i="2"/>
  <c r="AD11" i="2"/>
  <c r="Y11" i="2"/>
  <c r="W11" i="2"/>
  <c r="V11" i="2"/>
  <c r="Q11" i="2"/>
  <c r="O11" i="2"/>
  <c r="N11" i="2"/>
  <c r="I11" i="2"/>
  <c r="G11" i="2"/>
  <c r="F11" i="2"/>
  <c r="BE10" i="2"/>
  <c r="BD10" i="2"/>
  <c r="BF10" i="2" s="1"/>
  <c r="AW10" i="2"/>
  <c r="AU10" i="2"/>
  <c r="AT10" i="2"/>
  <c r="AO10" i="2"/>
  <c r="AM10" i="2"/>
  <c r="AL10" i="2"/>
  <c r="AG10" i="2"/>
  <c r="AE10" i="2"/>
  <c r="AD10" i="2"/>
  <c r="Y10" i="2"/>
  <c r="W10" i="2"/>
  <c r="V10" i="2"/>
  <c r="Q10" i="2"/>
  <c r="O10" i="2"/>
  <c r="N10" i="2"/>
  <c r="I10" i="2"/>
  <c r="G10" i="2"/>
  <c r="F10" i="2"/>
  <c r="BE9" i="2"/>
  <c r="BD9" i="2"/>
  <c r="BF9" i="2" s="1"/>
  <c r="AW9" i="2"/>
  <c r="AU9" i="2"/>
  <c r="AT9" i="2"/>
  <c r="AO9" i="2"/>
  <c r="AM9" i="2"/>
  <c r="AL9" i="2"/>
  <c r="AG9" i="2"/>
  <c r="AE9" i="2"/>
  <c r="AD9" i="2"/>
  <c r="Y9" i="2"/>
  <c r="W9" i="2"/>
  <c r="V9" i="2"/>
  <c r="Q9" i="2"/>
  <c r="O9" i="2"/>
  <c r="N9" i="2"/>
  <c r="I9" i="2"/>
  <c r="G9" i="2"/>
  <c r="F9" i="2"/>
  <c r="BE8" i="2"/>
  <c r="BD8" i="2"/>
  <c r="BF8" i="2" s="1"/>
  <c r="AW8" i="2"/>
  <c r="AU8" i="2"/>
  <c r="AT8" i="2"/>
  <c r="AO8" i="2"/>
  <c r="AM8" i="2"/>
  <c r="AL8" i="2"/>
  <c r="AG8" i="2"/>
  <c r="AE8" i="2"/>
  <c r="AD8" i="2"/>
  <c r="Y8" i="2"/>
  <c r="W8" i="2"/>
  <c r="V8" i="2"/>
  <c r="Q8" i="2"/>
  <c r="O8" i="2"/>
  <c r="N8" i="2"/>
  <c r="I8" i="2"/>
  <c r="G8" i="2"/>
  <c r="F8" i="2"/>
  <c r="BE7" i="2"/>
  <c r="BD7" i="2"/>
  <c r="BF7" i="2" s="1"/>
  <c r="AW7" i="2"/>
  <c r="AU7" i="2"/>
  <c r="AT7" i="2"/>
  <c r="AO7" i="2"/>
  <c r="AM7" i="2"/>
  <c r="AL7" i="2"/>
  <c r="AG7" i="2"/>
  <c r="AE7" i="2"/>
  <c r="AD7" i="2"/>
  <c r="Y7" i="2"/>
  <c r="W7" i="2"/>
  <c r="V7" i="2"/>
  <c r="Q7" i="2"/>
  <c r="O7" i="2"/>
  <c r="N7" i="2"/>
  <c r="I7" i="2"/>
  <c r="G7" i="2"/>
  <c r="F7" i="2"/>
  <c r="BE6" i="2"/>
  <c r="BD6" i="2"/>
  <c r="BF6" i="2" s="1"/>
  <c r="AW6" i="2"/>
  <c r="AU6" i="2"/>
  <c r="AT6" i="2"/>
  <c r="AO6" i="2"/>
  <c r="AM6" i="2"/>
  <c r="AL6" i="2"/>
  <c r="AG6" i="2"/>
  <c r="AE6" i="2"/>
  <c r="AD6" i="2"/>
  <c r="Y6" i="2"/>
  <c r="W6" i="2"/>
  <c r="V6" i="2"/>
  <c r="Q6" i="2"/>
  <c r="O6" i="2"/>
  <c r="N6" i="2"/>
  <c r="I6" i="2"/>
  <c r="G6" i="2"/>
  <c r="F6" i="2"/>
  <c r="BE5" i="2"/>
  <c r="BD5" i="2"/>
  <c r="BF5" i="2" s="1"/>
  <c r="AW5" i="2"/>
  <c r="AU5" i="2"/>
  <c r="AT5" i="2"/>
  <c r="AO5" i="2"/>
  <c r="AM5" i="2"/>
  <c r="AL5" i="2"/>
  <c r="AG5" i="2"/>
  <c r="AE5" i="2"/>
  <c r="AD5" i="2"/>
  <c r="Y5" i="2"/>
  <c r="W5" i="2"/>
  <c r="V5" i="2"/>
  <c r="Q5" i="2"/>
  <c r="O5" i="2"/>
  <c r="N5" i="2"/>
  <c r="I5" i="2"/>
  <c r="G5" i="2"/>
  <c r="F5" i="2"/>
  <c r="AZ85" i="1"/>
  <c r="AX85" i="1"/>
  <c r="AW85" i="1"/>
  <c r="AV85" i="1"/>
  <c r="AU85" i="1"/>
  <c r="AT85" i="1"/>
  <c r="AS85" i="1"/>
  <c r="AQ85" i="1"/>
  <c r="AP85" i="1"/>
  <c r="AO85" i="1"/>
  <c r="AN85" i="1"/>
  <c r="AM85" i="1"/>
  <c r="AL85" i="1"/>
  <c r="AJ85" i="1"/>
  <c r="AI85" i="1"/>
  <c r="AH85" i="1"/>
  <c r="AG85" i="1"/>
  <c r="AF85" i="1"/>
  <c r="AE85" i="1"/>
  <c r="AC85" i="1"/>
  <c r="AB85" i="1"/>
  <c r="AA85" i="1"/>
  <c r="Z85" i="1"/>
  <c r="Y85" i="1"/>
  <c r="X85" i="1"/>
  <c r="V85" i="1"/>
  <c r="U85" i="1"/>
  <c r="T85" i="1"/>
  <c r="S85" i="1"/>
  <c r="R85" i="1"/>
  <c r="Q85" i="1"/>
  <c r="O85" i="1"/>
  <c r="N85" i="1"/>
  <c r="M85" i="1"/>
  <c r="L85" i="1"/>
  <c r="K85" i="1"/>
  <c r="J85" i="1"/>
  <c r="I85" i="1"/>
  <c r="H85" i="1"/>
  <c r="G85" i="1"/>
  <c r="F85" i="1"/>
  <c r="E85" i="1"/>
  <c r="D85" i="1"/>
  <c r="AZ84" i="1"/>
  <c r="AX84" i="1"/>
  <c r="AW84" i="1"/>
  <c r="AV84" i="1"/>
  <c r="AU84" i="1"/>
  <c r="AT84" i="1"/>
  <c r="AS84" i="1"/>
  <c r="AQ84" i="1"/>
  <c r="AP84" i="1"/>
  <c r="AO84" i="1"/>
  <c r="AN84" i="1"/>
  <c r="AM84" i="1"/>
  <c r="AL84" i="1"/>
  <c r="AJ84" i="1"/>
  <c r="AI84" i="1"/>
  <c r="AH84" i="1"/>
  <c r="AG84" i="1"/>
  <c r="AF84" i="1"/>
  <c r="AE84" i="1"/>
  <c r="AC84" i="1"/>
  <c r="AB84" i="1"/>
  <c r="AA84" i="1"/>
  <c r="Z84" i="1"/>
  <c r="Y84" i="1"/>
  <c r="X84" i="1"/>
  <c r="V84" i="1"/>
  <c r="U84" i="1"/>
  <c r="T84" i="1"/>
  <c r="S84" i="1"/>
  <c r="R84" i="1"/>
  <c r="Q84" i="1"/>
  <c r="O84" i="1"/>
  <c r="N84" i="1"/>
  <c r="M84" i="1"/>
  <c r="L84" i="1"/>
  <c r="K84" i="1"/>
  <c r="J84" i="1"/>
  <c r="I84" i="1"/>
  <c r="H84" i="1"/>
  <c r="G84" i="1"/>
  <c r="F84" i="1"/>
  <c r="E84" i="1"/>
  <c r="D84" i="1"/>
  <c r="AZ83" i="1"/>
  <c r="AY83" i="1"/>
  <c r="AX83" i="1"/>
  <c r="AS83" i="1"/>
  <c r="AR83" i="1"/>
  <c r="AQ83" i="1"/>
  <c r="AP83" i="1"/>
  <c r="AO83" i="1"/>
  <c r="AL83" i="1"/>
  <c r="AK83" i="1"/>
  <c r="AJ83" i="1"/>
  <c r="AI83" i="1"/>
  <c r="AH83" i="1"/>
  <c r="AE83" i="1"/>
  <c r="AD83" i="1"/>
  <c r="AC83" i="1"/>
  <c r="AB83" i="1"/>
  <c r="AA83" i="1"/>
  <c r="X83" i="1"/>
  <c r="W83" i="1"/>
  <c r="V83" i="1"/>
  <c r="U83" i="1"/>
  <c r="T83" i="1"/>
  <c r="Q83" i="1"/>
  <c r="P83" i="1"/>
  <c r="O83" i="1"/>
  <c r="N83" i="1"/>
  <c r="M83" i="1"/>
  <c r="J83" i="1"/>
  <c r="I83" i="1"/>
  <c r="H83" i="1"/>
  <c r="G83" i="1"/>
  <c r="F83" i="1"/>
  <c r="AZ82" i="1"/>
  <c r="AY82" i="1"/>
  <c r="AX82" i="1"/>
  <c r="AS82" i="1"/>
  <c r="AR82" i="1"/>
  <c r="AQ82" i="1"/>
  <c r="AP82" i="1"/>
  <c r="AO82" i="1"/>
  <c r="AL82" i="1"/>
  <c r="AK82" i="1"/>
  <c r="AJ82" i="1"/>
  <c r="AI82" i="1"/>
  <c r="AH82" i="1"/>
  <c r="AE82" i="1"/>
  <c r="AD82" i="1"/>
  <c r="AC82" i="1"/>
  <c r="AB82" i="1"/>
  <c r="AA82" i="1"/>
  <c r="X82" i="1"/>
  <c r="W82" i="1"/>
  <c r="V82" i="1"/>
  <c r="U82" i="1"/>
  <c r="T82" i="1"/>
  <c r="Q82" i="1"/>
  <c r="P82" i="1"/>
  <c r="O82" i="1"/>
  <c r="N82" i="1"/>
  <c r="M82" i="1"/>
  <c r="J82" i="1"/>
  <c r="I82" i="1"/>
  <c r="H82" i="1"/>
  <c r="G82" i="1"/>
  <c r="F82" i="1"/>
  <c r="AZ81" i="1"/>
  <c r="AY81" i="1"/>
  <c r="AX81" i="1"/>
  <c r="AS81" i="1"/>
  <c r="AR81" i="1"/>
  <c r="AQ81" i="1"/>
  <c r="AP81" i="1"/>
  <c r="AO81" i="1"/>
  <c r="AL81" i="1"/>
  <c r="AK81" i="1"/>
  <c r="AJ81" i="1"/>
  <c r="AI81" i="1"/>
  <c r="AH81" i="1"/>
  <c r="AE81" i="1"/>
  <c r="AD81" i="1"/>
  <c r="AC81" i="1"/>
  <c r="AB81" i="1"/>
  <c r="AA81" i="1"/>
  <c r="X81" i="1"/>
  <c r="W81" i="1"/>
  <c r="V81" i="1"/>
  <c r="U81" i="1"/>
  <c r="T81" i="1"/>
  <c r="Q81" i="1"/>
  <c r="P81" i="1"/>
  <c r="O81" i="1"/>
  <c r="N81" i="1"/>
  <c r="M81" i="1"/>
  <c r="J81" i="1"/>
  <c r="I81" i="1"/>
  <c r="H81" i="1"/>
  <c r="G81" i="1"/>
  <c r="F81" i="1"/>
  <c r="AZ80" i="1"/>
  <c r="AY80" i="1"/>
  <c r="AX80" i="1"/>
  <c r="AS80" i="1"/>
  <c r="AR80" i="1"/>
  <c r="AQ80" i="1"/>
  <c r="AP80" i="1"/>
  <c r="AO80" i="1"/>
  <c r="AL80" i="1"/>
  <c r="AK80" i="1"/>
  <c r="AJ80" i="1"/>
  <c r="AI80" i="1"/>
  <c r="AH80" i="1"/>
  <c r="AE80" i="1"/>
  <c r="AD80" i="1"/>
  <c r="AD84" i="1" s="1"/>
  <c r="AC80" i="1"/>
  <c r="AB80" i="1"/>
  <c r="AA80" i="1"/>
  <c r="X80" i="1"/>
  <c r="W80" i="1"/>
  <c r="V80" i="1"/>
  <c r="U80" i="1"/>
  <c r="T80" i="1"/>
  <c r="Q80" i="1"/>
  <c r="P80" i="1"/>
  <c r="O80" i="1"/>
  <c r="N80" i="1"/>
  <c r="M80" i="1"/>
  <c r="J80" i="1"/>
  <c r="I80" i="1"/>
  <c r="H80" i="1"/>
  <c r="G80" i="1"/>
  <c r="F80" i="1"/>
  <c r="AZ79" i="1"/>
  <c r="AY79" i="1"/>
  <c r="AX79" i="1"/>
  <c r="AS79" i="1"/>
  <c r="AR79" i="1"/>
  <c r="AQ79" i="1"/>
  <c r="AP79" i="1"/>
  <c r="AO79" i="1"/>
  <c r="AL79" i="1"/>
  <c r="AK79" i="1"/>
  <c r="AJ79" i="1"/>
  <c r="AI79" i="1"/>
  <c r="AH79" i="1"/>
  <c r="AE79" i="1"/>
  <c r="AD79" i="1"/>
  <c r="AC79" i="1"/>
  <c r="AB79" i="1"/>
  <c r="AA79" i="1"/>
  <c r="X79" i="1"/>
  <c r="W79" i="1"/>
  <c r="V79" i="1"/>
  <c r="U79" i="1"/>
  <c r="T79" i="1"/>
  <c r="Q79" i="1"/>
  <c r="P79" i="1"/>
  <c r="O79" i="1"/>
  <c r="N79" i="1"/>
  <c r="M79" i="1"/>
  <c r="J79" i="1"/>
  <c r="I79" i="1"/>
  <c r="H79" i="1"/>
  <c r="G79" i="1"/>
  <c r="F79" i="1"/>
  <c r="AZ78" i="1"/>
  <c r="AY78" i="1"/>
  <c r="AY84" i="1" s="1"/>
  <c r="AX78" i="1"/>
  <c r="AS78" i="1"/>
  <c r="AR78" i="1"/>
  <c r="AR84" i="1" s="1"/>
  <c r="AQ78" i="1"/>
  <c r="AP78" i="1"/>
  <c r="AO78" i="1"/>
  <c r="AL78" i="1"/>
  <c r="AK78" i="1"/>
  <c r="AK84" i="1" s="1"/>
  <c r="AJ78" i="1"/>
  <c r="AI78" i="1"/>
  <c r="AH78" i="1"/>
  <c r="AE78" i="1"/>
  <c r="AD78" i="1"/>
  <c r="AC78" i="1"/>
  <c r="AB78" i="1"/>
  <c r="AA78" i="1"/>
  <c r="X78" i="1"/>
  <c r="W78" i="1"/>
  <c r="W84" i="1" s="1"/>
  <c r="V78" i="1"/>
  <c r="U78" i="1"/>
  <c r="T78" i="1"/>
  <c r="Q78" i="1"/>
  <c r="P78" i="1"/>
  <c r="P84" i="1" s="1"/>
  <c r="O78" i="1"/>
  <c r="N78" i="1"/>
  <c r="M78" i="1"/>
  <c r="J78" i="1"/>
  <c r="I78" i="1"/>
  <c r="H78" i="1"/>
  <c r="G78" i="1"/>
  <c r="F78" i="1"/>
  <c r="AZ77" i="1"/>
  <c r="AX77" i="1"/>
  <c r="AW77" i="1"/>
  <c r="AV77" i="1"/>
  <c r="AU77" i="1"/>
  <c r="AT77" i="1"/>
  <c r="AS77" i="1"/>
  <c r="AQ77" i="1"/>
  <c r="AP77" i="1"/>
  <c r="AO77" i="1"/>
  <c r="AN77" i="1"/>
  <c r="AM77" i="1"/>
  <c r="AL77" i="1"/>
  <c r="AJ77" i="1"/>
  <c r="AI77" i="1"/>
  <c r="AH77" i="1"/>
  <c r="AG77" i="1"/>
  <c r="AF77" i="1"/>
  <c r="AE77" i="1"/>
  <c r="AC77" i="1"/>
  <c r="AB77" i="1"/>
  <c r="AA77" i="1"/>
  <c r="Z77" i="1"/>
  <c r="Y77" i="1"/>
  <c r="X77" i="1"/>
  <c r="V77" i="1"/>
  <c r="U77" i="1"/>
  <c r="T77" i="1"/>
  <c r="S77" i="1"/>
  <c r="R77" i="1"/>
  <c r="Q77" i="1"/>
  <c r="O77" i="1"/>
  <c r="N77" i="1"/>
  <c r="M77" i="1"/>
  <c r="L77" i="1"/>
  <c r="K77" i="1"/>
  <c r="J77" i="1"/>
  <c r="I77" i="1"/>
  <c r="H77" i="1"/>
  <c r="G77" i="1"/>
  <c r="F77" i="1"/>
  <c r="E77" i="1"/>
  <c r="D77" i="1"/>
  <c r="AZ76" i="1"/>
  <c r="AY76" i="1"/>
  <c r="AX76" i="1"/>
  <c r="AS76" i="1"/>
  <c r="AR76" i="1"/>
  <c r="AQ76" i="1"/>
  <c r="AP76" i="1"/>
  <c r="AO76" i="1"/>
  <c r="AL76" i="1"/>
  <c r="AK76" i="1"/>
  <c r="AJ76" i="1"/>
  <c r="AI76" i="1"/>
  <c r="AH76" i="1"/>
  <c r="AE76" i="1"/>
  <c r="AD76" i="1"/>
  <c r="AC76" i="1"/>
  <c r="AB76" i="1"/>
  <c r="AA76" i="1"/>
  <c r="X76" i="1"/>
  <c r="W76" i="1"/>
  <c r="V76" i="1"/>
  <c r="U76" i="1"/>
  <c r="T76" i="1"/>
  <c r="Q76" i="1"/>
  <c r="P76" i="1"/>
  <c r="O76" i="1"/>
  <c r="N76" i="1"/>
  <c r="M76" i="1"/>
  <c r="J76" i="1"/>
  <c r="I76" i="1"/>
  <c r="H76" i="1"/>
  <c r="G76" i="1"/>
  <c r="F76" i="1"/>
  <c r="AZ75" i="1"/>
  <c r="AY75" i="1"/>
  <c r="AX75" i="1"/>
  <c r="AS75" i="1"/>
  <c r="AR75" i="1"/>
  <c r="AQ75" i="1"/>
  <c r="AP75" i="1"/>
  <c r="AO75" i="1"/>
  <c r="AL75" i="1"/>
  <c r="AK75" i="1"/>
  <c r="AK77" i="1" s="1"/>
  <c r="AJ75" i="1"/>
  <c r="AI75" i="1"/>
  <c r="AH75" i="1"/>
  <c r="AE75" i="1"/>
  <c r="AD75" i="1"/>
  <c r="AC75" i="1"/>
  <c r="AB75" i="1"/>
  <c r="AA75" i="1"/>
  <c r="X75" i="1"/>
  <c r="W75" i="1"/>
  <c r="V75" i="1"/>
  <c r="U75" i="1"/>
  <c r="T75" i="1"/>
  <c r="Q75" i="1"/>
  <c r="P75" i="1"/>
  <c r="O75" i="1"/>
  <c r="N75" i="1"/>
  <c r="M75" i="1"/>
  <c r="J75" i="1"/>
  <c r="I75" i="1"/>
  <c r="H75" i="1"/>
  <c r="G75" i="1"/>
  <c r="F75" i="1"/>
  <c r="AZ74" i="1"/>
  <c r="AY74" i="1"/>
  <c r="AY77" i="1" s="1"/>
  <c r="AX74" i="1"/>
  <c r="AS74" i="1"/>
  <c r="AR74" i="1"/>
  <c r="AR77" i="1" s="1"/>
  <c r="AQ74" i="1"/>
  <c r="AP74" i="1"/>
  <c r="AO74" i="1"/>
  <c r="AL74" i="1"/>
  <c r="AK74" i="1"/>
  <c r="AJ74" i="1"/>
  <c r="AI74" i="1"/>
  <c r="AH74" i="1"/>
  <c r="AE74" i="1"/>
  <c r="AD74" i="1"/>
  <c r="AD77" i="1" s="1"/>
  <c r="AC74" i="1"/>
  <c r="AB74" i="1"/>
  <c r="AA74" i="1"/>
  <c r="X74" i="1"/>
  <c r="W74" i="1"/>
  <c r="W77" i="1" s="1"/>
  <c r="V74" i="1"/>
  <c r="U74" i="1"/>
  <c r="T74" i="1"/>
  <c r="Q74" i="1"/>
  <c r="P74" i="1"/>
  <c r="P77" i="1" s="1"/>
  <c r="O74" i="1"/>
  <c r="N74" i="1"/>
  <c r="M74" i="1"/>
  <c r="J74" i="1"/>
  <c r="I74" i="1"/>
  <c r="H74" i="1"/>
  <c r="G74" i="1"/>
  <c r="F74" i="1"/>
  <c r="AZ73" i="1"/>
  <c r="AX73" i="1"/>
  <c r="AW73" i="1"/>
  <c r="AV73" i="1"/>
  <c r="AU73" i="1"/>
  <c r="AT73" i="1"/>
  <c r="AS73" i="1"/>
  <c r="AQ73" i="1"/>
  <c r="AP73" i="1"/>
  <c r="AO73" i="1"/>
  <c r="AN73" i="1"/>
  <c r="AM73" i="1"/>
  <c r="AL73" i="1"/>
  <c r="AJ73" i="1"/>
  <c r="AI73" i="1"/>
  <c r="AH73" i="1"/>
  <c r="AG73" i="1"/>
  <c r="AF73" i="1"/>
  <c r="AE73" i="1"/>
  <c r="AC73" i="1"/>
  <c r="AB73" i="1"/>
  <c r="AA73" i="1"/>
  <c r="Z73" i="1"/>
  <c r="Y73" i="1"/>
  <c r="X73" i="1"/>
  <c r="V73" i="1"/>
  <c r="U73" i="1"/>
  <c r="T73" i="1"/>
  <c r="S73" i="1"/>
  <c r="R73" i="1"/>
  <c r="Q73" i="1"/>
  <c r="O73" i="1"/>
  <c r="N73" i="1"/>
  <c r="M73" i="1"/>
  <c r="L73" i="1"/>
  <c r="K73" i="1"/>
  <c r="J73" i="1"/>
  <c r="I73" i="1"/>
  <c r="H73" i="1"/>
  <c r="G73" i="1"/>
  <c r="F73" i="1"/>
  <c r="E73" i="1"/>
  <c r="D73" i="1"/>
  <c r="AZ72" i="1"/>
  <c r="AY72" i="1"/>
  <c r="AX72" i="1"/>
  <c r="AS72" i="1"/>
  <c r="AR72" i="1"/>
  <c r="AQ72" i="1"/>
  <c r="AP72" i="1"/>
  <c r="AO72" i="1"/>
  <c r="AL72" i="1"/>
  <c r="AK72" i="1"/>
  <c r="AJ72" i="1"/>
  <c r="AI72" i="1"/>
  <c r="AH72" i="1"/>
  <c r="AE72" i="1"/>
  <c r="AD72" i="1"/>
  <c r="AC72" i="1"/>
  <c r="AB72" i="1"/>
  <c r="AA72" i="1"/>
  <c r="X72" i="1"/>
  <c r="W72" i="1"/>
  <c r="V72" i="1"/>
  <c r="U72" i="1"/>
  <c r="T72" i="1"/>
  <c r="Q72" i="1"/>
  <c r="P72" i="1"/>
  <c r="O72" i="1"/>
  <c r="N72" i="1"/>
  <c r="M72" i="1"/>
  <c r="J72" i="1"/>
  <c r="I72" i="1"/>
  <c r="H72" i="1"/>
  <c r="G72" i="1"/>
  <c r="F72" i="1"/>
  <c r="AZ71" i="1"/>
  <c r="AY71" i="1"/>
  <c r="AX71" i="1"/>
  <c r="AS71" i="1"/>
  <c r="AR71" i="1"/>
  <c r="AQ71" i="1"/>
  <c r="AP71" i="1"/>
  <c r="AO71" i="1"/>
  <c r="AL71" i="1"/>
  <c r="AK71" i="1"/>
  <c r="AJ71" i="1"/>
  <c r="AI71" i="1"/>
  <c r="AH71" i="1"/>
  <c r="AE71" i="1"/>
  <c r="AD71" i="1"/>
  <c r="AC71" i="1"/>
  <c r="AB71" i="1"/>
  <c r="AA71" i="1"/>
  <c r="X71" i="1"/>
  <c r="W71" i="1"/>
  <c r="V71" i="1"/>
  <c r="U71" i="1"/>
  <c r="T71" i="1"/>
  <c r="Q71" i="1"/>
  <c r="P71" i="1"/>
  <c r="O71" i="1"/>
  <c r="N71" i="1"/>
  <c r="M71" i="1"/>
  <c r="J71" i="1"/>
  <c r="I71" i="1"/>
  <c r="H71" i="1"/>
  <c r="G71" i="1"/>
  <c r="F71" i="1"/>
  <c r="AZ70" i="1"/>
  <c r="AY70" i="1"/>
  <c r="AX70" i="1"/>
  <c r="AS70" i="1"/>
  <c r="AR70" i="1"/>
  <c r="AQ70" i="1"/>
  <c r="AP70" i="1"/>
  <c r="AO70" i="1"/>
  <c r="AL70" i="1"/>
  <c r="AK70" i="1"/>
  <c r="AJ70" i="1"/>
  <c r="AI70" i="1"/>
  <c r="AH70" i="1"/>
  <c r="AE70" i="1"/>
  <c r="AD70" i="1"/>
  <c r="AC70" i="1"/>
  <c r="AB70" i="1"/>
  <c r="AA70" i="1"/>
  <c r="X70" i="1"/>
  <c r="W70" i="1"/>
  <c r="V70" i="1"/>
  <c r="U70" i="1"/>
  <c r="T70" i="1"/>
  <c r="Q70" i="1"/>
  <c r="P70" i="1"/>
  <c r="O70" i="1"/>
  <c r="N70" i="1"/>
  <c r="M70" i="1"/>
  <c r="J70" i="1"/>
  <c r="I70" i="1"/>
  <c r="H70" i="1"/>
  <c r="G70" i="1"/>
  <c r="F70" i="1"/>
  <c r="AZ69" i="1"/>
  <c r="AY69" i="1"/>
  <c r="AX69" i="1"/>
  <c r="AS69" i="1"/>
  <c r="AR69" i="1"/>
  <c r="AQ69" i="1"/>
  <c r="AP69" i="1"/>
  <c r="AO69" i="1"/>
  <c r="AL69" i="1"/>
  <c r="AK69" i="1"/>
  <c r="AJ69" i="1"/>
  <c r="AI69" i="1"/>
  <c r="AH69" i="1"/>
  <c r="AE69" i="1"/>
  <c r="AD69" i="1"/>
  <c r="AC69" i="1"/>
  <c r="AB69" i="1"/>
  <c r="AA69" i="1"/>
  <c r="X69" i="1"/>
  <c r="W69" i="1"/>
  <c r="V69" i="1"/>
  <c r="U69" i="1"/>
  <c r="T69" i="1"/>
  <c r="Q69" i="1"/>
  <c r="P69" i="1"/>
  <c r="O69" i="1"/>
  <c r="N69" i="1"/>
  <c r="M69" i="1"/>
  <c r="J69" i="1"/>
  <c r="I69" i="1"/>
  <c r="H69" i="1"/>
  <c r="G69" i="1"/>
  <c r="F69" i="1"/>
  <c r="AZ68" i="1"/>
  <c r="AY68" i="1"/>
  <c r="AX68" i="1"/>
  <c r="AS68" i="1"/>
  <c r="AR68" i="1"/>
  <c r="AQ68" i="1"/>
  <c r="AP68" i="1"/>
  <c r="AO68" i="1"/>
  <c r="AL68" i="1"/>
  <c r="AK68" i="1"/>
  <c r="AJ68" i="1"/>
  <c r="AI68" i="1"/>
  <c r="AH68" i="1"/>
  <c r="AE68" i="1"/>
  <c r="AD68" i="1"/>
  <c r="AC68" i="1"/>
  <c r="AB68" i="1"/>
  <c r="AA68" i="1"/>
  <c r="X68" i="1"/>
  <c r="W68" i="1"/>
  <c r="V68" i="1"/>
  <c r="U68" i="1"/>
  <c r="T68" i="1"/>
  <c r="Q68" i="1"/>
  <c r="P68" i="1"/>
  <c r="O68" i="1"/>
  <c r="N68" i="1"/>
  <c r="M68" i="1"/>
  <c r="J68" i="1"/>
  <c r="I68" i="1"/>
  <c r="H68" i="1"/>
  <c r="G68" i="1"/>
  <c r="F68" i="1"/>
  <c r="AZ67" i="1"/>
  <c r="AY67" i="1"/>
  <c r="AY73" i="1" s="1"/>
  <c r="AX67" i="1"/>
  <c r="AS67" i="1"/>
  <c r="AR67" i="1"/>
  <c r="AR73" i="1" s="1"/>
  <c r="AQ67" i="1"/>
  <c r="AP67" i="1"/>
  <c r="AO67" i="1"/>
  <c r="AL67" i="1"/>
  <c r="AK67" i="1"/>
  <c r="AK73" i="1" s="1"/>
  <c r="AJ67" i="1"/>
  <c r="AI67" i="1"/>
  <c r="AH67" i="1"/>
  <c r="AE67" i="1"/>
  <c r="AD67" i="1"/>
  <c r="AD73" i="1" s="1"/>
  <c r="AC67" i="1"/>
  <c r="AB67" i="1"/>
  <c r="AA67" i="1"/>
  <c r="X67" i="1"/>
  <c r="W67" i="1"/>
  <c r="W73" i="1" s="1"/>
  <c r="V67" i="1"/>
  <c r="U67" i="1"/>
  <c r="T67" i="1"/>
  <c r="Q67" i="1"/>
  <c r="P67" i="1"/>
  <c r="P73" i="1" s="1"/>
  <c r="O67" i="1"/>
  <c r="N67" i="1"/>
  <c r="M67" i="1"/>
  <c r="J67" i="1"/>
  <c r="I67" i="1"/>
  <c r="H67" i="1"/>
  <c r="G67" i="1"/>
  <c r="F67" i="1"/>
  <c r="AZ66" i="1"/>
  <c r="AX66" i="1"/>
  <c r="AW66" i="1"/>
  <c r="AV66" i="1"/>
  <c r="AU66" i="1"/>
  <c r="AT66" i="1"/>
  <c r="AS66" i="1"/>
  <c r="AQ66" i="1"/>
  <c r="AP66" i="1"/>
  <c r="AO66" i="1"/>
  <c r="AN66" i="1"/>
  <c r="AM66" i="1"/>
  <c r="AL66" i="1"/>
  <c r="AJ66" i="1"/>
  <c r="AI66" i="1"/>
  <c r="AH66" i="1"/>
  <c r="AG66" i="1"/>
  <c r="AF66" i="1"/>
  <c r="AE66" i="1"/>
  <c r="AC66" i="1"/>
  <c r="AB66" i="1"/>
  <c r="AA66" i="1"/>
  <c r="Z66" i="1"/>
  <c r="Y66" i="1"/>
  <c r="X66" i="1"/>
  <c r="V66" i="1"/>
  <c r="U66" i="1"/>
  <c r="T66" i="1"/>
  <c r="S66" i="1"/>
  <c r="R66" i="1"/>
  <c r="Q66" i="1"/>
  <c r="O66" i="1"/>
  <c r="N66" i="1"/>
  <c r="M66" i="1"/>
  <c r="L66" i="1"/>
  <c r="K66" i="1"/>
  <c r="J66" i="1"/>
  <c r="I66" i="1"/>
  <c r="H66" i="1"/>
  <c r="G66" i="1"/>
  <c r="F66" i="1"/>
  <c r="E66" i="1"/>
  <c r="D66" i="1"/>
  <c r="AZ65" i="1"/>
  <c r="AY65" i="1"/>
  <c r="AX65" i="1"/>
  <c r="AS65" i="1"/>
  <c r="AR65" i="1"/>
  <c r="AQ65" i="1"/>
  <c r="AP65" i="1"/>
  <c r="AO65" i="1"/>
  <c r="AL65" i="1"/>
  <c r="AK65" i="1"/>
  <c r="AJ65" i="1"/>
  <c r="AI65" i="1"/>
  <c r="AH65" i="1"/>
  <c r="AE65" i="1"/>
  <c r="AD65" i="1"/>
  <c r="AC65" i="1"/>
  <c r="AB65" i="1"/>
  <c r="AA65" i="1"/>
  <c r="X65" i="1"/>
  <c r="W65" i="1"/>
  <c r="V65" i="1"/>
  <c r="U65" i="1"/>
  <c r="T65" i="1"/>
  <c r="Q65" i="1"/>
  <c r="P65" i="1"/>
  <c r="O65" i="1"/>
  <c r="N65" i="1"/>
  <c r="M65" i="1"/>
  <c r="J65" i="1"/>
  <c r="I65" i="1"/>
  <c r="H65" i="1"/>
  <c r="G65" i="1"/>
  <c r="F65" i="1"/>
  <c r="AZ64" i="1"/>
  <c r="AY64" i="1"/>
  <c r="AX64" i="1"/>
  <c r="AS64" i="1"/>
  <c r="AR64" i="1"/>
  <c r="AQ64" i="1"/>
  <c r="AP64" i="1"/>
  <c r="AO64" i="1"/>
  <c r="AL64" i="1"/>
  <c r="AK64" i="1"/>
  <c r="AJ64" i="1"/>
  <c r="AI64" i="1"/>
  <c r="AH64" i="1"/>
  <c r="AE64" i="1"/>
  <c r="AD64" i="1"/>
  <c r="AC64" i="1"/>
  <c r="AB64" i="1"/>
  <c r="AA64" i="1"/>
  <c r="X64" i="1"/>
  <c r="W64" i="1"/>
  <c r="V64" i="1"/>
  <c r="U64" i="1"/>
  <c r="T64" i="1"/>
  <c r="Q64" i="1"/>
  <c r="P64" i="1"/>
  <c r="O64" i="1"/>
  <c r="N64" i="1"/>
  <c r="M64" i="1"/>
  <c r="J64" i="1"/>
  <c r="I64" i="1"/>
  <c r="H64" i="1"/>
  <c r="G64" i="1"/>
  <c r="F64" i="1"/>
  <c r="AZ63" i="1"/>
  <c r="AY63" i="1"/>
  <c r="AX63" i="1"/>
  <c r="AS63" i="1"/>
  <c r="AR63" i="1"/>
  <c r="AQ63" i="1"/>
  <c r="AP63" i="1"/>
  <c r="AO63" i="1"/>
  <c r="AL63" i="1"/>
  <c r="AK63" i="1"/>
  <c r="AJ63" i="1"/>
  <c r="AI63" i="1"/>
  <c r="AH63" i="1"/>
  <c r="AE63" i="1"/>
  <c r="AD63" i="1"/>
  <c r="AC63" i="1"/>
  <c r="AB63" i="1"/>
  <c r="AA63" i="1"/>
  <c r="X63" i="1"/>
  <c r="W63" i="1"/>
  <c r="V63" i="1"/>
  <c r="U63" i="1"/>
  <c r="T63" i="1"/>
  <c r="Q63" i="1"/>
  <c r="P63" i="1"/>
  <c r="O63" i="1"/>
  <c r="N63" i="1"/>
  <c r="M63" i="1"/>
  <c r="J63" i="1"/>
  <c r="I63" i="1"/>
  <c r="H63" i="1"/>
  <c r="G63" i="1"/>
  <c r="F63" i="1"/>
  <c r="AZ62" i="1"/>
  <c r="AY62" i="1"/>
  <c r="AX62" i="1"/>
  <c r="AS62" i="1"/>
  <c r="AR62" i="1"/>
  <c r="AQ62" i="1"/>
  <c r="AP62" i="1"/>
  <c r="AO62" i="1"/>
  <c r="AL62" i="1"/>
  <c r="AK62" i="1"/>
  <c r="AJ62" i="1"/>
  <c r="AI62" i="1"/>
  <c r="AH62" i="1"/>
  <c r="AE62" i="1"/>
  <c r="AD62" i="1"/>
  <c r="AC62" i="1"/>
  <c r="AB62" i="1"/>
  <c r="AA62" i="1"/>
  <c r="X62" i="1"/>
  <c r="W62" i="1"/>
  <c r="V62" i="1"/>
  <c r="U62" i="1"/>
  <c r="T62" i="1"/>
  <c r="Q62" i="1"/>
  <c r="P62" i="1"/>
  <c r="P66" i="1" s="1"/>
  <c r="O62" i="1"/>
  <c r="N62" i="1"/>
  <c r="M62" i="1"/>
  <c r="J62" i="1"/>
  <c r="I62" i="1"/>
  <c r="H62" i="1"/>
  <c r="G62" i="1"/>
  <c r="F62" i="1"/>
  <c r="AZ61" i="1"/>
  <c r="AY61" i="1"/>
  <c r="AX61" i="1"/>
  <c r="AS61" i="1"/>
  <c r="AR61" i="1"/>
  <c r="AQ61" i="1"/>
  <c r="AP61" i="1"/>
  <c r="AO61" i="1"/>
  <c r="AL61" i="1"/>
  <c r="AK61" i="1"/>
  <c r="AJ61" i="1"/>
  <c r="AI61" i="1"/>
  <c r="AH61" i="1"/>
  <c r="AE61" i="1"/>
  <c r="AD61" i="1"/>
  <c r="AC61" i="1"/>
  <c r="AB61" i="1"/>
  <c r="AA61" i="1"/>
  <c r="X61" i="1"/>
  <c r="W61" i="1"/>
  <c r="V61" i="1"/>
  <c r="U61" i="1"/>
  <c r="T61" i="1"/>
  <c r="Q61" i="1"/>
  <c r="P61" i="1"/>
  <c r="O61" i="1"/>
  <c r="N61" i="1"/>
  <c r="M61" i="1"/>
  <c r="J61" i="1"/>
  <c r="I61" i="1"/>
  <c r="H61" i="1"/>
  <c r="G61" i="1"/>
  <c r="F61" i="1"/>
  <c r="AZ60" i="1"/>
  <c r="AY60" i="1"/>
  <c r="AX60" i="1"/>
  <c r="AS60" i="1"/>
  <c r="AR60" i="1"/>
  <c r="AQ60" i="1"/>
  <c r="AP60" i="1"/>
  <c r="AO60" i="1"/>
  <c r="AL60" i="1"/>
  <c r="AK60" i="1"/>
  <c r="AJ60" i="1"/>
  <c r="AI60" i="1"/>
  <c r="AH60" i="1"/>
  <c r="AE60" i="1"/>
  <c r="AD60" i="1"/>
  <c r="AC60" i="1"/>
  <c r="AB60" i="1"/>
  <c r="AA60" i="1"/>
  <c r="X60" i="1"/>
  <c r="W60" i="1"/>
  <c r="V60" i="1"/>
  <c r="U60" i="1"/>
  <c r="T60" i="1"/>
  <c r="Q60" i="1"/>
  <c r="P60" i="1"/>
  <c r="O60" i="1"/>
  <c r="N60" i="1"/>
  <c r="M60" i="1"/>
  <c r="J60" i="1"/>
  <c r="I60" i="1"/>
  <c r="H60" i="1"/>
  <c r="G60" i="1"/>
  <c r="F60" i="1"/>
  <c r="AZ59" i="1"/>
  <c r="AY59" i="1"/>
  <c r="AX59" i="1"/>
  <c r="AS59" i="1"/>
  <c r="AR59" i="1"/>
  <c r="AQ59" i="1"/>
  <c r="AP59" i="1"/>
  <c r="AO59" i="1"/>
  <c r="AL59" i="1"/>
  <c r="AK59" i="1"/>
  <c r="AJ59" i="1"/>
  <c r="AI59" i="1"/>
  <c r="AH59" i="1"/>
  <c r="AE59" i="1"/>
  <c r="AD59" i="1"/>
  <c r="AC59" i="1"/>
  <c r="AB59" i="1"/>
  <c r="AA59" i="1"/>
  <c r="X59" i="1"/>
  <c r="W59" i="1"/>
  <c r="V59" i="1"/>
  <c r="U59" i="1"/>
  <c r="T59" i="1"/>
  <c r="Q59" i="1"/>
  <c r="P59" i="1"/>
  <c r="O59" i="1"/>
  <c r="N59" i="1"/>
  <c r="M59" i="1"/>
  <c r="J59" i="1"/>
  <c r="I59" i="1"/>
  <c r="H59" i="1"/>
  <c r="G59" i="1"/>
  <c r="F59" i="1"/>
  <c r="AZ58" i="1"/>
  <c r="AY58" i="1"/>
  <c r="AX58" i="1"/>
  <c r="AS58" i="1"/>
  <c r="AR58" i="1"/>
  <c r="AR66" i="1" s="1"/>
  <c r="AQ58" i="1"/>
  <c r="AL58" i="1"/>
  <c r="AK58" i="1"/>
  <c r="AJ58" i="1"/>
  <c r="AE58" i="1"/>
  <c r="AD58" i="1"/>
  <c r="AC58" i="1"/>
  <c r="AA58" i="1"/>
  <c r="X58" i="1"/>
  <c r="W58" i="1"/>
  <c r="V58" i="1"/>
  <c r="T58" i="1"/>
  <c r="Q58" i="1"/>
  <c r="P58" i="1"/>
  <c r="O58" i="1"/>
  <c r="M58" i="1"/>
  <c r="J58" i="1"/>
  <c r="I58" i="1"/>
  <c r="H58" i="1"/>
  <c r="F58" i="1"/>
  <c r="AZ57" i="1"/>
  <c r="AY57" i="1"/>
  <c r="AY66" i="1" s="1"/>
  <c r="AX57" i="1"/>
  <c r="AS57" i="1"/>
  <c r="AR57" i="1"/>
  <c r="AQ57" i="1"/>
  <c r="AL57" i="1"/>
  <c r="AK57" i="1"/>
  <c r="AK66" i="1" s="1"/>
  <c r="AJ57" i="1"/>
  <c r="AE57" i="1"/>
  <c r="AD57" i="1"/>
  <c r="AD66" i="1" s="1"/>
  <c r="AC57" i="1"/>
  <c r="AA57" i="1"/>
  <c r="X57" i="1"/>
  <c r="W57" i="1"/>
  <c r="W66" i="1" s="1"/>
  <c r="V57" i="1"/>
  <c r="T57" i="1"/>
  <c r="Q57" i="1"/>
  <c r="P57" i="1"/>
  <c r="O57" i="1"/>
  <c r="M57" i="1"/>
  <c r="J57" i="1"/>
  <c r="I57" i="1"/>
  <c r="H57" i="1"/>
  <c r="F57" i="1"/>
  <c r="AZ56" i="1"/>
  <c r="AX56" i="1"/>
  <c r="AW56" i="1"/>
  <c r="AV56" i="1"/>
  <c r="AU56" i="1"/>
  <c r="AT56" i="1"/>
  <c r="AS56" i="1"/>
  <c r="AQ56" i="1"/>
  <c r="AP56" i="1"/>
  <c r="AO56" i="1"/>
  <c r="AN56" i="1"/>
  <c r="AM56" i="1"/>
  <c r="AL56" i="1"/>
  <c r="AJ56" i="1"/>
  <c r="AI56" i="1"/>
  <c r="AH56" i="1"/>
  <c r="AG56" i="1"/>
  <c r="AF56" i="1"/>
  <c r="AE56" i="1"/>
  <c r="AC56" i="1"/>
  <c r="AB56" i="1"/>
  <c r="AA56" i="1"/>
  <c r="Z56" i="1"/>
  <c r="Y56" i="1"/>
  <c r="X56" i="1"/>
  <c r="V56" i="1"/>
  <c r="U56" i="1"/>
  <c r="T56" i="1"/>
  <c r="S56" i="1"/>
  <c r="R56" i="1"/>
  <c r="Q56" i="1"/>
  <c r="O56" i="1"/>
  <c r="N56" i="1"/>
  <c r="M56" i="1"/>
  <c r="L56" i="1"/>
  <c r="K56" i="1"/>
  <c r="J56" i="1"/>
  <c r="I56" i="1"/>
  <c r="H56" i="1"/>
  <c r="G56" i="1"/>
  <c r="F56" i="1"/>
  <c r="E56" i="1"/>
  <c r="D56" i="1"/>
  <c r="AZ55" i="1"/>
  <c r="AY55" i="1"/>
  <c r="AX55" i="1"/>
  <c r="AS55" i="1"/>
  <c r="AR55" i="1"/>
  <c r="AQ55" i="1"/>
  <c r="AP55" i="1"/>
  <c r="AO55" i="1"/>
  <c r="AL55" i="1"/>
  <c r="AK55" i="1"/>
  <c r="AJ55" i="1"/>
  <c r="AI55" i="1"/>
  <c r="AH55" i="1"/>
  <c r="AE55" i="1"/>
  <c r="AD55" i="1"/>
  <c r="AC55" i="1"/>
  <c r="AB55" i="1"/>
  <c r="AA55" i="1"/>
  <c r="X55" i="1"/>
  <c r="W55" i="1"/>
  <c r="V55" i="1"/>
  <c r="U55" i="1"/>
  <c r="T55" i="1"/>
  <c r="Q55" i="1"/>
  <c r="P55" i="1"/>
  <c r="O55" i="1"/>
  <c r="N55" i="1"/>
  <c r="M55" i="1"/>
  <c r="J55" i="1"/>
  <c r="I55" i="1"/>
  <c r="H55" i="1"/>
  <c r="G55" i="1"/>
  <c r="F55" i="1"/>
  <c r="AZ54" i="1"/>
  <c r="AY54" i="1"/>
  <c r="AX54" i="1"/>
  <c r="AS54" i="1"/>
  <c r="AR54" i="1"/>
  <c r="AQ54" i="1"/>
  <c r="AP54" i="1"/>
  <c r="AO54" i="1"/>
  <c r="AL54" i="1"/>
  <c r="AK54" i="1"/>
  <c r="AJ54" i="1"/>
  <c r="AI54" i="1"/>
  <c r="AH54" i="1"/>
  <c r="AE54" i="1"/>
  <c r="AD54" i="1"/>
  <c r="AC54" i="1"/>
  <c r="AB54" i="1"/>
  <c r="AA54" i="1"/>
  <c r="X54" i="1"/>
  <c r="W54" i="1"/>
  <c r="V54" i="1"/>
  <c r="U54" i="1"/>
  <c r="T54" i="1"/>
  <c r="Q54" i="1"/>
  <c r="P54" i="1"/>
  <c r="O54" i="1"/>
  <c r="N54" i="1"/>
  <c r="M54" i="1"/>
  <c r="J54" i="1"/>
  <c r="I54" i="1"/>
  <c r="H54" i="1"/>
  <c r="G54" i="1"/>
  <c r="F54" i="1"/>
  <c r="AZ53" i="1"/>
  <c r="AY53" i="1"/>
  <c r="AX53" i="1"/>
  <c r="AS53" i="1"/>
  <c r="AR53" i="1"/>
  <c r="AQ53" i="1"/>
  <c r="AP53" i="1"/>
  <c r="AO53" i="1"/>
  <c r="AL53" i="1"/>
  <c r="AK53" i="1"/>
  <c r="AJ53" i="1"/>
  <c r="AI53" i="1"/>
  <c r="AH53" i="1"/>
  <c r="AE53" i="1"/>
  <c r="AD53" i="1"/>
  <c r="AC53" i="1"/>
  <c r="AB53" i="1"/>
  <c r="AA53" i="1"/>
  <c r="X53" i="1"/>
  <c r="W53" i="1"/>
  <c r="V53" i="1"/>
  <c r="U53" i="1"/>
  <c r="T53" i="1"/>
  <c r="Q53" i="1"/>
  <c r="P53" i="1"/>
  <c r="O53" i="1"/>
  <c r="N53" i="1"/>
  <c r="M53" i="1"/>
  <c r="J53" i="1"/>
  <c r="I53" i="1"/>
  <c r="H53" i="1"/>
  <c r="G53" i="1"/>
  <c r="F53" i="1"/>
  <c r="AZ52" i="1"/>
  <c r="AY52" i="1"/>
  <c r="AX52" i="1"/>
  <c r="AS52" i="1"/>
  <c r="AR52" i="1"/>
  <c r="AQ52" i="1"/>
  <c r="AP52" i="1"/>
  <c r="AO52" i="1"/>
  <c r="AL52" i="1"/>
  <c r="AK52" i="1"/>
  <c r="AJ52" i="1"/>
  <c r="AI52" i="1"/>
  <c r="AH52" i="1"/>
  <c r="AE52" i="1"/>
  <c r="AD52" i="1"/>
  <c r="AC52" i="1"/>
  <c r="AB52" i="1"/>
  <c r="AA52" i="1"/>
  <c r="X52" i="1"/>
  <c r="W52" i="1"/>
  <c r="V52" i="1"/>
  <c r="U52" i="1"/>
  <c r="T52" i="1"/>
  <c r="Q52" i="1"/>
  <c r="P52" i="1"/>
  <c r="O52" i="1"/>
  <c r="N52" i="1"/>
  <c r="M52" i="1"/>
  <c r="J52" i="1"/>
  <c r="I52" i="1"/>
  <c r="H52" i="1"/>
  <c r="G52" i="1"/>
  <c r="F52" i="1"/>
  <c r="AZ51" i="1"/>
  <c r="AY51" i="1"/>
  <c r="AX51" i="1"/>
  <c r="AS51" i="1"/>
  <c r="AR51" i="1"/>
  <c r="AQ51" i="1"/>
  <c r="AP51" i="1"/>
  <c r="AO51" i="1"/>
  <c r="AL51" i="1"/>
  <c r="AK51" i="1"/>
  <c r="AJ51" i="1"/>
  <c r="AI51" i="1"/>
  <c r="AH51" i="1"/>
  <c r="AE51" i="1"/>
  <c r="AD51" i="1"/>
  <c r="AC51" i="1"/>
  <c r="AB51" i="1"/>
  <c r="AA51" i="1"/>
  <c r="X51" i="1"/>
  <c r="W51" i="1"/>
  <c r="V51" i="1"/>
  <c r="U51" i="1"/>
  <c r="T51" i="1"/>
  <c r="Q51" i="1"/>
  <c r="P51" i="1"/>
  <c r="O51" i="1"/>
  <c r="N51" i="1"/>
  <c r="M51" i="1"/>
  <c r="J51" i="1"/>
  <c r="I51" i="1"/>
  <c r="H51" i="1"/>
  <c r="G51" i="1"/>
  <c r="F51" i="1"/>
  <c r="AZ50" i="1"/>
  <c r="AY50" i="1"/>
  <c r="AX50" i="1"/>
  <c r="AS50" i="1"/>
  <c r="AR50" i="1"/>
  <c r="AQ50" i="1"/>
  <c r="AP50" i="1"/>
  <c r="AO50" i="1"/>
  <c r="AL50" i="1"/>
  <c r="AK50" i="1"/>
  <c r="AJ50" i="1"/>
  <c r="AI50" i="1"/>
  <c r="AH50" i="1"/>
  <c r="AE50" i="1"/>
  <c r="AD50" i="1"/>
  <c r="AC50" i="1"/>
  <c r="AB50" i="1"/>
  <c r="AA50" i="1"/>
  <c r="X50" i="1"/>
  <c r="W50" i="1"/>
  <c r="V50" i="1"/>
  <c r="U50" i="1"/>
  <c r="T50" i="1"/>
  <c r="Q50" i="1"/>
  <c r="P50" i="1"/>
  <c r="O50" i="1"/>
  <c r="N50" i="1"/>
  <c r="M50" i="1"/>
  <c r="J50" i="1"/>
  <c r="I50" i="1"/>
  <c r="H50" i="1"/>
  <c r="G50" i="1"/>
  <c r="F50" i="1"/>
  <c r="AZ49" i="1"/>
  <c r="AY49" i="1"/>
  <c r="AX49" i="1"/>
  <c r="AS49" i="1"/>
  <c r="AR49" i="1"/>
  <c r="AQ49" i="1"/>
  <c r="AP49" i="1"/>
  <c r="AO49" i="1"/>
  <c r="AL49" i="1"/>
  <c r="AK49" i="1"/>
  <c r="AK56" i="1" s="1"/>
  <c r="AJ49" i="1"/>
  <c r="AI49" i="1"/>
  <c r="AH49" i="1"/>
  <c r="AE49" i="1"/>
  <c r="AD49" i="1"/>
  <c r="AC49" i="1"/>
  <c r="AB49" i="1"/>
  <c r="AA49" i="1"/>
  <c r="X49" i="1"/>
  <c r="W49" i="1"/>
  <c r="V49" i="1"/>
  <c r="U49" i="1"/>
  <c r="T49" i="1"/>
  <c r="Q49" i="1"/>
  <c r="P49" i="1"/>
  <c r="O49" i="1"/>
  <c r="N49" i="1"/>
  <c r="M49" i="1"/>
  <c r="J49" i="1"/>
  <c r="I49" i="1"/>
  <c r="H49" i="1"/>
  <c r="G49" i="1"/>
  <c r="F49" i="1"/>
  <c r="AZ48" i="1"/>
  <c r="AY48" i="1"/>
  <c r="AY56" i="1" s="1"/>
  <c r="AX48" i="1"/>
  <c r="AS48" i="1"/>
  <c r="AR48" i="1"/>
  <c r="AR56" i="1" s="1"/>
  <c r="AQ48" i="1"/>
  <c r="AP48" i="1"/>
  <c r="AO48" i="1"/>
  <c r="AL48" i="1"/>
  <c r="AK48" i="1"/>
  <c r="AJ48" i="1"/>
  <c r="AI48" i="1"/>
  <c r="AH48" i="1"/>
  <c r="AE48" i="1"/>
  <c r="AD48" i="1"/>
  <c r="AD56" i="1" s="1"/>
  <c r="AC48" i="1"/>
  <c r="AB48" i="1"/>
  <c r="AA48" i="1"/>
  <c r="X48" i="1"/>
  <c r="W48" i="1"/>
  <c r="W56" i="1" s="1"/>
  <c r="V48" i="1"/>
  <c r="U48" i="1"/>
  <c r="T48" i="1"/>
  <c r="Q48" i="1"/>
  <c r="P48" i="1"/>
  <c r="P56" i="1" s="1"/>
  <c r="O48" i="1"/>
  <c r="N48" i="1"/>
  <c r="M48" i="1"/>
  <c r="J48" i="1"/>
  <c r="I48" i="1"/>
  <c r="H48" i="1"/>
  <c r="G48" i="1"/>
  <c r="F48" i="1"/>
  <c r="AZ47" i="1"/>
  <c r="AX47" i="1"/>
  <c r="AW47" i="1"/>
  <c r="AV47" i="1"/>
  <c r="AU47" i="1"/>
  <c r="AT47" i="1"/>
  <c r="AS47" i="1"/>
  <c r="AQ47" i="1"/>
  <c r="AP47" i="1"/>
  <c r="AO47" i="1"/>
  <c r="AN47" i="1"/>
  <c r="AM47" i="1"/>
  <c r="AL47" i="1"/>
  <c r="AJ47" i="1"/>
  <c r="AI47" i="1"/>
  <c r="AH47" i="1"/>
  <c r="AG47" i="1"/>
  <c r="AF47" i="1"/>
  <c r="AE47" i="1"/>
  <c r="AC47" i="1"/>
  <c r="AB47" i="1"/>
  <c r="AA47" i="1"/>
  <c r="Z47" i="1"/>
  <c r="Y47" i="1"/>
  <c r="X47" i="1"/>
  <c r="V47" i="1"/>
  <c r="U47" i="1"/>
  <c r="T47" i="1"/>
  <c r="S47" i="1"/>
  <c r="R47" i="1"/>
  <c r="Q47" i="1"/>
  <c r="O47" i="1"/>
  <c r="N47" i="1"/>
  <c r="M47" i="1"/>
  <c r="L47" i="1"/>
  <c r="K47" i="1"/>
  <c r="J47" i="1"/>
  <c r="I47" i="1"/>
  <c r="H47" i="1"/>
  <c r="G47" i="1"/>
  <c r="F47" i="1"/>
  <c r="E47" i="1"/>
  <c r="D47" i="1"/>
  <c r="AZ46" i="1"/>
  <c r="AY46" i="1"/>
  <c r="AX46" i="1"/>
  <c r="AS46" i="1"/>
  <c r="AR46" i="1"/>
  <c r="AQ46" i="1"/>
  <c r="AP46" i="1"/>
  <c r="AO46" i="1"/>
  <c r="AL46" i="1"/>
  <c r="AK46" i="1"/>
  <c r="AJ46" i="1"/>
  <c r="AI46" i="1"/>
  <c r="AH46" i="1"/>
  <c r="AE46" i="1"/>
  <c r="AD46" i="1"/>
  <c r="AC46" i="1"/>
  <c r="AB46" i="1"/>
  <c r="AA46" i="1"/>
  <c r="X46" i="1"/>
  <c r="W46" i="1"/>
  <c r="V46" i="1"/>
  <c r="U46" i="1"/>
  <c r="T46" i="1"/>
  <c r="Q46" i="1"/>
  <c r="P46" i="1"/>
  <c r="O46" i="1"/>
  <c r="N46" i="1"/>
  <c r="M46" i="1"/>
  <c r="J46" i="1"/>
  <c r="I46" i="1"/>
  <c r="H46" i="1"/>
  <c r="G46" i="1"/>
  <c r="F46" i="1"/>
  <c r="AZ45" i="1"/>
  <c r="AY45" i="1"/>
  <c r="AX45" i="1"/>
  <c r="AS45" i="1"/>
  <c r="AR45" i="1"/>
  <c r="AQ45" i="1"/>
  <c r="AP45" i="1"/>
  <c r="AO45" i="1"/>
  <c r="AL45" i="1"/>
  <c r="AK45" i="1"/>
  <c r="AJ45" i="1"/>
  <c r="AI45" i="1"/>
  <c r="AH45" i="1"/>
  <c r="AE45" i="1"/>
  <c r="AD45" i="1"/>
  <c r="AC45" i="1"/>
  <c r="AB45" i="1"/>
  <c r="AA45" i="1"/>
  <c r="X45" i="1"/>
  <c r="W45" i="1"/>
  <c r="V45" i="1"/>
  <c r="U45" i="1"/>
  <c r="T45" i="1"/>
  <c r="Q45" i="1"/>
  <c r="P45" i="1"/>
  <c r="O45" i="1"/>
  <c r="N45" i="1"/>
  <c r="M45" i="1"/>
  <c r="J45" i="1"/>
  <c r="I45" i="1"/>
  <c r="H45" i="1"/>
  <c r="G45" i="1"/>
  <c r="F45" i="1"/>
  <c r="AZ44" i="1"/>
  <c r="AY44" i="1"/>
  <c r="AX44" i="1"/>
  <c r="AS44" i="1"/>
  <c r="AR44" i="1"/>
  <c r="AQ44" i="1"/>
  <c r="AP44" i="1"/>
  <c r="AO44" i="1"/>
  <c r="AL44" i="1"/>
  <c r="AK44" i="1"/>
  <c r="AJ44" i="1"/>
  <c r="AI44" i="1"/>
  <c r="AH44" i="1"/>
  <c r="AE44" i="1"/>
  <c r="AD44" i="1"/>
  <c r="AC44" i="1"/>
  <c r="AB44" i="1"/>
  <c r="AA44" i="1"/>
  <c r="X44" i="1"/>
  <c r="W44" i="1"/>
  <c r="V44" i="1"/>
  <c r="U44" i="1"/>
  <c r="T44" i="1"/>
  <c r="Q44" i="1"/>
  <c r="P44" i="1"/>
  <c r="O44" i="1"/>
  <c r="N44" i="1"/>
  <c r="M44" i="1"/>
  <c r="J44" i="1"/>
  <c r="I44" i="1"/>
  <c r="H44" i="1"/>
  <c r="G44" i="1"/>
  <c r="F44" i="1"/>
  <c r="AZ43" i="1"/>
  <c r="AY43" i="1"/>
  <c r="AX43" i="1"/>
  <c r="AS43" i="1"/>
  <c r="AR43" i="1"/>
  <c r="AQ43" i="1"/>
  <c r="AP43" i="1"/>
  <c r="AO43" i="1"/>
  <c r="AL43" i="1"/>
  <c r="AK43" i="1"/>
  <c r="AJ43" i="1"/>
  <c r="AI43" i="1"/>
  <c r="AH43" i="1"/>
  <c r="AE43" i="1"/>
  <c r="AD43" i="1"/>
  <c r="AC43" i="1"/>
  <c r="AB43" i="1"/>
  <c r="AA43" i="1"/>
  <c r="X43" i="1"/>
  <c r="W43" i="1"/>
  <c r="V43" i="1"/>
  <c r="U43" i="1"/>
  <c r="T43" i="1"/>
  <c r="Q43" i="1"/>
  <c r="P43" i="1"/>
  <c r="O43" i="1"/>
  <c r="N43" i="1"/>
  <c r="M43" i="1"/>
  <c r="J43" i="1"/>
  <c r="I43" i="1"/>
  <c r="H43" i="1"/>
  <c r="G43" i="1"/>
  <c r="F43" i="1"/>
  <c r="AZ42" i="1"/>
  <c r="AY42" i="1"/>
  <c r="AX42" i="1"/>
  <c r="AS42" i="1"/>
  <c r="AR42" i="1"/>
  <c r="AQ42" i="1"/>
  <c r="AP42" i="1"/>
  <c r="AO42" i="1"/>
  <c r="AL42" i="1"/>
  <c r="AK42" i="1"/>
  <c r="AJ42" i="1"/>
  <c r="AI42" i="1"/>
  <c r="AH42" i="1"/>
  <c r="AE42" i="1"/>
  <c r="AD42" i="1"/>
  <c r="AC42" i="1"/>
  <c r="AB42" i="1"/>
  <c r="AA42" i="1"/>
  <c r="X42" i="1"/>
  <c r="W42" i="1"/>
  <c r="V42" i="1"/>
  <c r="U42" i="1"/>
  <c r="T42" i="1"/>
  <c r="Q42" i="1"/>
  <c r="P42" i="1"/>
  <c r="O42" i="1"/>
  <c r="N42" i="1"/>
  <c r="M42" i="1"/>
  <c r="J42" i="1"/>
  <c r="I42" i="1"/>
  <c r="H42" i="1"/>
  <c r="G42" i="1"/>
  <c r="F42" i="1"/>
  <c r="AZ41" i="1"/>
  <c r="AY41" i="1"/>
  <c r="AX41" i="1"/>
  <c r="AS41" i="1"/>
  <c r="AR41" i="1"/>
  <c r="AQ41" i="1"/>
  <c r="AP41" i="1"/>
  <c r="AO41" i="1"/>
  <c r="AL41" i="1"/>
  <c r="AK41" i="1"/>
  <c r="AJ41" i="1"/>
  <c r="AI41" i="1"/>
  <c r="AH41" i="1"/>
  <c r="AE41" i="1"/>
  <c r="AD41" i="1"/>
  <c r="AC41" i="1"/>
  <c r="AB41" i="1"/>
  <c r="AA41" i="1"/>
  <c r="X41" i="1"/>
  <c r="W41" i="1"/>
  <c r="W47" i="1" s="1"/>
  <c r="V41" i="1"/>
  <c r="U41" i="1"/>
  <c r="T41" i="1"/>
  <c r="Q41" i="1"/>
  <c r="P41" i="1"/>
  <c r="O41" i="1"/>
  <c r="N41" i="1"/>
  <c r="M41" i="1"/>
  <c r="J41" i="1"/>
  <c r="I41" i="1"/>
  <c r="H41" i="1"/>
  <c r="G41" i="1"/>
  <c r="F41" i="1"/>
  <c r="AZ40" i="1"/>
  <c r="AY40" i="1"/>
  <c r="AX40" i="1"/>
  <c r="AS40" i="1"/>
  <c r="AR40" i="1"/>
  <c r="AQ40" i="1"/>
  <c r="AP40" i="1"/>
  <c r="AO40" i="1"/>
  <c r="AL40" i="1"/>
  <c r="AK40" i="1"/>
  <c r="AJ40" i="1"/>
  <c r="AI40" i="1"/>
  <c r="AH40" i="1"/>
  <c r="AE40" i="1"/>
  <c r="AD40" i="1"/>
  <c r="AC40" i="1"/>
  <c r="AB40" i="1"/>
  <c r="AA40" i="1"/>
  <c r="X40" i="1"/>
  <c r="W40" i="1"/>
  <c r="V40" i="1"/>
  <c r="U40" i="1"/>
  <c r="T40" i="1"/>
  <c r="Q40" i="1"/>
  <c r="P40" i="1"/>
  <c r="O40" i="1"/>
  <c r="N40" i="1"/>
  <c r="M40" i="1"/>
  <c r="J40" i="1"/>
  <c r="I40" i="1"/>
  <c r="H40" i="1"/>
  <c r="G40" i="1"/>
  <c r="F40" i="1"/>
  <c r="AZ39" i="1"/>
  <c r="AY39" i="1"/>
  <c r="AY47" i="1" s="1"/>
  <c r="AX39" i="1"/>
  <c r="AS39" i="1"/>
  <c r="AR39" i="1"/>
  <c r="AQ39" i="1"/>
  <c r="AP39" i="1"/>
  <c r="AO39" i="1"/>
  <c r="AL39" i="1"/>
  <c r="AK39" i="1"/>
  <c r="AJ39" i="1"/>
  <c r="AI39" i="1"/>
  <c r="AH39" i="1"/>
  <c r="AE39" i="1"/>
  <c r="AD39" i="1"/>
  <c r="AC39" i="1"/>
  <c r="AB39" i="1"/>
  <c r="AA39" i="1"/>
  <c r="X39" i="1"/>
  <c r="W39" i="1"/>
  <c r="V39" i="1"/>
  <c r="U39" i="1"/>
  <c r="T39" i="1"/>
  <c r="Q39" i="1"/>
  <c r="P39" i="1"/>
  <c r="O39" i="1"/>
  <c r="N39" i="1"/>
  <c r="M39" i="1"/>
  <c r="J39" i="1"/>
  <c r="I39" i="1"/>
  <c r="H39" i="1"/>
  <c r="G39" i="1"/>
  <c r="F39" i="1"/>
  <c r="AZ38" i="1"/>
  <c r="AY38" i="1"/>
  <c r="AX38" i="1"/>
  <c r="AS38" i="1"/>
  <c r="AR38" i="1"/>
  <c r="AR47" i="1" s="1"/>
  <c r="AQ38" i="1"/>
  <c r="AP38" i="1"/>
  <c r="AO38" i="1"/>
  <c r="AL38" i="1"/>
  <c r="AK38" i="1"/>
  <c r="AK47" i="1" s="1"/>
  <c r="AJ38" i="1"/>
  <c r="AI38" i="1"/>
  <c r="AH38" i="1"/>
  <c r="AE38" i="1"/>
  <c r="AD38" i="1"/>
  <c r="AD47" i="1" s="1"/>
  <c r="AC38" i="1"/>
  <c r="AB38" i="1"/>
  <c r="AA38" i="1"/>
  <c r="X38" i="1"/>
  <c r="W38" i="1"/>
  <c r="V38" i="1"/>
  <c r="U38" i="1"/>
  <c r="T38" i="1"/>
  <c r="Q38" i="1"/>
  <c r="P38" i="1"/>
  <c r="P47" i="1" s="1"/>
  <c r="O38" i="1"/>
  <c r="N38" i="1"/>
  <c r="M38" i="1"/>
  <c r="J38" i="1"/>
  <c r="I38" i="1"/>
  <c r="H38" i="1"/>
  <c r="G38" i="1"/>
  <c r="F38" i="1"/>
  <c r="AZ37" i="1"/>
  <c r="AX37" i="1"/>
  <c r="AW37" i="1"/>
  <c r="AV37" i="1"/>
  <c r="AU37" i="1"/>
  <c r="AT37" i="1"/>
  <c r="AS37" i="1"/>
  <c r="AQ37" i="1"/>
  <c r="AP37" i="1"/>
  <c r="AO37" i="1"/>
  <c r="AN37" i="1"/>
  <c r="AM37" i="1"/>
  <c r="AL37" i="1"/>
  <c r="AJ37" i="1"/>
  <c r="AI37" i="1"/>
  <c r="AH37" i="1"/>
  <c r="AG37" i="1"/>
  <c r="AF37" i="1"/>
  <c r="AE37" i="1"/>
  <c r="AC37" i="1"/>
  <c r="AB37" i="1"/>
  <c r="AA37" i="1"/>
  <c r="Z37" i="1"/>
  <c r="Y37" i="1"/>
  <c r="X37" i="1"/>
  <c r="V37" i="1"/>
  <c r="U37" i="1"/>
  <c r="T37" i="1"/>
  <c r="S37" i="1"/>
  <c r="R37" i="1"/>
  <c r="Q37" i="1"/>
  <c r="O37" i="1"/>
  <c r="N37" i="1"/>
  <c r="M37" i="1"/>
  <c r="L37" i="1"/>
  <c r="K37" i="1"/>
  <c r="J37" i="1"/>
  <c r="I37" i="1"/>
  <c r="H37" i="1"/>
  <c r="G37" i="1"/>
  <c r="F37" i="1"/>
  <c r="E37" i="1"/>
  <c r="D37" i="1"/>
  <c r="AZ36" i="1"/>
  <c r="AY36" i="1"/>
  <c r="AX36" i="1"/>
  <c r="AS36" i="1"/>
  <c r="AR36" i="1"/>
  <c r="AQ36" i="1"/>
  <c r="AP36" i="1"/>
  <c r="AO36" i="1"/>
  <c r="AL36" i="1"/>
  <c r="AK36" i="1"/>
  <c r="AJ36" i="1"/>
  <c r="AI36" i="1"/>
  <c r="AH36" i="1"/>
  <c r="AE36" i="1"/>
  <c r="AD36" i="1"/>
  <c r="AC36" i="1"/>
  <c r="AB36" i="1"/>
  <c r="AA36" i="1"/>
  <c r="X36" i="1"/>
  <c r="W36" i="1"/>
  <c r="V36" i="1"/>
  <c r="U36" i="1"/>
  <c r="T36" i="1"/>
  <c r="Q36" i="1"/>
  <c r="P36" i="1"/>
  <c r="O36" i="1"/>
  <c r="N36" i="1"/>
  <c r="M36" i="1"/>
  <c r="J36" i="1"/>
  <c r="I36" i="1"/>
  <c r="H36" i="1"/>
  <c r="G36" i="1"/>
  <c r="F36" i="1"/>
  <c r="AZ35" i="1"/>
  <c r="AY35" i="1"/>
  <c r="AX35" i="1"/>
  <c r="AS35" i="1"/>
  <c r="AR35" i="1"/>
  <c r="AQ35" i="1"/>
  <c r="AP35" i="1"/>
  <c r="AO35" i="1"/>
  <c r="AL35" i="1"/>
  <c r="AK35" i="1"/>
  <c r="AJ35" i="1"/>
  <c r="AI35" i="1"/>
  <c r="AH35" i="1"/>
  <c r="AE35" i="1"/>
  <c r="AD35" i="1"/>
  <c r="AC35" i="1"/>
  <c r="AB35" i="1"/>
  <c r="AA35" i="1"/>
  <c r="X35" i="1"/>
  <c r="W35" i="1"/>
  <c r="V35" i="1"/>
  <c r="U35" i="1"/>
  <c r="T35" i="1"/>
  <c r="Q35" i="1"/>
  <c r="P35" i="1"/>
  <c r="O35" i="1"/>
  <c r="N35" i="1"/>
  <c r="M35" i="1"/>
  <c r="J35" i="1"/>
  <c r="I35" i="1"/>
  <c r="H35" i="1"/>
  <c r="G35" i="1"/>
  <c r="F35" i="1"/>
  <c r="AZ34" i="1"/>
  <c r="AY34" i="1"/>
  <c r="AX34" i="1"/>
  <c r="AS34" i="1"/>
  <c r="AR34" i="1"/>
  <c r="AQ34" i="1"/>
  <c r="AP34" i="1"/>
  <c r="AO34" i="1"/>
  <c r="AL34" i="1"/>
  <c r="AK34" i="1"/>
  <c r="AJ34" i="1"/>
  <c r="AI34" i="1"/>
  <c r="AH34" i="1"/>
  <c r="AE34" i="1"/>
  <c r="AD34" i="1"/>
  <c r="AC34" i="1"/>
  <c r="AB34" i="1"/>
  <c r="AA34" i="1"/>
  <c r="X34" i="1"/>
  <c r="W34" i="1"/>
  <c r="V34" i="1"/>
  <c r="U34" i="1"/>
  <c r="T34" i="1"/>
  <c r="Q34" i="1"/>
  <c r="P34" i="1"/>
  <c r="O34" i="1"/>
  <c r="N34" i="1"/>
  <c r="M34" i="1"/>
  <c r="J34" i="1"/>
  <c r="I34" i="1"/>
  <c r="H34" i="1"/>
  <c r="G34" i="1"/>
  <c r="F34" i="1"/>
  <c r="AZ33" i="1"/>
  <c r="AY33" i="1"/>
  <c r="AX33" i="1"/>
  <c r="AS33" i="1"/>
  <c r="AR33" i="1"/>
  <c r="AQ33" i="1"/>
  <c r="AP33" i="1"/>
  <c r="AO33" i="1"/>
  <c r="AL33" i="1"/>
  <c r="AK33" i="1"/>
  <c r="AJ33" i="1"/>
  <c r="AI33" i="1"/>
  <c r="AH33" i="1"/>
  <c r="AE33" i="1"/>
  <c r="AD33" i="1"/>
  <c r="AC33" i="1"/>
  <c r="AB33" i="1"/>
  <c r="AA33" i="1"/>
  <c r="X33" i="1"/>
  <c r="W33" i="1"/>
  <c r="V33" i="1"/>
  <c r="U33" i="1"/>
  <c r="T33" i="1"/>
  <c r="Q33" i="1"/>
  <c r="P33" i="1"/>
  <c r="O33" i="1"/>
  <c r="N33" i="1"/>
  <c r="M33" i="1"/>
  <c r="J33" i="1"/>
  <c r="I33" i="1"/>
  <c r="H33" i="1"/>
  <c r="G33" i="1"/>
  <c r="F33" i="1"/>
  <c r="AZ32" i="1"/>
  <c r="AY32" i="1"/>
  <c r="AX32" i="1"/>
  <c r="AS32" i="1"/>
  <c r="AR32" i="1"/>
  <c r="AQ32" i="1"/>
  <c r="AP32" i="1"/>
  <c r="AO32" i="1"/>
  <c r="AL32" i="1"/>
  <c r="AK32" i="1"/>
  <c r="AJ32" i="1"/>
  <c r="AI32" i="1"/>
  <c r="AH32" i="1"/>
  <c r="AE32" i="1"/>
  <c r="AD32" i="1"/>
  <c r="AC32" i="1"/>
  <c r="AB32" i="1"/>
  <c r="AA32" i="1"/>
  <c r="X32" i="1"/>
  <c r="W32" i="1"/>
  <c r="V32" i="1"/>
  <c r="U32" i="1"/>
  <c r="T32" i="1"/>
  <c r="Q32" i="1"/>
  <c r="P32" i="1"/>
  <c r="O32" i="1"/>
  <c r="N32" i="1"/>
  <c r="M32" i="1"/>
  <c r="J32" i="1"/>
  <c r="I32" i="1"/>
  <c r="H32" i="1"/>
  <c r="G32" i="1"/>
  <c r="F32" i="1"/>
  <c r="AZ31" i="1"/>
  <c r="AY31" i="1"/>
  <c r="AX31" i="1"/>
  <c r="AS31" i="1"/>
  <c r="AR31" i="1"/>
  <c r="AQ31" i="1"/>
  <c r="AP31" i="1"/>
  <c r="AO31" i="1"/>
  <c r="AL31" i="1"/>
  <c r="AK31" i="1"/>
  <c r="AJ31" i="1"/>
  <c r="AI31" i="1"/>
  <c r="AH31" i="1"/>
  <c r="AE31" i="1"/>
  <c r="AD31" i="1"/>
  <c r="AC31" i="1"/>
  <c r="AB31" i="1"/>
  <c r="AA31" i="1"/>
  <c r="X31" i="1"/>
  <c r="W31" i="1"/>
  <c r="V31" i="1"/>
  <c r="U31" i="1"/>
  <c r="T31" i="1"/>
  <c r="Q31" i="1"/>
  <c r="P31" i="1"/>
  <c r="O31" i="1"/>
  <c r="N31" i="1"/>
  <c r="M31" i="1"/>
  <c r="J31" i="1"/>
  <c r="I31" i="1"/>
  <c r="H31" i="1"/>
  <c r="G31" i="1"/>
  <c r="F31" i="1"/>
  <c r="AZ30" i="1"/>
  <c r="AY30" i="1"/>
  <c r="AX30" i="1"/>
  <c r="AS30" i="1"/>
  <c r="AR30" i="1"/>
  <c r="AQ30" i="1"/>
  <c r="AP30" i="1"/>
  <c r="AO30" i="1"/>
  <c r="AL30" i="1"/>
  <c r="AK30" i="1"/>
  <c r="AJ30" i="1"/>
  <c r="AI30" i="1"/>
  <c r="AH30" i="1"/>
  <c r="AE30" i="1"/>
  <c r="AD30" i="1"/>
  <c r="AC30" i="1"/>
  <c r="AB30" i="1"/>
  <c r="AA30" i="1"/>
  <c r="X30" i="1"/>
  <c r="W30" i="1"/>
  <c r="V30" i="1"/>
  <c r="U30" i="1"/>
  <c r="T30" i="1"/>
  <c r="Q30" i="1"/>
  <c r="P30" i="1"/>
  <c r="O30" i="1"/>
  <c r="N30" i="1"/>
  <c r="M30" i="1"/>
  <c r="J30" i="1"/>
  <c r="I30" i="1"/>
  <c r="H30" i="1"/>
  <c r="G30" i="1"/>
  <c r="F30" i="1"/>
  <c r="AZ29" i="1"/>
  <c r="AY29" i="1"/>
  <c r="AX29" i="1"/>
  <c r="AS29" i="1"/>
  <c r="AR29" i="1"/>
  <c r="AQ29" i="1"/>
  <c r="AP29" i="1"/>
  <c r="AO29" i="1"/>
  <c r="AL29" i="1"/>
  <c r="AK29" i="1"/>
  <c r="AJ29" i="1"/>
  <c r="AI29" i="1"/>
  <c r="AH29" i="1"/>
  <c r="AE29" i="1"/>
  <c r="AD29" i="1"/>
  <c r="AC29" i="1"/>
  <c r="AB29" i="1"/>
  <c r="AA29" i="1"/>
  <c r="X29" i="1"/>
  <c r="W29" i="1"/>
  <c r="V29" i="1"/>
  <c r="U29" i="1"/>
  <c r="T29" i="1"/>
  <c r="Q29" i="1"/>
  <c r="P29" i="1"/>
  <c r="O29" i="1"/>
  <c r="N29" i="1"/>
  <c r="M29" i="1"/>
  <c r="J29" i="1"/>
  <c r="I29" i="1"/>
  <c r="H29" i="1"/>
  <c r="G29" i="1"/>
  <c r="F29" i="1"/>
  <c r="AZ28" i="1"/>
  <c r="AY28" i="1"/>
  <c r="AX28" i="1"/>
  <c r="AS28" i="1"/>
  <c r="AR28" i="1"/>
  <c r="AQ28" i="1"/>
  <c r="AP28" i="1"/>
  <c r="AO28" i="1"/>
  <c r="AL28" i="1"/>
  <c r="AK28" i="1"/>
  <c r="AJ28" i="1"/>
  <c r="AI28" i="1"/>
  <c r="AH28" i="1"/>
  <c r="AE28" i="1"/>
  <c r="AD28" i="1"/>
  <c r="AC28" i="1"/>
  <c r="AB28" i="1"/>
  <c r="AA28" i="1"/>
  <c r="X28" i="1"/>
  <c r="W28" i="1"/>
  <c r="V28" i="1"/>
  <c r="U28" i="1"/>
  <c r="T28" i="1"/>
  <c r="Q28" i="1"/>
  <c r="P28" i="1"/>
  <c r="O28" i="1"/>
  <c r="N28" i="1"/>
  <c r="M28" i="1"/>
  <c r="J28" i="1"/>
  <c r="I28" i="1"/>
  <c r="H28" i="1"/>
  <c r="G28" i="1"/>
  <c r="F28" i="1"/>
  <c r="AZ27" i="1"/>
  <c r="AY27" i="1"/>
  <c r="AX27" i="1"/>
  <c r="AS27" i="1"/>
  <c r="AR27" i="1"/>
  <c r="AQ27" i="1"/>
  <c r="AP27" i="1"/>
  <c r="AO27" i="1"/>
  <c r="AL27" i="1"/>
  <c r="AK27" i="1"/>
  <c r="AK37" i="1" s="1"/>
  <c r="AJ27" i="1"/>
  <c r="AI27" i="1"/>
  <c r="AH27" i="1"/>
  <c r="AE27" i="1"/>
  <c r="AD27" i="1"/>
  <c r="AC27" i="1"/>
  <c r="AB27" i="1"/>
  <c r="AA27" i="1"/>
  <c r="X27" i="1"/>
  <c r="W27" i="1"/>
  <c r="W37" i="1" s="1"/>
  <c r="V27" i="1"/>
  <c r="U27" i="1"/>
  <c r="T27" i="1"/>
  <c r="Q27" i="1"/>
  <c r="P27" i="1"/>
  <c r="O27" i="1"/>
  <c r="N27" i="1"/>
  <c r="M27" i="1"/>
  <c r="J27" i="1"/>
  <c r="I27" i="1"/>
  <c r="H27" i="1"/>
  <c r="G27" i="1"/>
  <c r="F27" i="1"/>
  <c r="AZ26" i="1"/>
  <c r="AY26" i="1"/>
  <c r="AY37" i="1" s="1"/>
  <c r="AX26" i="1"/>
  <c r="AS26" i="1"/>
  <c r="AR26" i="1"/>
  <c r="AR37" i="1" s="1"/>
  <c r="AQ26" i="1"/>
  <c r="AP26" i="1"/>
  <c r="AO26" i="1"/>
  <c r="AL26" i="1"/>
  <c r="AK26" i="1"/>
  <c r="AJ26" i="1"/>
  <c r="AI26" i="1"/>
  <c r="AH26" i="1"/>
  <c r="AE26" i="1"/>
  <c r="AD26" i="1"/>
  <c r="AD37" i="1" s="1"/>
  <c r="AC26" i="1"/>
  <c r="AB26" i="1"/>
  <c r="AA26" i="1"/>
  <c r="X26" i="1"/>
  <c r="W26" i="1"/>
  <c r="V26" i="1"/>
  <c r="U26" i="1"/>
  <c r="T26" i="1"/>
  <c r="Q26" i="1"/>
  <c r="P26" i="1"/>
  <c r="P37" i="1" s="1"/>
  <c r="O26" i="1"/>
  <c r="N26" i="1"/>
  <c r="M26" i="1"/>
  <c r="J26" i="1"/>
  <c r="I26" i="1"/>
  <c r="H26" i="1"/>
  <c r="G26" i="1"/>
  <c r="F26" i="1"/>
  <c r="AZ25" i="1"/>
  <c r="AX25" i="1"/>
  <c r="AW25" i="1"/>
  <c r="AV25" i="1"/>
  <c r="AU25" i="1"/>
  <c r="AT25" i="1"/>
  <c r="AS25" i="1"/>
  <c r="AQ25" i="1"/>
  <c r="AP25" i="1"/>
  <c r="AO25" i="1"/>
  <c r="AN25" i="1"/>
  <c r="AM25" i="1"/>
  <c r="AL25" i="1"/>
  <c r="AJ25" i="1"/>
  <c r="AI25" i="1"/>
  <c r="AH25" i="1"/>
  <c r="AG25" i="1"/>
  <c r="AF25" i="1"/>
  <c r="AE25" i="1"/>
  <c r="AC25" i="1"/>
  <c r="AB25" i="1"/>
  <c r="AA25" i="1"/>
  <c r="Z25" i="1"/>
  <c r="Y25" i="1"/>
  <c r="X25" i="1"/>
  <c r="V25" i="1"/>
  <c r="U25" i="1"/>
  <c r="T25" i="1"/>
  <c r="S25" i="1"/>
  <c r="R25" i="1"/>
  <c r="Q25" i="1"/>
  <c r="O25" i="1"/>
  <c r="N25" i="1"/>
  <c r="M25" i="1"/>
  <c r="L25" i="1"/>
  <c r="K25" i="1"/>
  <c r="J25" i="1"/>
  <c r="I25" i="1"/>
  <c r="H25" i="1"/>
  <c r="G25" i="1"/>
  <c r="F25" i="1"/>
  <c r="E25" i="1"/>
  <c r="D25" i="1"/>
  <c r="AZ24" i="1"/>
  <c r="AY24" i="1"/>
  <c r="AX24" i="1"/>
  <c r="AS24" i="1"/>
  <c r="AR24" i="1"/>
  <c r="AQ24" i="1"/>
  <c r="AP24" i="1"/>
  <c r="AO24" i="1"/>
  <c r="AL24" i="1"/>
  <c r="AK24" i="1"/>
  <c r="AJ24" i="1"/>
  <c r="AI24" i="1"/>
  <c r="AH24" i="1"/>
  <c r="AE24" i="1"/>
  <c r="AD24" i="1"/>
  <c r="AC24" i="1"/>
  <c r="AB24" i="1"/>
  <c r="AA24" i="1"/>
  <c r="X24" i="1"/>
  <c r="W24" i="1"/>
  <c r="V24" i="1"/>
  <c r="U24" i="1"/>
  <c r="T24" i="1"/>
  <c r="Q24" i="1"/>
  <c r="P24" i="1"/>
  <c r="O24" i="1"/>
  <c r="N24" i="1"/>
  <c r="M24" i="1"/>
  <c r="J24" i="1"/>
  <c r="I24" i="1"/>
  <c r="H24" i="1"/>
  <c r="G24" i="1"/>
  <c r="F24" i="1"/>
  <c r="AZ23" i="1"/>
  <c r="AY23" i="1"/>
  <c r="AX23" i="1"/>
  <c r="AS23" i="1"/>
  <c r="AR23" i="1"/>
  <c r="AQ23" i="1"/>
  <c r="AP23" i="1"/>
  <c r="AO23" i="1"/>
  <c r="AL23" i="1"/>
  <c r="AK23" i="1"/>
  <c r="AJ23" i="1"/>
  <c r="AI23" i="1"/>
  <c r="AH23" i="1"/>
  <c r="AE23" i="1"/>
  <c r="AD23" i="1"/>
  <c r="AC23" i="1"/>
  <c r="AB23" i="1"/>
  <c r="AA23" i="1"/>
  <c r="X23" i="1"/>
  <c r="W23" i="1"/>
  <c r="V23" i="1"/>
  <c r="U23" i="1"/>
  <c r="T23" i="1"/>
  <c r="Q23" i="1"/>
  <c r="P23" i="1"/>
  <c r="O23" i="1"/>
  <c r="N23" i="1"/>
  <c r="M23" i="1"/>
  <c r="J23" i="1"/>
  <c r="I23" i="1"/>
  <c r="H23" i="1"/>
  <c r="G23" i="1"/>
  <c r="F23" i="1"/>
  <c r="AZ22" i="1"/>
  <c r="AY22" i="1"/>
  <c r="AX22" i="1"/>
  <c r="AS22" i="1"/>
  <c r="AR22" i="1"/>
  <c r="AQ22" i="1"/>
  <c r="AP22" i="1"/>
  <c r="AO22" i="1"/>
  <c r="AL22" i="1"/>
  <c r="AK22" i="1"/>
  <c r="AJ22" i="1"/>
  <c r="AI22" i="1"/>
  <c r="AH22" i="1"/>
  <c r="AE22" i="1"/>
  <c r="AD22" i="1"/>
  <c r="AC22" i="1"/>
  <c r="AB22" i="1"/>
  <c r="AA22" i="1"/>
  <c r="X22" i="1"/>
  <c r="W22" i="1"/>
  <c r="V22" i="1"/>
  <c r="U22" i="1"/>
  <c r="T22" i="1"/>
  <c r="Q22" i="1"/>
  <c r="P22" i="1"/>
  <c r="O22" i="1"/>
  <c r="N22" i="1"/>
  <c r="M22" i="1"/>
  <c r="J22" i="1"/>
  <c r="I22" i="1"/>
  <c r="H22" i="1"/>
  <c r="G22" i="1"/>
  <c r="F22" i="1"/>
  <c r="AZ21" i="1"/>
  <c r="AY21" i="1"/>
  <c r="AX21" i="1"/>
  <c r="AS21" i="1"/>
  <c r="AR21" i="1"/>
  <c r="AQ21" i="1"/>
  <c r="AP21" i="1"/>
  <c r="AO21" i="1"/>
  <c r="AL21" i="1"/>
  <c r="AK21" i="1"/>
  <c r="AJ21" i="1"/>
  <c r="AI21" i="1"/>
  <c r="AH21" i="1"/>
  <c r="AE21" i="1"/>
  <c r="AD21" i="1"/>
  <c r="AC21" i="1"/>
  <c r="AB21" i="1"/>
  <c r="AA21" i="1"/>
  <c r="X21" i="1"/>
  <c r="W21" i="1"/>
  <c r="V21" i="1"/>
  <c r="U21" i="1"/>
  <c r="T21" i="1"/>
  <c r="Q21" i="1"/>
  <c r="P21" i="1"/>
  <c r="O21" i="1"/>
  <c r="N21" i="1"/>
  <c r="M21" i="1"/>
  <c r="J21" i="1"/>
  <c r="I21" i="1"/>
  <c r="H21" i="1"/>
  <c r="G21" i="1"/>
  <c r="F21" i="1"/>
  <c r="AZ20" i="1"/>
  <c r="AY20" i="1"/>
  <c r="AX20" i="1"/>
  <c r="AS20" i="1"/>
  <c r="AR20" i="1"/>
  <c r="AQ20" i="1"/>
  <c r="AP20" i="1"/>
  <c r="AO20" i="1"/>
  <c r="AL20" i="1"/>
  <c r="AK20" i="1"/>
  <c r="AJ20" i="1"/>
  <c r="AI20" i="1"/>
  <c r="AH20" i="1"/>
  <c r="AE20" i="1"/>
  <c r="AD20" i="1"/>
  <c r="AC20" i="1"/>
  <c r="AB20" i="1"/>
  <c r="AA20" i="1"/>
  <c r="X20" i="1"/>
  <c r="W20" i="1"/>
  <c r="V20" i="1"/>
  <c r="U20" i="1"/>
  <c r="T20" i="1"/>
  <c r="Q20" i="1"/>
  <c r="P20" i="1"/>
  <c r="O20" i="1"/>
  <c r="N20" i="1"/>
  <c r="M20" i="1"/>
  <c r="J20" i="1"/>
  <c r="I20" i="1"/>
  <c r="H20" i="1"/>
  <c r="G20" i="1"/>
  <c r="F20" i="1"/>
  <c r="AZ19" i="1"/>
  <c r="AY19" i="1"/>
  <c r="AX19" i="1"/>
  <c r="AS19" i="1"/>
  <c r="AR19" i="1"/>
  <c r="AQ19" i="1"/>
  <c r="AP19" i="1"/>
  <c r="AO19" i="1"/>
  <c r="AL19" i="1"/>
  <c r="AK19" i="1"/>
  <c r="AK25" i="1" s="1"/>
  <c r="AJ19" i="1"/>
  <c r="AI19" i="1"/>
  <c r="AH19" i="1"/>
  <c r="AE19" i="1"/>
  <c r="AD19" i="1"/>
  <c r="AC19" i="1"/>
  <c r="AB19" i="1"/>
  <c r="AA19" i="1"/>
  <c r="X19" i="1"/>
  <c r="W19" i="1"/>
  <c r="V19" i="1"/>
  <c r="U19" i="1"/>
  <c r="T19" i="1"/>
  <c r="Q19" i="1"/>
  <c r="P19" i="1"/>
  <c r="O19" i="1"/>
  <c r="N19" i="1"/>
  <c r="M19" i="1"/>
  <c r="J19" i="1"/>
  <c r="I19" i="1"/>
  <c r="H19" i="1"/>
  <c r="G19" i="1"/>
  <c r="F19" i="1"/>
  <c r="AZ18" i="1"/>
  <c r="AY18" i="1"/>
  <c r="AX18" i="1"/>
  <c r="AS18" i="1"/>
  <c r="AR18" i="1"/>
  <c r="AQ18" i="1"/>
  <c r="AP18" i="1"/>
  <c r="AO18" i="1"/>
  <c r="AL18" i="1"/>
  <c r="AK18" i="1"/>
  <c r="AJ18" i="1"/>
  <c r="AI18" i="1"/>
  <c r="AH18" i="1"/>
  <c r="AE18" i="1"/>
  <c r="AD18" i="1"/>
  <c r="AC18" i="1"/>
  <c r="AB18" i="1"/>
  <c r="AA18" i="1"/>
  <c r="X18" i="1"/>
  <c r="W18" i="1"/>
  <c r="V18" i="1"/>
  <c r="U18" i="1"/>
  <c r="T18" i="1"/>
  <c r="Q18" i="1"/>
  <c r="P18" i="1"/>
  <c r="O18" i="1"/>
  <c r="N18" i="1"/>
  <c r="M18" i="1"/>
  <c r="J18" i="1"/>
  <c r="I18" i="1"/>
  <c r="H18" i="1"/>
  <c r="G18" i="1"/>
  <c r="F18" i="1"/>
  <c r="AZ17" i="1"/>
  <c r="AY17" i="1"/>
  <c r="AY25" i="1" s="1"/>
  <c r="AX17" i="1"/>
  <c r="AS17" i="1"/>
  <c r="AR17" i="1"/>
  <c r="AQ17" i="1"/>
  <c r="AP17" i="1"/>
  <c r="AO17" i="1"/>
  <c r="AL17" i="1"/>
  <c r="AK17" i="1"/>
  <c r="AJ17" i="1"/>
  <c r="AI17" i="1"/>
  <c r="AH17" i="1"/>
  <c r="AE17" i="1"/>
  <c r="AD17" i="1"/>
  <c r="AC17" i="1"/>
  <c r="AB17" i="1"/>
  <c r="AA17" i="1"/>
  <c r="X17" i="1"/>
  <c r="W17" i="1"/>
  <c r="V17" i="1"/>
  <c r="U17" i="1"/>
  <c r="T17" i="1"/>
  <c r="Q17" i="1"/>
  <c r="P17" i="1"/>
  <c r="O17" i="1"/>
  <c r="N17" i="1"/>
  <c r="M17" i="1"/>
  <c r="J17" i="1"/>
  <c r="I17" i="1"/>
  <c r="H17" i="1"/>
  <c r="G17" i="1"/>
  <c r="F17" i="1"/>
  <c r="AZ16" i="1"/>
  <c r="AY16" i="1"/>
  <c r="AX16" i="1"/>
  <c r="AS16" i="1"/>
  <c r="AR16" i="1"/>
  <c r="AR25" i="1" s="1"/>
  <c r="AQ16" i="1"/>
  <c r="AP16" i="1"/>
  <c r="AO16" i="1"/>
  <c r="AL16" i="1"/>
  <c r="AK16" i="1"/>
  <c r="AJ16" i="1"/>
  <c r="AI16" i="1"/>
  <c r="AH16" i="1"/>
  <c r="AE16" i="1"/>
  <c r="AD16" i="1"/>
  <c r="AD25" i="1" s="1"/>
  <c r="AC16" i="1"/>
  <c r="AB16" i="1"/>
  <c r="AA16" i="1"/>
  <c r="X16" i="1"/>
  <c r="W16" i="1"/>
  <c r="W25" i="1" s="1"/>
  <c r="V16" i="1"/>
  <c r="U16" i="1"/>
  <c r="T16" i="1"/>
  <c r="Q16" i="1"/>
  <c r="P16" i="1"/>
  <c r="P25" i="1" s="1"/>
  <c r="O16" i="1"/>
  <c r="N16" i="1"/>
  <c r="M16" i="1"/>
  <c r="J16" i="1"/>
  <c r="I16" i="1"/>
  <c r="H16" i="1"/>
  <c r="G16" i="1"/>
  <c r="F16" i="1"/>
  <c r="AZ15" i="1"/>
  <c r="AX15" i="1"/>
  <c r="AW15" i="1"/>
  <c r="AV15" i="1"/>
  <c r="AU15" i="1"/>
  <c r="AT15" i="1"/>
  <c r="AS15" i="1"/>
  <c r="AQ15" i="1"/>
  <c r="AP15" i="1"/>
  <c r="AO15" i="1"/>
  <c r="AN15" i="1"/>
  <c r="AM15" i="1"/>
  <c r="AL15" i="1"/>
  <c r="AJ15" i="1"/>
  <c r="AI15" i="1"/>
  <c r="AH15" i="1"/>
  <c r="AG15" i="1"/>
  <c r="AF15" i="1"/>
  <c r="AE15" i="1"/>
  <c r="AC15" i="1"/>
  <c r="AB15" i="1"/>
  <c r="AA15" i="1"/>
  <c r="Z15" i="1"/>
  <c r="Y15" i="1"/>
  <c r="X15" i="1"/>
  <c r="V15" i="1"/>
  <c r="U15" i="1"/>
  <c r="T15" i="1"/>
  <c r="S15" i="1"/>
  <c r="R15" i="1"/>
  <c r="Q15" i="1"/>
  <c r="O15" i="1"/>
  <c r="N15" i="1"/>
  <c r="M15" i="1"/>
  <c r="L15" i="1"/>
  <c r="K15" i="1"/>
  <c r="J15" i="1"/>
  <c r="I15" i="1"/>
  <c r="H15" i="1"/>
  <c r="G15" i="1"/>
  <c r="F15" i="1"/>
  <c r="E15" i="1"/>
  <c r="D15" i="1"/>
  <c r="AZ14" i="1"/>
  <c r="AY14" i="1"/>
  <c r="AX14" i="1"/>
  <c r="AS14" i="1"/>
  <c r="AR14" i="1"/>
  <c r="AQ14" i="1"/>
  <c r="AP14" i="1"/>
  <c r="AO14" i="1"/>
  <c r="AL14" i="1"/>
  <c r="AK14" i="1"/>
  <c r="AJ14" i="1"/>
  <c r="AI14" i="1"/>
  <c r="AH14" i="1"/>
  <c r="AE14" i="1"/>
  <c r="AD14" i="1"/>
  <c r="AC14" i="1"/>
  <c r="AB14" i="1"/>
  <c r="AA14" i="1"/>
  <c r="X14" i="1"/>
  <c r="W14" i="1"/>
  <c r="V14" i="1"/>
  <c r="U14" i="1"/>
  <c r="T14" i="1"/>
  <c r="Q14" i="1"/>
  <c r="P14" i="1"/>
  <c r="O14" i="1"/>
  <c r="N14" i="1"/>
  <c r="M14" i="1"/>
  <c r="J14" i="1"/>
  <c r="I14" i="1"/>
  <c r="H14" i="1"/>
  <c r="G14" i="1"/>
  <c r="F14" i="1"/>
  <c r="AZ13" i="1"/>
  <c r="AY13" i="1"/>
  <c r="AX13" i="1"/>
  <c r="AS13" i="1"/>
  <c r="AR13" i="1"/>
  <c r="AQ13" i="1"/>
  <c r="AP13" i="1"/>
  <c r="AO13" i="1"/>
  <c r="AL13" i="1"/>
  <c r="AK13" i="1"/>
  <c r="AJ13" i="1"/>
  <c r="AI13" i="1"/>
  <c r="AH13" i="1"/>
  <c r="AE13" i="1"/>
  <c r="AD13" i="1"/>
  <c r="AC13" i="1"/>
  <c r="AB13" i="1"/>
  <c r="AA13" i="1"/>
  <c r="X13" i="1"/>
  <c r="W13" i="1"/>
  <c r="V13" i="1"/>
  <c r="U13" i="1"/>
  <c r="T13" i="1"/>
  <c r="Q13" i="1"/>
  <c r="P13" i="1"/>
  <c r="O13" i="1"/>
  <c r="N13" i="1"/>
  <c r="M13" i="1"/>
  <c r="J13" i="1"/>
  <c r="I13" i="1"/>
  <c r="H13" i="1"/>
  <c r="G13" i="1"/>
  <c r="F13" i="1"/>
  <c r="AZ12" i="1"/>
  <c r="AY12" i="1"/>
  <c r="AX12" i="1"/>
  <c r="AS12" i="1"/>
  <c r="AR12" i="1"/>
  <c r="AQ12" i="1"/>
  <c r="AP12" i="1"/>
  <c r="AO12" i="1"/>
  <c r="AL12" i="1"/>
  <c r="AK12" i="1"/>
  <c r="AJ12" i="1"/>
  <c r="AI12" i="1"/>
  <c r="AH12" i="1"/>
  <c r="AE12" i="1"/>
  <c r="AD12" i="1"/>
  <c r="AC12" i="1"/>
  <c r="AB12" i="1"/>
  <c r="AA12" i="1"/>
  <c r="X12" i="1"/>
  <c r="W12" i="1"/>
  <c r="V12" i="1"/>
  <c r="U12" i="1"/>
  <c r="T12" i="1"/>
  <c r="Q12" i="1"/>
  <c r="P12" i="1"/>
  <c r="O12" i="1"/>
  <c r="N12" i="1"/>
  <c r="M12" i="1"/>
  <c r="J12" i="1"/>
  <c r="I12" i="1"/>
  <c r="H12" i="1"/>
  <c r="G12" i="1"/>
  <c r="F12" i="1"/>
  <c r="AZ11" i="1"/>
  <c r="AY11" i="1"/>
  <c r="AX11" i="1"/>
  <c r="AS11" i="1"/>
  <c r="AR11" i="1"/>
  <c r="AQ11" i="1"/>
  <c r="AP11" i="1"/>
  <c r="AO11" i="1"/>
  <c r="AL11" i="1"/>
  <c r="AK11" i="1"/>
  <c r="AJ11" i="1"/>
  <c r="AI11" i="1"/>
  <c r="AH11" i="1"/>
  <c r="AE11" i="1"/>
  <c r="AD11" i="1"/>
  <c r="AC11" i="1"/>
  <c r="AB11" i="1"/>
  <c r="AA11" i="1"/>
  <c r="X11" i="1"/>
  <c r="W11" i="1"/>
  <c r="V11" i="1"/>
  <c r="U11" i="1"/>
  <c r="T11" i="1"/>
  <c r="Q11" i="1"/>
  <c r="P11" i="1"/>
  <c r="O11" i="1"/>
  <c r="N11" i="1"/>
  <c r="M11" i="1"/>
  <c r="J11" i="1"/>
  <c r="I11" i="1"/>
  <c r="H11" i="1"/>
  <c r="G11" i="1"/>
  <c r="F11" i="1"/>
  <c r="AZ10" i="1"/>
  <c r="AY10" i="1"/>
  <c r="AX10" i="1"/>
  <c r="AS10" i="1"/>
  <c r="AR10" i="1"/>
  <c r="AQ10" i="1"/>
  <c r="AP10" i="1"/>
  <c r="AO10" i="1"/>
  <c r="AL10" i="1"/>
  <c r="AK10" i="1"/>
  <c r="AJ10" i="1"/>
  <c r="AI10" i="1"/>
  <c r="AH10" i="1"/>
  <c r="AE10" i="1"/>
  <c r="AD10" i="1"/>
  <c r="AC10" i="1"/>
  <c r="AB10" i="1"/>
  <c r="AA10" i="1"/>
  <c r="X10" i="1"/>
  <c r="W10" i="1"/>
  <c r="V10" i="1"/>
  <c r="U10" i="1"/>
  <c r="T10" i="1"/>
  <c r="Q10" i="1"/>
  <c r="P10" i="1"/>
  <c r="O10" i="1"/>
  <c r="N10" i="1"/>
  <c r="M10" i="1"/>
  <c r="J10" i="1"/>
  <c r="I10" i="1"/>
  <c r="H10" i="1"/>
  <c r="G10" i="1"/>
  <c r="F10" i="1"/>
  <c r="AZ9" i="1"/>
  <c r="AY9" i="1"/>
  <c r="AX9" i="1"/>
  <c r="AS9" i="1"/>
  <c r="AR9" i="1"/>
  <c r="AQ9" i="1"/>
  <c r="AP9" i="1"/>
  <c r="AO9" i="1"/>
  <c r="AL9" i="1"/>
  <c r="AK9" i="1"/>
  <c r="AJ9" i="1"/>
  <c r="AI9" i="1"/>
  <c r="AH9" i="1"/>
  <c r="AE9" i="1"/>
  <c r="AD9" i="1"/>
  <c r="AC9" i="1"/>
  <c r="AB9" i="1"/>
  <c r="AA9" i="1"/>
  <c r="X9" i="1"/>
  <c r="W9" i="1"/>
  <c r="V9" i="1"/>
  <c r="U9" i="1"/>
  <c r="T9" i="1"/>
  <c r="Q9" i="1"/>
  <c r="P9" i="1"/>
  <c r="O9" i="1"/>
  <c r="N9" i="1"/>
  <c r="M9" i="1"/>
  <c r="J9" i="1"/>
  <c r="I9" i="1"/>
  <c r="H9" i="1"/>
  <c r="G9" i="1"/>
  <c r="F9" i="1"/>
  <c r="AZ8" i="1"/>
  <c r="AY8" i="1"/>
  <c r="AX8" i="1"/>
  <c r="AS8" i="1"/>
  <c r="AR8" i="1"/>
  <c r="AQ8" i="1"/>
  <c r="AP8" i="1"/>
  <c r="AO8" i="1"/>
  <c r="AL8" i="1"/>
  <c r="AK8" i="1"/>
  <c r="AJ8" i="1"/>
  <c r="AI8" i="1"/>
  <c r="AH8" i="1"/>
  <c r="AE8" i="1"/>
  <c r="AD8" i="1"/>
  <c r="AC8" i="1"/>
  <c r="AB8" i="1"/>
  <c r="AA8" i="1"/>
  <c r="X8" i="1"/>
  <c r="W8" i="1"/>
  <c r="V8" i="1"/>
  <c r="U8" i="1"/>
  <c r="T8" i="1"/>
  <c r="Q8" i="1"/>
  <c r="P8" i="1"/>
  <c r="O8" i="1"/>
  <c r="N8" i="1"/>
  <c r="M8" i="1"/>
  <c r="J8" i="1"/>
  <c r="I8" i="1"/>
  <c r="H8" i="1"/>
  <c r="G8" i="1"/>
  <c r="F8" i="1"/>
  <c r="AZ7" i="1"/>
  <c r="AY7" i="1"/>
  <c r="AY15" i="1" s="1"/>
  <c r="AY85" i="1" s="1"/>
  <c r="AX7" i="1"/>
  <c r="AS7" i="1"/>
  <c r="AR7" i="1"/>
  <c r="AQ7" i="1"/>
  <c r="AP7" i="1"/>
  <c r="AO7" i="1"/>
  <c r="AL7" i="1"/>
  <c r="AK7" i="1"/>
  <c r="AJ7" i="1"/>
  <c r="AI7" i="1"/>
  <c r="AH7" i="1"/>
  <c r="AE7" i="1"/>
  <c r="AD7" i="1"/>
  <c r="AC7" i="1"/>
  <c r="AB7" i="1"/>
  <c r="AA7" i="1"/>
  <c r="X7" i="1"/>
  <c r="W7" i="1"/>
  <c r="V7" i="1"/>
  <c r="U7" i="1"/>
  <c r="T7" i="1"/>
  <c r="Q7" i="1"/>
  <c r="P7" i="1"/>
  <c r="O7" i="1"/>
  <c r="N7" i="1"/>
  <c r="M7" i="1"/>
  <c r="J7" i="1"/>
  <c r="I7" i="1"/>
  <c r="H7" i="1"/>
  <c r="G7" i="1"/>
  <c r="F7" i="1"/>
  <c r="AZ6" i="1"/>
  <c r="AY6" i="1"/>
  <c r="AX6" i="1"/>
  <c r="AS6" i="1"/>
  <c r="AR6" i="1"/>
  <c r="AQ6" i="1"/>
  <c r="AP6" i="1"/>
  <c r="AO6" i="1"/>
  <c r="AL6" i="1"/>
  <c r="AK6" i="1"/>
  <c r="AJ6" i="1"/>
  <c r="AI6" i="1"/>
  <c r="AH6" i="1"/>
  <c r="AE6" i="1"/>
  <c r="AD6" i="1"/>
  <c r="AD15" i="1" s="1"/>
  <c r="AC6" i="1"/>
  <c r="AB6" i="1"/>
  <c r="AA6" i="1"/>
  <c r="X6" i="1"/>
  <c r="W6" i="1"/>
  <c r="V6" i="1"/>
  <c r="U6" i="1"/>
  <c r="T6" i="1"/>
  <c r="Q6" i="1"/>
  <c r="P6" i="1"/>
  <c r="O6" i="1"/>
  <c r="N6" i="1"/>
  <c r="M6" i="1"/>
  <c r="J6" i="1"/>
  <c r="I6" i="1"/>
  <c r="H6" i="1"/>
  <c r="G6" i="1"/>
  <c r="F6" i="1"/>
  <c r="AZ5" i="1"/>
  <c r="AY5" i="1"/>
  <c r="AX5" i="1"/>
  <c r="AS5" i="1"/>
  <c r="AR5" i="1"/>
  <c r="AR15" i="1" s="1"/>
  <c r="AQ5" i="1"/>
  <c r="AP5" i="1"/>
  <c r="AO5" i="1"/>
  <c r="AL5" i="1"/>
  <c r="AK5" i="1"/>
  <c r="AK15" i="1" s="1"/>
  <c r="AJ5" i="1"/>
  <c r="AI5" i="1"/>
  <c r="AH5" i="1"/>
  <c r="AE5" i="1"/>
  <c r="AD5" i="1"/>
  <c r="AC5" i="1"/>
  <c r="AB5" i="1"/>
  <c r="AA5" i="1"/>
  <c r="X5" i="1"/>
  <c r="W5" i="1"/>
  <c r="W15" i="1" s="1"/>
  <c r="W85" i="1" s="1"/>
  <c r="V5" i="1"/>
  <c r="U5" i="1"/>
  <c r="T5" i="1"/>
  <c r="Q5" i="1"/>
  <c r="P5" i="1"/>
  <c r="P15" i="1" s="1"/>
  <c r="O5" i="1"/>
  <c r="N5" i="1"/>
  <c r="M5" i="1"/>
  <c r="J5" i="1"/>
  <c r="I5" i="1"/>
  <c r="H5" i="1"/>
  <c r="G5" i="1"/>
  <c r="F5" i="1"/>
  <c r="AN42" i="2" l="1"/>
  <c r="AQ42" i="2" s="1"/>
  <c r="X8" i="2"/>
  <c r="AA8" i="2" s="1"/>
  <c r="X9" i="2"/>
  <c r="AA9" i="2" s="1"/>
  <c r="P82" i="2"/>
  <c r="S82" i="2" s="1"/>
  <c r="AF69" i="2"/>
  <c r="AI69" i="2" s="1"/>
  <c r="X71" i="2"/>
  <c r="AA71" i="2" s="1"/>
  <c r="AV76" i="2"/>
  <c r="AY76" i="2" s="1"/>
  <c r="X83" i="2"/>
  <c r="AA83" i="2" s="1"/>
  <c r="P52" i="2"/>
  <c r="S52" i="2" s="1"/>
  <c r="AN22" i="2"/>
  <c r="AQ22" i="2" s="1"/>
  <c r="X39" i="2"/>
  <c r="AA39" i="2" s="1"/>
  <c r="X40" i="2"/>
  <c r="AA40" i="2" s="1"/>
  <c r="P64" i="2"/>
  <c r="S64" i="2" s="1"/>
  <c r="H72" i="2"/>
  <c r="K72" i="2" s="1"/>
  <c r="AN75" i="2"/>
  <c r="AQ75" i="2" s="1"/>
  <c r="H76" i="2"/>
  <c r="K76" i="2" s="1"/>
  <c r="AN76" i="2"/>
  <c r="AQ76" i="2" s="1"/>
  <c r="E85" i="2"/>
  <c r="U85" i="2"/>
  <c r="BA85" i="2"/>
  <c r="X13" i="2"/>
  <c r="AA13" i="2" s="1"/>
  <c r="AF32" i="2"/>
  <c r="AI32" i="2" s="1"/>
  <c r="AF33" i="2"/>
  <c r="AI33" i="2" s="1"/>
  <c r="AF35" i="2"/>
  <c r="AI35" i="2" s="1"/>
  <c r="AF53" i="2"/>
  <c r="AI53" i="2" s="1"/>
  <c r="AF54" i="2"/>
  <c r="AI54" i="2" s="1"/>
  <c r="AN33" i="2"/>
  <c r="AQ33" i="2" s="1"/>
  <c r="H34" i="2"/>
  <c r="K34" i="2" s="1"/>
  <c r="H32" i="2"/>
  <c r="K32" i="2" s="1"/>
  <c r="H33" i="2"/>
  <c r="K33" i="2" s="1"/>
  <c r="AN49" i="2"/>
  <c r="AQ49" i="2" s="1"/>
  <c r="H6" i="2"/>
  <c r="K6" i="2" s="1"/>
  <c r="AN6" i="2"/>
  <c r="AQ6" i="2" s="1"/>
  <c r="AV6" i="2"/>
  <c r="AY6" i="2" s="1"/>
  <c r="AN9" i="2"/>
  <c r="AQ9" i="2" s="1"/>
  <c r="P10" i="2"/>
  <c r="S10" i="2" s="1"/>
  <c r="AV10" i="2"/>
  <c r="AY10" i="2" s="1"/>
  <c r="P12" i="2"/>
  <c r="S12" i="2" s="1"/>
  <c r="AV12" i="2"/>
  <c r="AY12" i="2" s="1"/>
  <c r="X18" i="2"/>
  <c r="AA18" i="2" s="1"/>
  <c r="AV21" i="2"/>
  <c r="AY21" i="2" s="1"/>
  <c r="X46" i="2"/>
  <c r="AA46" i="2" s="1"/>
  <c r="X50" i="2"/>
  <c r="AA50" i="2" s="1"/>
  <c r="X62" i="2"/>
  <c r="AA62" i="2" s="1"/>
  <c r="AF62" i="2"/>
  <c r="AI62" i="2" s="1"/>
  <c r="X64" i="2"/>
  <c r="AA64" i="2" s="1"/>
  <c r="X74" i="2"/>
  <c r="AA74" i="2" s="1"/>
  <c r="P79" i="2"/>
  <c r="S79" i="2" s="1"/>
  <c r="AV79" i="2"/>
  <c r="AY79" i="2" s="1"/>
  <c r="H13" i="2"/>
  <c r="K13" i="2" s="1"/>
  <c r="H28" i="2"/>
  <c r="K28" i="2" s="1"/>
  <c r="AN28" i="2"/>
  <c r="AQ28" i="2" s="1"/>
  <c r="P33" i="2"/>
  <c r="S33" i="2" s="1"/>
  <c r="AV33" i="2"/>
  <c r="AY33" i="2" s="1"/>
  <c r="AV46" i="2"/>
  <c r="AY46" i="2" s="1"/>
  <c r="P49" i="2"/>
  <c r="S49" i="2" s="1"/>
  <c r="P65" i="2"/>
  <c r="S65" i="2" s="1"/>
  <c r="AV65" i="2"/>
  <c r="AY65" i="2" s="1"/>
  <c r="AF80" i="2"/>
  <c r="AI80" i="2" s="1"/>
  <c r="AF81" i="2"/>
  <c r="AI81" i="2" s="1"/>
  <c r="H83" i="2"/>
  <c r="K83" i="2" s="1"/>
  <c r="BE47" i="2"/>
  <c r="X7" i="2"/>
  <c r="AA7" i="2" s="1"/>
  <c r="H9" i="2"/>
  <c r="K9" i="2" s="1"/>
  <c r="P13" i="2"/>
  <c r="S13" i="2" s="1"/>
  <c r="AV13" i="2"/>
  <c r="AY13" i="2" s="1"/>
  <c r="X16" i="2"/>
  <c r="AA16" i="2" s="1"/>
  <c r="X20" i="2"/>
  <c r="AA20" i="2" s="1"/>
  <c r="AF21" i="2"/>
  <c r="AI21" i="2" s="1"/>
  <c r="X23" i="2"/>
  <c r="AA23" i="2" s="1"/>
  <c r="X24" i="2"/>
  <c r="AA24" i="2" s="1"/>
  <c r="X26" i="2"/>
  <c r="AA26" i="2" s="1"/>
  <c r="AF27" i="2"/>
  <c r="AI27" i="2" s="1"/>
  <c r="AF31" i="2"/>
  <c r="AI31" i="2" s="1"/>
  <c r="AN34" i="2"/>
  <c r="AQ34" i="2" s="1"/>
  <c r="P36" i="2"/>
  <c r="S36" i="2" s="1"/>
  <c r="AV36" i="2"/>
  <c r="AY36" i="2" s="1"/>
  <c r="P39" i="2"/>
  <c r="S39" i="2" s="1"/>
  <c r="AN39" i="2"/>
  <c r="AQ39" i="2" s="1"/>
  <c r="H40" i="2"/>
  <c r="K40" i="2" s="1"/>
  <c r="AN40" i="2"/>
  <c r="AQ40" i="2" s="1"/>
  <c r="H42" i="2"/>
  <c r="K42" i="2" s="1"/>
  <c r="Q56" i="2"/>
  <c r="AN50" i="2"/>
  <c r="AQ50" i="2" s="1"/>
  <c r="AN52" i="2"/>
  <c r="AQ52" i="2" s="1"/>
  <c r="AN54" i="2"/>
  <c r="AQ54" i="2" s="1"/>
  <c r="P55" i="2"/>
  <c r="S55" i="2" s="1"/>
  <c r="AV55" i="2"/>
  <c r="AY55" i="2" s="1"/>
  <c r="H59" i="2"/>
  <c r="K59" i="2" s="1"/>
  <c r="AN59" i="2"/>
  <c r="AQ59" i="2" s="1"/>
  <c r="AN60" i="2"/>
  <c r="AQ60" i="2" s="1"/>
  <c r="AV61" i="2"/>
  <c r="AY61" i="2" s="1"/>
  <c r="P63" i="2"/>
  <c r="S63" i="2" s="1"/>
  <c r="AV63" i="2"/>
  <c r="AY63" i="2" s="1"/>
  <c r="P71" i="2"/>
  <c r="S71" i="2" s="1"/>
  <c r="AN71" i="2"/>
  <c r="AQ71" i="2" s="1"/>
  <c r="P75" i="2"/>
  <c r="S75" i="2" s="1"/>
  <c r="AV75" i="2"/>
  <c r="AY75" i="2" s="1"/>
  <c r="P76" i="2"/>
  <c r="S76" i="2" s="1"/>
  <c r="AU84" i="2"/>
  <c r="AN80" i="2"/>
  <c r="AQ80" i="2" s="1"/>
  <c r="P83" i="2"/>
  <c r="S83" i="2" s="1"/>
  <c r="AV83" i="2"/>
  <c r="AY83" i="2" s="1"/>
  <c r="AT25" i="2"/>
  <c r="F15" i="2"/>
  <c r="BE25" i="2"/>
  <c r="AT73" i="2"/>
  <c r="H7" i="2"/>
  <c r="K7" i="2" s="1"/>
  <c r="AN7" i="2"/>
  <c r="AQ7" i="2" s="1"/>
  <c r="P8" i="2"/>
  <c r="S8" i="2" s="1"/>
  <c r="AV8" i="2"/>
  <c r="AY8" i="2" s="1"/>
  <c r="H14" i="2"/>
  <c r="K14" i="2" s="1"/>
  <c r="AN14" i="2"/>
  <c r="AQ14" i="2" s="1"/>
  <c r="P17" i="2"/>
  <c r="S17" i="2" s="1"/>
  <c r="H18" i="2"/>
  <c r="K18" i="2" s="1"/>
  <c r="AN18" i="2"/>
  <c r="AQ18" i="2" s="1"/>
  <c r="H20" i="2"/>
  <c r="K20" i="2" s="1"/>
  <c r="AN20" i="2"/>
  <c r="AQ20" i="2" s="1"/>
  <c r="H21" i="2"/>
  <c r="K21" i="2" s="1"/>
  <c r="H24" i="2"/>
  <c r="K24" i="2" s="1"/>
  <c r="AN24" i="2"/>
  <c r="AQ24" i="2" s="1"/>
  <c r="H26" i="2"/>
  <c r="K26" i="2" s="1"/>
  <c r="P29" i="2"/>
  <c r="S29" i="2" s="1"/>
  <c r="AV29" i="2"/>
  <c r="AY29" i="2" s="1"/>
  <c r="P30" i="2"/>
  <c r="S30" i="2" s="1"/>
  <c r="AV30" i="2"/>
  <c r="AY30" i="2" s="1"/>
  <c r="P31" i="2"/>
  <c r="S31" i="2" s="1"/>
  <c r="AV31" i="2"/>
  <c r="AY31" i="2" s="1"/>
  <c r="X32" i="2"/>
  <c r="AA32" i="2" s="1"/>
  <c r="X33" i="2"/>
  <c r="AA33" i="2" s="1"/>
  <c r="X34" i="2"/>
  <c r="AA34" i="2" s="1"/>
  <c r="X36" i="2"/>
  <c r="AA36" i="2" s="1"/>
  <c r="X38" i="2"/>
  <c r="AA38" i="2" s="1"/>
  <c r="X41" i="2"/>
  <c r="AA41" i="2" s="1"/>
  <c r="AF42" i="2"/>
  <c r="AI42" i="2" s="1"/>
  <c r="AF43" i="2"/>
  <c r="AI43" i="2" s="1"/>
  <c r="AF45" i="2"/>
  <c r="AI45" i="2" s="1"/>
  <c r="AN46" i="2"/>
  <c r="AQ46" i="2" s="1"/>
  <c r="AN48" i="2"/>
  <c r="AQ48" i="2" s="1"/>
  <c r="AV49" i="2"/>
  <c r="AY49" i="2" s="1"/>
  <c r="P50" i="2"/>
  <c r="S50" i="2" s="1"/>
  <c r="AV50" i="2"/>
  <c r="AY50" i="2" s="1"/>
  <c r="AV51" i="2"/>
  <c r="AY51" i="2" s="1"/>
  <c r="X53" i="2"/>
  <c r="AA53" i="2" s="1"/>
  <c r="X54" i="2"/>
  <c r="AA54" i="2" s="1"/>
  <c r="AF63" i="2"/>
  <c r="AI63" i="2" s="1"/>
  <c r="H64" i="2"/>
  <c r="K64" i="2" s="1"/>
  <c r="AN64" i="2"/>
  <c r="AQ64" i="2" s="1"/>
  <c r="P70" i="2"/>
  <c r="S70" i="2" s="1"/>
  <c r="X70" i="2"/>
  <c r="AA70" i="2" s="1"/>
  <c r="AF72" i="2"/>
  <c r="AI72" i="2" s="1"/>
  <c r="X79" i="2"/>
  <c r="AA79" i="2" s="1"/>
  <c r="AG73" i="2"/>
  <c r="AD15" i="2"/>
  <c r="X21" i="2"/>
  <c r="AA21" i="2" s="1"/>
  <c r="AN26" i="2"/>
  <c r="AQ26" i="2" s="1"/>
  <c r="Y37" i="2"/>
  <c r="AM47" i="2"/>
  <c r="X42" i="2"/>
  <c r="AA42" i="2" s="1"/>
  <c r="AN53" i="2"/>
  <c r="AQ53" i="2" s="1"/>
  <c r="H54" i="2"/>
  <c r="K54" i="2" s="1"/>
  <c r="AV60" i="2"/>
  <c r="AY60" i="2" s="1"/>
  <c r="P61" i="2"/>
  <c r="S61" i="2" s="1"/>
  <c r="AV68" i="2"/>
  <c r="AY68" i="2" s="1"/>
  <c r="X75" i="2"/>
  <c r="AA75" i="2" s="1"/>
  <c r="I25" i="2"/>
  <c r="P21" i="2"/>
  <c r="S21" i="2" s="1"/>
  <c r="X22" i="2"/>
  <c r="AA22" i="2" s="1"/>
  <c r="X51" i="2"/>
  <c r="AA51" i="2" s="1"/>
  <c r="H65" i="2"/>
  <c r="K65" i="2" s="1"/>
  <c r="AN65" i="2"/>
  <c r="AQ65" i="2" s="1"/>
  <c r="H68" i="2"/>
  <c r="K68" i="2" s="1"/>
  <c r="G84" i="2"/>
  <c r="AM84" i="2"/>
  <c r="AW84" i="2"/>
  <c r="H81" i="2"/>
  <c r="K81" i="2" s="1"/>
  <c r="Q47" i="2"/>
  <c r="AW47" i="2"/>
  <c r="Y47" i="2"/>
  <c r="AN45" i="2"/>
  <c r="AQ45" i="2" s="1"/>
  <c r="H46" i="2"/>
  <c r="K46" i="2" s="1"/>
  <c r="P48" i="2"/>
  <c r="S48" i="2" s="1"/>
  <c r="AF51" i="2"/>
  <c r="AI51" i="2" s="1"/>
  <c r="H53" i="2"/>
  <c r="K53" i="2" s="1"/>
  <c r="H12" i="2"/>
  <c r="K12" i="2" s="1"/>
  <c r="N15" i="2"/>
  <c r="W15" i="2"/>
  <c r="AV5" i="2"/>
  <c r="AY5" i="2" s="1"/>
  <c r="P6" i="2"/>
  <c r="S6" i="2" s="1"/>
  <c r="AF7" i="2"/>
  <c r="AI7" i="2" s="1"/>
  <c r="X11" i="2"/>
  <c r="AA11" i="2" s="1"/>
  <c r="AF12" i="2"/>
  <c r="AI12" i="2" s="1"/>
  <c r="AN13" i="2"/>
  <c r="AQ13" i="2" s="1"/>
  <c r="P14" i="2"/>
  <c r="S14" i="2" s="1"/>
  <c r="AV14" i="2"/>
  <c r="AY14" i="2" s="1"/>
  <c r="X17" i="2"/>
  <c r="AA17" i="2" s="1"/>
  <c r="AF19" i="2"/>
  <c r="AI19" i="2" s="1"/>
  <c r="AN21" i="2"/>
  <c r="AQ21" i="2" s="1"/>
  <c r="H22" i="2"/>
  <c r="K22" i="2" s="1"/>
  <c r="X30" i="2"/>
  <c r="AA30" i="2" s="1"/>
  <c r="AF30" i="2"/>
  <c r="AI30" i="2" s="1"/>
  <c r="P32" i="2"/>
  <c r="S32" i="2" s="1"/>
  <c r="P35" i="2"/>
  <c r="S35" i="2" s="1"/>
  <c r="AV35" i="2"/>
  <c r="AY35" i="2" s="1"/>
  <c r="AF41" i="2"/>
  <c r="AI41" i="2" s="1"/>
  <c r="H44" i="2"/>
  <c r="K44" i="2" s="1"/>
  <c r="P44" i="2"/>
  <c r="S44" i="2" s="1"/>
  <c r="AN44" i="2"/>
  <c r="AQ44" i="2" s="1"/>
  <c r="AV44" i="2"/>
  <c r="AY44" i="2" s="1"/>
  <c r="P45" i="2"/>
  <c r="S45" i="2" s="1"/>
  <c r="AV45" i="2"/>
  <c r="AY45" i="2" s="1"/>
  <c r="AF46" i="2"/>
  <c r="AI46" i="2" s="1"/>
  <c r="V56" i="2"/>
  <c r="P51" i="2"/>
  <c r="S51" i="2" s="1"/>
  <c r="AF55" i="2"/>
  <c r="AI55" i="2" s="1"/>
  <c r="AN69" i="2"/>
  <c r="AQ69" i="2" s="1"/>
  <c r="AF71" i="2"/>
  <c r="AI71" i="2" s="1"/>
  <c r="P72" i="2"/>
  <c r="S72" i="2" s="1"/>
  <c r="AN72" i="2"/>
  <c r="AQ72" i="2" s="1"/>
  <c r="AF74" i="2"/>
  <c r="AI74" i="2" s="1"/>
  <c r="I77" i="2"/>
  <c r="AN79" i="2"/>
  <c r="AQ79" i="2" s="1"/>
  <c r="H80" i="2"/>
  <c r="K80" i="2" s="1"/>
  <c r="P80" i="2"/>
  <c r="S80" i="2" s="1"/>
  <c r="X81" i="2"/>
  <c r="AA81" i="2" s="1"/>
  <c r="X82" i="2"/>
  <c r="AA82" i="2" s="1"/>
  <c r="AF83" i="2"/>
  <c r="AI83" i="2" s="1"/>
  <c r="AO25" i="2"/>
  <c r="AD47" i="2"/>
  <c r="H41" i="2"/>
  <c r="K41" i="2" s="1"/>
  <c r="AN41" i="2"/>
  <c r="AQ41" i="2" s="1"/>
  <c r="H45" i="2"/>
  <c r="K45" i="2" s="1"/>
  <c r="X55" i="2"/>
  <c r="AA55" i="2" s="1"/>
  <c r="Q66" i="2"/>
  <c r="AD66" i="2"/>
  <c r="AF57" i="2"/>
  <c r="AI57" i="2" s="1"/>
  <c r="AG66" i="2"/>
  <c r="P59" i="2"/>
  <c r="S59" i="2" s="1"/>
  <c r="X60" i="2"/>
  <c r="AA60" i="2" s="1"/>
  <c r="AF60" i="2"/>
  <c r="AI60" i="2" s="1"/>
  <c r="H61" i="2"/>
  <c r="K61" i="2" s="1"/>
  <c r="AN67" i="2"/>
  <c r="AQ67" i="2" s="1"/>
  <c r="AN68" i="2"/>
  <c r="AQ68" i="2" s="1"/>
  <c r="AV71" i="2"/>
  <c r="AY71" i="2" s="1"/>
  <c r="AG77" i="2"/>
  <c r="AG15" i="2"/>
  <c r="AB85" i="2"/>
  <c r="X6" i="2"/>
  <c r="AA6" i="2" s="1"/>
  <c r="AF6" i="2"/>
  <c r="AI6" i="2" s="1"/>
  <c r="M85" i="2"/>
  <c r="AC85" i="2"/>
  <c r="AS85" i="2"/>
  <c r="BC85" i="2"/>
  <c r="AD25" i="2"/>
  <c r="AN27" i="2"/>
  <c r="AQ27" i="2" s="1"/>
  <c r="X35" i="2"/>
  <c r="AA35" i="2" s="1"/>
  <c r="P40" i="2"/>
  <c r="S40" i="2" s="1"/>
  <c r="F56" i="2"/>
  <c r="Y56" i="2"/>
  <c r="AL56" i="2"/>
  <c r="AF50" i="2"/>
  <c r="AI50" i="2" s="1"/>
  <c r="Q73" i="2"/>
  <c r="I73" i="2"/>
  <c r="AT47" i="2"/>
  <c r="AV39" i="2"/>
  <c r="AY39" i="2" s="1"/>
  <c r="G47" i="2"/>
  <c r="BE15" i="2"/>
  <c r="AV7" i="2"/>
  <c r="AY7" i="2" s="1"/>
  <c r="X10" i="2"/>
  <c r="AA10" i="2" s="1"/>
  <c r="X14" i="2"/>
  <c r="AA14" i="2" s="1"/>
  <c r="AR85" i="2"/>
  <c r="P18" i="2"/>
  <c r="S18" i="2" s="1"/>
  <c r="H19" i="2"/>
  <c r="K19" i="2" s="1"/>
  <c r="AN19" i="2"/>
  <c r="AQ19" i="2" s="1"/>
  <c r="P22" i="2"/>
  <c r="S22" i="2" s="1"/>
  <c r="H23" i="2"/>
  <c r="K23" i="2" s="1"/>
  <c r="AN23" i="2"/>
  <c r="AQ23" i="2" s="1"/>
  <c r="AW37" i="2"/>
  <c r="BE37" i="2"/>
  <c r="I47" i="2"/>
  <c r="AL15" i="2"/>
  <c r="AO15" i="2"/>
  <c r="AF9" i="2"/>
  <c r="AI9" i="2" s="1"/>
  <c r="AN12" i="2"/>
  <c r="AQ12" i="2" s="1"/>
  <c r="AF13" i="2"/>
  <c r="AI13" i="2" s="1"/>
  <c r="BD25" i="2"/>
  <c r="BF25" i="2" s="1"/>
  <c r="AF20" i="2"/>
  <c r="AI20" i="2" s="1"/>
  <c r="AF24" i="2"/>
  <c r="AI24" i="2" s="1"/>
  <c r="AG37" i="2"/>
  <c r="H27" i="2"/>
  <c r="K27" i="2" s="1"/>
  <c r="G15" i="2"/>
  <c r="AM15" i="2"/>
  <c r="AT15" i="2"/>
  <c r="P7" i="2"/>
  <c r="S7" i="2" s="1"/>
  <c r="H8" i="2"/>
  <c r="K8" i="2" s="1"/>
  <c r="AF8" i="2"/>
  <c r="AI8" i="2" s="1"/>
  <c r="AN8" i="2"/>
  <c r="AQ8" i="2" s="1"/>
  <c r="O15" i="2"/>
  <c r="AF10" i="2"/>
  <c r="AI10" i="2" s="1"/>
  <c r="H11" i="2"/>
  <c r="K11" i="2" s="1"/>
  <c r="P11" i="2"/>
  <c r="S11" i="2" s="1"/>
  <c r="AN11" i="2"/>
  <c r="AQ11" i="2" s="1"/>
  <c r="AV11" i="2"/>
  <c r="AY11" i="2" s="1"/>
  <c r="AF14" i="2"/>
  <c r="AI14" i="2" s="1"/>
  <c r="D85" i="2"/>
  <c r="AJ85" i="2"/>
  <c r="AZ85" i="2"/>
  <c r="F25" i="2"/>
  <c r="AM25" i="2"/>
  <c r="AV17" i="2"/>
  <c r="AY17" i="2" s="1"/>
  <c r="AV18" i="2"/>
  <c r="AY18" i="2" s="1"/>
  <c r="P19" i="2"/>
  <c r="S19" i="2" s="1"/>
  <c r="AV19" i="2"/>
  <c r="AY19" i="2" s="1"/>
  <c r="P20" i="2"/>
  <c r="S20" i="2" s="1"/>
  <c r="AV20" i="2"/>
  <c r="AY20" i="2" s="1"/>
  <c r="AF22" i="2"/>
  <c r="AI22" i="2" s="1"/>
  <c r="AV22" i="2"/>
  <c r="AY22" i="2" s="1"/>
  <c r="P23" i="2"/>
  <c r="S23" i="2" s="1"/>
  <c r="AV23" i="2"/>
  <c r="AY23" i="2" s="1"/>
  <c r="Q37" i="2"/>
  <c r="I37" i="2"/>
  <c r="X27" i="2"/>
  <c r="AA27" i="2" s="1"/>
  <c r="AO37" i="2"/>
  <c r="X28" i="2"/>
  <c r="AA28" i="2" s="1"/>
  <c r="AF28" i="2"/>
  <c r="AI28" i="2" s="1"/>
  <c r="AN31" i="2"/>
  <c r="AQ31" i="2" s="1"/>
  <c r="AN32" i="2"/>
  <c r="AQ32" i="2" s="1"/>
  <c r="AV32" i="2"/>
  <c r="AY32" i="2" s="1"/>
  <c r="H36" i="2"/>
  <c r="K36" i="2" s="1"/>
  <c r="AN36" i="2"/>
  <c r="AQ36" i="2" s="1"/>
  <c r="H38" i="2"/>
  <c r="K38" i="2" s="1"/>
  <c r="AN38" i="2"/>
  <c r="AQ38" i="2" s="1"/>
  <c r="H39" i="2"/>
  <c r="K39" i="2" s="1"/>
  <c r="AF39" i="2"/>
  <c r="AI39" i="2" s="1"/>
  <c r="P46" i="2"/>
  <c r="S46" i="2" s="1"/>
  <c r="H49" i="2"/>
  <c r="K49" i="2" s="1"/>
  <c r="H52" i="2"/>
  <c r="K52" i="2" s="1"/>
  <c r="AV52" i="2"/>
  <c r="AY52" i="2" s="1"/>
  <c r="N66" i="2"/>
  <c r="O77" i="2"/>
  <c r="BD84" i="2"/>
  <c r="BF84" i="2" s="1"/>
  <c r="BF78" i="2"/>
  <c r="AF65" i="2"/>
  <c r="AI65" i="2" s="1"/>
  <c r="BD73" i="2"/>
  <c r="BF73" i="2" s="1"/>
  <c r="AF68" i="2"/>
  <c r="AI68" i="2" s="1"/>
  <c r="AV70" i="2"/>
  <c r="AY70" i="2" s="1"/>
  <c r="X76" i="2"/>
  <c r="AA76" i="2" s="1"/>
  <c r="V84" i="2"/>
  <c r="H79" i="2"/>
  <c r="K79" i="2" s="1"/>
  <c r="AF82" i="2"/>
  <c r="AI82" i="2" s="1"/>
  <c r="AV64" i="2"/>
  <c r="AY64" i="2" s="1"/>
  <c r="AV67" i="2"/>
  <c r="AY67" i="2" s="1"/>
  <c r="BF67" i="2"/>
  <c r="H69" i="2"/>
  <c r="K69" i="2" s="1"/>
  <c r="AV72" i="2"/>
  <c r="AY72" i="2" s="1"/>
  <c r="V77" i="2"/>
  <c r="F84" i="2"/>
  <c r="X78" i="2"/>
  <c r="AA78" i="2" s="1"/>
  <c r="BE84" i="2"/>
  <c r="AN81" i="2"/>
  <c r="AQ81" i="2" s="1"/>
  <c r="AV82" i="2"/>
  <c r="AY82" i="2" s="1"/>
  <c r="H30" i="2"/>
  <c r="K30" i="2" s="1"/>
  <c r="AN30" i="2"/>
  <c r="AQ30" i="2" s="1"/>
  <c r="H31" i="2"/>
  <c r="K31" i="2" s="1"/>
  <c r="X31" i="2"/>
  <c r="AA31" i="2" s="1"/>
  <c r="AF34" i="2"/>
  <c r="AI34" i="2" s="1"/>
  <c r="P38" i="2"/>
  <c r="S38" i="2" s="1"/>
  <c r="AG47" i="2"/>
  <c r="AV38" i="2"/>
  <c r="AY38" i="2" s="1"/>
  <c r="AF40" i="2"/>
  <c r="AI40" i="2" s="1"/>
  <c r="AV40" i="2"/>
  <c r="AY40" i="2" s="1"/>
  <c r="P41" i="2"/>
  <c r="S41" i="2" s="1"/>
  <c r="AV41" i="2"/>
  <c r="AY41" i="2" s="1"/>
  <c r="N47" i="2"/>
  <c r="X43" i="2"/>
  <c r="AA43" i="2" s="1"/>
  <c r="AV43" i="2"/>
  <c r="AY43" i="2" s="1"/>
  <c r="X44" i="2"/>
  <c r="AA44" i="2" s="1"/>
  <c r="AF49" i="2"/>
  <c r="AI49" i="2" s="1"/>
  <c r="X52" i="2"/>
  <c r="AA52" i="2" s="1"/>
  <c r="AE56" i="2"/>
  <c r="P53" i="2"/>
  <c r="S53" i="2" s="1"/>
  <c r="H55" i="2"/>
  <c r="K55" i="2" s="1"/>
  <c r="AN55" i="2"/>
  <c r="AQ55" i="2" s="1"/>
  <c r="AF59" i="2"/>
  <c r="AI59" i="2" s="1"/>
  <c r="H60" i="2"/>
  <c r="K60" i="2" s="1"/>
  <c r="P60" i="2"/>
  <c r="S60" i="2" s="1"/>
  <c r="X61" i="2"/>
  <c r="AA61" i="2" s="1"/>
  <c r="AN61" i="2"/>
  <c r="AQ61" i="2" s="1"/>
  <c r="H62" i="2"/>
  <c r="K62" i="2" s="1"/>
  <c r="O66" i="2"/>
  <c r="AN62" i="2"/>
  <c r="AQ62" i="2" s="1"/>
  <c r="AU66" i="2"/>
  <c r="X63" i="2"/>
  <c r="AA63" i="2" s="1"/>
  <c r="W73" i="2"/>
  <c r="AO73" i="2"/>
  <c r="AW73" i="2"/>
  <c r="P68" i="2"/>
  <c r="S68" i="2" s="1"/>
  <c r="X69" i="2"/>
  <c r="AA69" i="2" s="1"/>
  <c r="AF70" i="2"/>
  <c r="AI70" i="2" s="1"/>
  <c r="H71" i="2"/>
  <c r="K71" i="2" s="1"/>
  <c r="AM77" i="2"/>
  <c r="AW77" i="2"/>
  <c r="H75" i="2"/>
  <c r="K75" i="2" s="1"/>
  <c r="AO77" i="2"/>
  <c r="AF76" i="2"/>
  <c r="AI76" i="2" s="1"/>
  <c r="Q84" i="2"/>
  <c r="AF79" i="2"/>
  <c r="AI79" i="2" s="1"/>
  <c r="AV80" i="2"/>
  <c r="AY80" i="2" s="1"/>
  <c r="O84" i="2"/>
  <c r="AN83" i="2"/>
  <c r="AQ83" i="2" s="1"/>
  <c r="I15" i="2"/>
  <c r="Q15" i="2"/>
  <c r="Y15" i="2"/>
  <c r="AW15" i="2"/>
  <c r="H16" i="2"/>
  <c r="O25" i="2"/>
  <c r="AI16" i="2"/>
  <c r="AN16" i="2"/>
  <c r="BF16" i="2"/>
  <c r="W25" i="2"/>
  <c r="X29" i="2"/>
  <c r="AA29" i="2" s="1"/>
  <c r="W37" i="2"/>
  <c r="V15" i="2"/>
  <c r="P9" i="2"/>
  <c r="S9" i="2" s="1"/>
  <c r="AV9" i="2"/>
  <c r="AY9" i="2" s="1"/>
  <c r="X12" i="2"/>
  <c r="AA12" i="2" s="1"/>
  <c r="BD15" i="2"/>
  <c r="Y25" i="2"/>
  <c r="AD37" i="2"/>
  <c r="AF29" i="2"/>
  <c r="AI29" i="2" s="1"/>
  <c r="H5" i="2"/>
  <c r="X5" i="2"/>
  <c r="AE15" i="2"/>
  <c r="AF5" i="2"/>
  <c r="AN5" i="2"/>
  <c r="AU15" i="2"/>
  <c r="H10" i="2"/>
  <c r="K10" i="2" s="1"/>
  <c r="AN10" i="2"/>
  <c r="AQ10" i="2" s="1"/>
  <c r="AF11" i="2"/>
  <c r="AI11" i="2" s="1"/>
  <c r="G25" i="2"/>
  <c r="AI26" i="2"/>
  <c r="N37" i="2"/>
  <c r="AT37" i="2"/>
  <c r="H48" i="2"/>
  <c r="AE66" i="2"/>
  <c r="AN74" i="2"/>
  <c r="AL77" i="2"/>
  <c r="P5" i="2"/>
  <c r="T85" i="2"/>
  <c r="AK85" i="2"/>
  <c r="Q25" i="2"/>
  <c r="AE25" i="2"/>
  <c r="AV16" i="2"/>
  <c r="X19" i="2"/>
  <c r="AA19" i="2" s="1"/>
  <c r="F37" i="2"/>
  <c r="V37" i="2"/>
  <c r="AL37" i="2"/>
  <c r="BD37" i="2"/>
  <c r="BF37" i="2" s="1"/>
  <c r="P27" i="2"/>
  <c r="S27" i="2" s="1"/>
  <c r="AV27" i="2"/>
  <c r="AY27" i="2" s="1"/>
  <c r="H29" i="2"/>
  <c r="K29" i="2" s="1"/>
  <c r="AN29" i="2"/>
  <c r="AQ29" i="2" s="1"/>
  <c r="H35" i="2"/>
  <c r="K35" i="2" s="1"/>
  <c r="AN35" i="2"/>
  <c r="AQ35" i="2" s="1"/>
  <c r="AF36" i="2"/>
  <c r="AI36" i="2" s="1"/>
  <c r="G37" i="2"/>
  <c r="O47" i="2"/>
  <c r="AE47" i="2"/>
  <c r="AF38" i="2"/>
  <c r="AU47" i="2"/>
  <c r="H43" i="2"/>
  <c r="K43" i="2" s="1"/>
  <c r="AN43" i="2"/>
  <c r="AQ43" i="2" s="1"/>
  <c r="AF44" i="2"/>
  <c r="AI44" i="2" s="1"/>
  <c r="AD56" i="2"/>
  <c r="AF48" i="2"/>
  <c r="BE56" i="2"/>
  <c r="H50" i="2"/>
  <c r="K50" i="2" s="1"/>
  <c r="AO47" i="2"/>
  <c r="P43" i="2"/>
  <c r="S43" i="2" s="1"/>
  <c r="AU56" i="2"/>
  <c r="AV48" i="2"/>
  <c r="AM56" i="2"/>
  <c r="BD56" i="2"/>
  <c r="BF56" i="2" s="1"/>
  <c r="H74" i="2"/>
  <c r="F77" i="2"/>
  <c r="W77" i="2"/>
  <c r="L85" i="2"/>
  <c r="P16" i="2"/>
  <c r="V25" i="2"/>
  <c r="AG25" i="2"/>
  <c r="AW25" i="2"/>
  <c r="H17" i="2"/>
  <c r="K17" i="2" s="1"/>
  <c r="AN17" i="2"/>
  <c r="AQ17" i="2" s="1"/>
  <c r="AF18" i="2"/>
  <c r="AI18" i="2" s="1"/>
  <c r="P24" i="2"/>
  <c r="S24" i="2" s="1"/>
  <c r="AV24" i="2"/>
  <c r="AY24" i="2" s="1"/>
  <c r="N25" i="2"/>
  <c r="P26" i="2"/>
  <c r="O37" i="2"/>
  <c r="AE37" i="2"/>
  <c r="AV26" i="2"/>
  <c r="AU37" i="2"/>
  <c r="P28" i="2"/>
  <c r="S28" i="2" s="1"/>
  <c r="AV28" i="2"/>
  <c r="AY28" i="2" s="1"/>
  <c r="P34" i="2"/>
  <c r="S34" i="2" s="1"/>
  <c r="AV34" i="2"/>
  <c r="AY34" i="2" s="1"/>
  <c r="AM37" i="2"/>
  <c r="F47" i="2"/>
  <c r="V47" i="2"/>
  <c r="AL47" i="2"/>
  <c r="BD47" i="2"/>
  <c r="BF47" i="2" s="1"/>
  <c r="P42" i="2"/>
  <c r="S42" i="2" s="1"/>
  <c r="AV42" i="2"/>
  <c r="AY42" i="2" s="1"/>
  <c r="X45" i="2"/>
  <c r="AA45" i="2" s="1"/>
  <c r="W47" i="2"/>
  <c r="W56" i="2"/>
  <c r="X48" i="2"/>
  <c r="AG56" i="2"/>
  <c r="AW56" i="2"/>
  <c r="G56" i="2"/>
  <c r="AV53" i="2"/>
  <c r="AY53" i="2" s="1"/>
  <c r="O56" i="2"/>
  <c r="H58" i="2"/>
  <c r="K58" i="2" s="1"/>
  <c r="F66" i="2"/>
  <c r="X58" i="2"/>
  <c r="V66" i="2"/>
  <c r="AQ58" i="2"/>
  <c r="AL66" i="2"/>
  <c r="N73" i="2"/>
  <c r="P67" i="2"/>
  <c r="BB85" i="2"/>
  <c r="I56" i="2"/>
  <c r="X49" i="2"/>
  <c r="AA49" i="2" s="1"/>
  <c r="AN51" i="2"/>
  <c r="AQ51" i="2" s="1"/>
  <c r="P54" i="2"/>
  <c r="S54" i="2" s="1"/>
  <c r="AO66" i="2"/>
  <c r="AT66" i="2"/>
  <c r="AV59" i="2"/>
  <c r="AY59" i="2" s="1"/>
  <c r="H63" i="2"/>
  <c r="K63" i="2" s="1"/>
  <c r="AN63" i="2"/>
  <c r="AQ63" i="2" s="1"/>
  <c r="AF64" i="2"/>
  <c r="AI64" i="2" s="1"/>
  <c r="BD66" i="2"/>
  <c r="BF66" i="2" s="1"/>
  <c r="V73" i="2"/>
  <c r="X67" i="2"/>
  <c r="AL73" i="2"/>
  <c r="N56" i="2"/>
  <c r="AO56" i="2"/>
  <c r="H51" i="2"/>
  <c r="K51" i="2" s="1"/>
  <c r="AF52" i="2"/>
  <c r="AI52" i="2" s="1"/>
  <c r="AV54" i="2"/>
  <c r="AY54" i="2" s="1"/>
  <c r="K57" i="2"/>
  <c r="S57" i="2"/>
  <c r="BE66" i="2"/>
  <c r="AW66" i="2"/>
  <c r="F73" i="2"/>
  <c r="O73" i="2"/>
  <c r="P74" i="2"/>
  <c r="N77" i="2"/>
  <c r="W84" i="2"/>
  <c r="AE84" i="2"/>
  <c r="AF78" i="2"/>
  <c r="AT56" i="2"/>
  <c r="I66" i="2"/>
  <c r="Y66" i="2"/>
  <c r="G66" i="2"/>
  <c r="W66" i="2"/>
  <c r="X59" i="2"/>
  <c r="AA59" i="2" s="1"/>
  <c r="AM66" i="2"/>
  <c r="P62" i="2"/>
  <c r="S62" i="2" s="1"/>
  <c r="AV62" i="2"/>
  <c r="AY62" i="2" s="1"/>
  <c r="X65" i="2"/>
  <c r="AA65" i="2" s="1"/>
  <c r="G73" i="2"/>
  <c r="AE73" i="2"/>
  <c r="AM73" i="2"/>
  <c r="AU73" i="2"/>
  <c r="Q77" i="2"/>
  <c r="AV74" i="2"/>
  <c r="AT77" i="2"/>
  <c r="BD77" i="2"/>
  <c r="BF77" i="2" s="1"/>
  <c r="Y84" i="2"/>
  <c r="AG84" i="2"/>
  <c r="AD84" i="2"/>
  <c r="H67" i="2"/>
  <c r="AD73" i="2"/>
  <c r="AF67" i="2"/>
  <c r="X68" i="2"/>
  <c r="AA68" i="2" s="1"/>
  <c r="H70" i="2"/>
  <c r="K70" i="2" s="1"/>
  <c r="AN70" i="2"/>
  <c r="AQ70" i="2" s="1"/>
  <c r="AF75" i="2"/>
  <c r="AI75" i="2" s="1"/>
  <c r="I84" i="2"/>
  <c r="AO84" i="2"/>
  <c r="X80" i="2"/>
  <c r="H82" i="2"/>
  <c r="K82" i="2" s="1"/>
  <c r="AN82" i="2"/>
  <c r="AQ82" i="2" s="1"/>
  <c r="Y73" i="2"/>
  <c r="BE73" i="2"/>
  <c r="P69" i="2"/>
  <c r="S69" i="2" s="1"/>
  <c r="AV69" i="2"/>
  <c r="AY69" i="2" s="1"/>
  <c r="X72" i="2"/>
  <c r="AA72" i="2" s="1"/>
  <c r="AE77" i="2"/>
  <c r="BE77" i="2"/>
  <c r="H78" i="2"/>
  <c r="N84" i="2"/>
  <c r="P78" i="2"/>
  <c r="AN78" i="2"/>
  <c r="AT84" i="2"/>
  <c r="AV78" i="2"/>
  <c r="P81" i="2"/>
  <c r="S81" i="2" s="1"/>
  <c r="AV81" i="2"/>
  <c r="AY81" i="2" s="1"/>
  <c r="AL84" i="2"/>
  <c r="AK85" i="1"/>
  <c r="AD85" i="1"/>
  <c r="P85" i="1"/>
  <c r="AR85" i="1"/>
  <c r="X37" i="2" l="1"/>
  <c r="AM85" i="2"/>
  <c r="O85" i="2"/>
  <c r="H37" i="2"/>
  <c r="AG85" i="2"/>
  <c r="AF66" i="2"/>
  <c r="X77" i="2"/>
  <c r="F85" i="2"/>
  <c r="W85" i="2"/>
  <c r="AF37" i="2"/>
  <c r="N85" i="2"/>
  <c r="BE85" i="2"/>
  <c r="P56" i="2"/>
  <c r="AV47" i="2"/>
  <c r="AN73" i="2"/>
  <c r="AL85" i="2"/>
  <c r="AT85" i="2"/>
  <c r="P66" i="2"/>
  <c r="AN37" i="2"/>
  <c r="AO85" i="2"/>
  <c r="G85" i="2"/>
  <c r="AU85" i="2"/>
  <c r="AD85" i="2"/>
  <c r="P73" i="2"/>
  <c r="S67" i="2"/>
  <c r="S26" i="2"/>
  <c r="P37" i="2"/>
  <c r="AN56" i="2"/>
  <c r="P15" i="2"/>
  <c r="R15" i="2" s="1"/>
  <c r="S5" i="2"/>
  <c r="H66" i="2"/>
  <c r="AA5" i="2"/>
  <c r="X15" i="2"/>
  <c r="Z15" i="2" s="1"/>
  <c r="AW85" i="2"/>
  <c r="AN84" i="2"/>
  <c r="AQ78" i="2"/>
  <c r="AV73" i="2"/>
  <c r="P47" i="2"/>
  <c r="AF56" i="2"/>
  <c r="AI48" i="2"/>
  <c r="AN15" i="2"/>
  <c r="AP15" i="2" s="1"/>
  <c r="AQ5" i="2"/>
  <c r="K5" i="2"/>
  <c r="H15" i="2"/>
  <c r="J15" i="2" s="1"/>
  <c r="BD85" i="2"/>
  <c r="BF85" i="2" s="1"/>
  <c r="BF15" i="2"/>
  <c r="V85" i="2"/>
  <c r="H47" i="2"/>
  <c r="Y85" i="2"/>
  <c r="P84" i="2"/>
  <c r="S78" i="2"/>
  <c r="AF73" i="2"/>
  <c r="AI67" i="2"/>
  <c r="AV66" i="2"/>
  <c r="AA58" i="2"/>
  <c r="X66" i="2"/>
  <c r="AA48" i="2"/>
  <c r="X56" i="2"/>
  <c r="AF77" i="2"/>
  <c r="AY48" i="2"/>
  <c r="AV56" i="2"/>
  <c r="AN77" i="2"/>
  <c r="AQ74" i="2"/>
  <c r="AF15" i="2"/>
  <c r="AH15" i="2" s="1"/>
  <c r="AI5" i="2"/>
  <c r="AN47" i="2"/>
  <c r="AN25" i="2"/>
  <c r="AQ16" i="2"/>
  <c r="H25" i="2"/>
  <c r="K16" i="2"/>
  <c r="Q85" i="2"/>
  <c r="AV84" i="2"/>
  <c r="AY78" i="2"/>
  <c r="AA80" i="2"/>
  <c r="X84" i="2"/>
  <c r="AV77" i="2"/>
  <c r="AY74" i="2"/>
  <c r="AF84" i="2"/>
  <c r="AI78" i="2"/>
  <c r="P77" i="2"/>
  <c r="S74" i="2"/>
  <c r="AN66" i="2"/>
  <c r="AY26" i="2"/>
  <c r="AV37" i="2"/>
  <c r="S16" i="2"/>
  <c r="P25" i="2"/>
  <c r="H77" i="2"/>
  <c r="K74" i="2"/>
  <c r="AI38" i="2"/>
  <c r="AF47" i="2"/>
  <c r="AY16" i="2"/>
  <c r="AV25" i="2"/>
  <c r="K48" i="2"/>
  <c r="H56" i="2"/>
  <c r="X25" i="2"/>
  <c r="AE85" i="2"/>
  <c r="X47" i="2"/>
  <c r="AF25" i="2"/>
  <c r="AV15" i="2"/>
  <c r="AX15" i="2" s="1"/>
  <c r="I85" i="2"/>
  <c r="H84" i="2"/>
  <c r="K78" i="2"/>
  <c r="H73" i="2"/>
  <c r="K67" i="2"/>
  <c r="X73" i="2"/>
  <c r="AA67" i="2"/>
  <c r="AY37" i="2" l="1"/>
  <c r="AX37" i="2"/>
  <c r="AY77" i="2"/>
  <c r="AX77" i="2"/>
  <c r="AY84" i="2"/>
  <c r="AX84" i="2"/>
  <c r="AQ56" i="2"/>
  <c r="AP56" i="2"/>
  <c r="AQ25" i="2"/>
  <c r="AP25" i="2"/>
  <c r="AQ84" i="2"/>
  <c r="AP84" i="2"/>
  <c r="AQ37" i="2"/>
  <c r="AP37" i="2"/>
  <c r="AQ73" i="2"/>
  <c r="AP73" i="2"/>
  <c r="AQ66" i="2"/>
  <c r="AP66" i="2"/>
  <c r="AQ47" i="2"/>
  <c r="AP47" i="2"/>
  <c r="AQ77" i="2"/>
  <c r="AP77" i="2"/>
  <c r="AY66" i="2"/>
  <c r="AX66" i="2"/>
  <c r="AY47" i="2"/>
  <c r="AX47" i="2"/>
  <c r="AY25" i="2"/>
  <c r="AX25" i="2"/>
  <c r="AY56" i="2"/>
  <c r="AX56" i="2"/>
  <c r="AY73" i="2"/>
  <c r="AX73" i="2"/>
  <c r="AI77" i="2"/>
  <c r="AH77" i="2"/>
  <c r="AI56" i="2"/>
  <c r="AH56" i="2"/>
  <c r="AI25" i="2"/>
  <c r="AH25" i="2"/>
  <c r="AI47" i="2"/>
  <c r="AH47" i="2"/>
  <c r="AI84" i="2"/>
  <c r="AH84" i="2"/>
  <c r="AI37" i="2"/>
  <c r="AH37" i="2"/>
  <c r="AI66" i="2"/>
  <c r="AH66" i="2"/>
  <c r="AI73" i="2"/>
  <c r="AH73" i="2"/>
  <c r="AA25" i="2"/>
  <c r="Z25" i="2"/>
  <c r="AA84" i="2"/>
  <c r="Z84" i="2"/>
  <c r="AA77" i="2"/>
  <c r="Z77" i="2"/>
  <c r="AA56" i="2"/>
  <c r="Z56" i="2"/>
  <c r="AA66" i="2"/>
  <c r="Z66" i="2"/>
  <c r="AA73" i="2"/>
  <c r="Z73" i="2"/>
  <c r="AA47" i="2"/>
  <c r="Z47" i="2"/>
  <c r="AA37" i="2"/>
  <c r="Z37" i="2"/>
  <c r="S77" i="2"/>
  <c r="R77" i="2"/>
  <c r="S73" i="2"/>
  <c r="R73" i="2"/>
  <c r="S56" i="2"/>
  <c r="R56" i="2"/>
  <c r="S37" i="2"/>
  <c r="R37" i="2"/>
  <c r="S25" i="2"/>
  <c r="R25" i="2"/>
  <c r="S84" i="2"/>
  <c r="R84" i="2"/>
  <c r="S47" i="2"/>
  <c r="R47" i="2"/>
  <c r="S66" i="2"/>
  <c r="R66" i="2"/>
  <c r="K25" i="2"/>
  <c r="J25" i="2"/>
  <c r="K47" i="2"/>
  <c r="J47" i="2"/>
  <c r="K37" i="2"/>
  <c r="J37" i="2"/>
  <c r="K84" i="2"/>
  <c r="J84" i="2"/>
  <c r="K73" i="2"/>
  <c r="J73" i="2"/>
  <c r="K77" i="2"/>
  <c r="J77" i="2"/>
  <c r="K66" i="2"/>
  <c r="J66" i="2"/>
  <c r="K56" i="2"/>
  <c r="J56" i="2"/>
  <c r="AV85" i="2"/>
  <c r="AY15" i="2"/>
  <c r="AN85" i="2"/>
  <c r="AQ15" i="2"/>
  <c r="X85" i="2"/>
  <c r="AA15" i="2"/>
  <c r="P85" i="2"/>
  <c r="S15" i="2"/>
  <c r="AF85" i="2"/>
  <c r="AI15" i="2"/>
  <c r="H85" i="2"/>
  <c r="K15" i="2"/>
  <c r="AQ85" i="2" l="1"/>
  <c r="AP85" i="2"/>
  <c r="AY85" i="2"/>
  <c r="AX85" i="2"/>
  <c r="AI85" i="2"/>
  <c r="AH85" i="2"/>
  <c r="AA85" i="2"/>
  <c r="Z85" i="2"/>
  <c r="S85" i="2"/>
  <c r="R85" i="2"/>
  <c r="K85" i="2"/>
  <c r="J85" i="2"/>
</calcChain>
</file>

<file path=xl/sharedStrings.xml><?xml version="1.0" encoding="utf-8"?>
<sst xmlns="http://schemas.openxmlformats.org/spreadsheetml/2006/main" count="432" uniqueCount="107">
  <si>
    <t>2026年国际市场运营系统合同预算情况表</t>
  </si>
  <si>
    <t>金额单位：万元</t>
  </si>
  <si>
    <t>序号</t>
  </si>
  <si>
    <t>模块类型</t>
  </si>
  <si>
    <t>模块</t>
  </si>
  <si>
    <t>新签梯量</t>
  </si>
  <si>
    <t>新签金额</t>
  </si>
  <si>
    <t>排产台</t>
  </si>
  <si>
    <t>排产额</t>
  </si>
  <si>
    <t>发货台</t>
  </si>
  <si>
    <t>发货额</t>
  </si>
  <si>
    <t>回款</t>
  </si>
  <si>
    <t>指标</t>
  </si>
  <si>
    <t>完成</t>
  </si>
  <si>
    <t>5月</t>
  </si>
  <si>
    <t>6月</t>
  </si>
  <si>
    <t>累计</t>
  </si>
  <si>
    <t>去年同期</t>
  </si>
  <si>
    <t>完成比</t>
  </si>
  <si>
    <t>A</t>
  </si>
  <si>
    <t>俄罗斯（中部）</t>
  </si>
  <si>
    <t>俄罗斯（西部）</t>
  </si>
  <si>
    <t>俄罗斯（东部）</t>
  </si>
  <si>
    <t>罗斯托夫</t>
  </si>
  <si>
    <t>哈巴</t>
  </si>
  <si>
    <t>B</t>
  </si>
  <si>
    <t>俄罗斯（中南）</t>
  </si>
  <si>
    <t>俄罗斯（西南）</t>
  </si>
  <si>
    <t>C</t>
  </si>
  <si>
    <t>莫斯科</t>
  </si>
  <si>
    <t>叶卡</t>
  </si>
  <si>
    <t>新西</t>
  </si>
  <si>
    <t>俄罗斯合计</t>
  </si>
  <si>
    <t>D</t>
  </si>
  <si>
    <t>朝鲜-韩国</t>
  </si>
  <si>
    <t>新加坡市政会</t>
  </si>
  <si>
    <t>新加坡HDB</t>
  </si>
  <si>
    <t>泰国</t>
  </si>
  <si>
    <t>泰国2</t>
  </si>
  <si>
    <t>金三角</t>
  </si>
  <si>
    <t>马来西亚</t>
  </si>
  <si>
    <t>马尔代夫</t>
  </si>
  <si>
    <t>香港-台湾</t>
  </si>
  <si>
    <t>亚洲1合计</t>
  </si>
  <si>
    <t>越南-2</t>
  </si>
  <si>
    <t>印度公建</t>
  </si>
  <si>
    <t>巴基斯坦</t>
  </si>
  <si>
    <t>孟加拉-1</t>
  </si>
  <si>
    <t>澳大利亚</t>
  </si>
  <si>
    <t>菲律宾</t>
  </si>
  <si>
    <t>印尼-1</t>
  </si>
  <si>
    <t>越南-1（工厂）</t>
  </si>
  <si>
    <t>印度私营</t>
  </si>
  <si>
    <t>菲律宾-2</t>
  </si>
  <si>
    <t>印尼-2</t>
  </si>
  <si>
    <t>亚洲2合计</t>
  </si>
  <si>
    <t>阿联酋-2</t>
  </si>
  <si>
    <t>沙特工厂</t>
  </si>
  <si>
    <t>沙特-1</t>
  </si>
  <si>
    <t>科威特</t>
  </si>
  <si>
    <t>阿联酋-1</t>
  </si>
  <si>
    <t>卡塔尔</t>
  </si>
  <si>
    <t>伊拉克</t>
  </si>
  <si>
    <t>巴勒斯坦</t>
  </si>
  <si>
    <t>伊朗+阿曼</t>
  </si>
  <si>
    <t>中东合计</t>
  </si>
  <si>
    <t>蒙古</t>
  </si>
  <si>
    <t>哈萨克斯坦-1</t>
  </si>
  <si>
    <t>塔吉克/哈萨克斯坦-2</t>
  </si>
  <si>
    <t>哈萨克斯坦-3</t>
  </si>
  <si>
    <t>乌兹别克斯坦</t>
  </si>
  <si>
    <t>吉尔吉斯斯坦</t>
  </si>
  <si>
    <t>阿塞拜疆</t>
  </si>
  <si>
    <t>格鲁吉亚</t>
  </si>
  <si>
    <t>中亚合计</t>
  </si>
  <si>
    <t>墨西哥-1</t>
  </si>
  <si>
    <t>墨西哥-2</t>
  </si>
  <si>
    <t>秘鲁</t>
  </si>
  <si>
    <t>智利</t>
  </si>
  <si>
    <t>加勒比海</t>
  </si>
  <si>
    <t>多米尼加</t>
  </si>
  <si>
    <t>哥伦比亚</t>
  </si>
  <si>
    <t>秘鲁2</t>
  </si>
  <si>
    <t>巴西</t>
  </si>
  <si>
    <t>美洲合计</t>
  </si>
  <si>
    <t>埃及-1</t>
  </si>
  <si>
    <t>埃及-2</t>
  </si>
  <si>
    <t>肯尼亚/坦桑尼亚</t>
  </si>
  <si>
    <t>尼日利亚/埃塞俄比亚</t>
  </si>
  <si>
    <t>非洲法语区</t>
  </si>
  <si>
    <t>南非/安格拉</t>
  </si>
  <si>
    <t>非洲合计</t>
  </si>
  <si>
    <t>德国西班牙</t>
  </si>
  <si>
    <t>东欧</t>
  </si>
  <si>
    <t>英国意大利</t>
  </si>
  <si>
    <t>欧洲合计</t>
  </si>
  <si>
    <t/>
  </si>
  <si>
    <t>商贸1</t>
  </si>
  <si>
    <t>商贸2</t>
  </si>
  <si>
    <t>商贸3</t>
  </si>
  <si>
    <t>配件-1</t>
  </si>
  <si>
    <t>配件-2</t>
  </si>
  <si>
    <t>改造</t>
  </si>
  <si>
    <t>商贸配件合计</t>
  </si>
  <si>
    <t>全国贸合计</t>
  </si>
  <si>
    <t>半年累计</t>
    <phoneticPr fontId="5" type="noConversion"/>
  </si>
  <si>
    <t>同比增长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</si>
</sst>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6" x14ac:knownFonts="1">
    <font>
      <sz val="11"/>
      <color theme="1"/>
      <name val="宋体"/>
      <charset val="134"/>
      <scheme val="minor"/>
    </font>
    <font>
      <b/>
      <sz val="14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sz val="11"/>
      <color rgb="FFFFFFFF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B82F6"/>
        <bgColor rgb="FF3B82F6"/>
      </patternFill>
    </fill>
    <fill>
      <patternFill patternType="solid">
        <fgColor rgb="FF60A5FA"/>
        <bgColor rgb="FF60A5FA"/>
      </patternFill>
    </fill>
    <fill>
      <patternFill patternType="solid">
        <fgColor rgb="FFFEF3C7"/>
        <bgColor rgb="FFFEF3C7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theme="6" tint="0.59999389629810485"/>
        <bgColor rgb="FFFEF3C7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20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3" fontId="0" fillId="4" borderId="1" xfId="0" applyNumberFormat="1" applyFill="1" applyBorder="1" applyAlignment="1">
      <alignment horizontal="right" vertical="center"/>
    </xf>
    <xf numFmtId="3" fontId="0" fillId="5" borderId="1" xfId="0" applyNumberFormat="1" applyFill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3" fontId="0" fillId="6" borderId="1" xfId="0" applyNumberFormat="1" applyFill="1" applyBorder="1" applyAlignment="1">
      <alignment horizontal="right" vertical="center"/>
    </xf>
    <xf numFmtId="176" fontId="0" fillId="7" borderId="1" xfId="0" applyNumberFormat="1" applyFill="1" applyBorder="1" applyAlignment="1">
      <alignment horizontal="right" vertical="center"/>
    </xf>
    <xf numFmtId="3" fontId="0" fillId="8" borderId="1" xfId="0" applyNumberFormat="1" applyFill="1" applyBorder="1" applyAlignment="1">
      <alignment horizontal="right" vertical="center"/>
    </xf>
    <xf numFmtId="9" fontId="0" fillId="6" borderId="1" xfId="1" applyFont="1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1">
    <dxf>
      <fill>
        <patternFill patternType="solid">
          <fgColor rgb="FFFEF3C7"/>
          <bgColor rgb="FFFEF3C7"/>
        </patternFill>
      </fill>
    </dxf>
  </dxfs>
  <tableStyles count="0" defaultTableStyle="TableStyleMedium9" defaultPivotStyle="PivotStyleLight16"/>
  <colors>
    <mruColors>
      <color rgb="FFFEF3C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xwechat_files\wxid_lqf03uofjv3y22_c413\msg\file\2026-05\2026&#24180;5.25-6&#26376;30&#26085;&#22269;&#36152;&#38144;&#21806;&#35745;&#21010;&#25253;&#34920;&#27719;&#24635;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ocuments/WeChat%20Files/wxid_oxam7uk9w3io22/FileStorage/File/2026-05/2026&#24180;&#21512;&#21516;&#23436;&#25104;&#24773;&#20917;&#34920;&#21435;&#24180;6&#26376;&#292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计划签订"/>
      <sheetName val="排产发货计划"/>
      <sheetName val="5月25-5月31日汇总"/>
      <sheetName val="新增计划"/>
      <sheetName val="Sheet1"/>
      <sheetName val="6月汇总"/>
      <sheetName val="已排产未发货合同明细"/>
    </sheetNames>
    <sheetDataSet>
      <sheetData sheetId="0"/>
      <sheetData sheetId="1"/>
      <sheetData sheetId="2">
        <row r="2">
          <cell r="C2" t="str">
            <v>模块</v>
          </cell>
          <cell r="D2" t="str">
            <v>签订台数</v>
          </cell>
          <cell r="E2" t="str">
            <v>签订额</v>
          </cell>
          <cell r="F2" t="str">
            <v>排产台数</v>
          </cell>
          <cell r="G2" t="str">
            <v>排产额</v>
          </cell>
          <cell r="H2" t="str">
            <v>发货台数</v>
          </cell>
          <cell r="I2" t="str">
            <v>发货额</v>
          </cell>
        </row>
        <row r="3">
          <cell r="C3" t="str">
            <v>俄罗斯（中部）</v>
          </cell>
        </row>
        <row r="4">
          <cell r="C4" t="str">
            <v>俄罗斯（西部）</v>
          </cell>
          <cell r="F4">
            <v>44</v>
          </cell>
          <cell r="G4">
            <v>660.1</v>
          </cell>
        </row>
        <row r="5">
          <cell r="C5" t="str">
            <v>俄罗斯（东部）</v>
          </cell>
          <cell r="H5">
            <v>4</v>
          </cell>
          <cell r="I5">
            <v>72</v>
          </cell>
        </row>
        <row r="6">
          <cell r="C6" t="str">
            <v>罗斯托夫</v>
          </cell>
          <cell r="F6">
            <v>1</v>
          </cell>
          <cell r="G6">
            <v>8</v>
          </cell>
        </row>
        <row r="7">
          <cell r="C7" t="str">
            <v>哈巴</v>
          </cell>
          <cell r="D7">
            <v>13</v>
          </cell>
          <cell r="E7">
            <v>343.6</v>
          </cell>
          <cell r="F7">
            <v>4</v>
          </cell>
          <cell r="G7">
            <v>43.4</v>
          </cell>
        </row>
        <row r="8">
          <cell r="C8" t="str">
            <v>俄罗斯（中南）</v>
          </cell>
          <cell r="D8">
            <v>28</v>
          </cell>
          <cell r="E8">
            <v>472.51</v>
          </cell>
          <cell r="F8">
            <v>4</v>
          </cell>
          <cell r="G8">
            <v>74.599999999999994</v>
          </cell>
          <cell r="H8">
            <v>3</v>
          </cell>
          <cell r="I8">
            <v>31.17</v>
          </cell>
        </row>
        <row r="9">
          <cell r="C9" t="str">
            <v>俄罗斯（西南）</v>
          </cell>
          <cell r="D9">
            <v>10</v>
          </cell>
          <cell r="E9">
            <v>130</v>
          </cell>
        </row>
        <row r="10">
          <cell r="C10" t="str">
            <v>莫斯科</v>
          </cell>
          <cell r="D10">
            <v>8</v>
          </cell>
          <cell r="E10">
            <v>100</v>
          </cell>
        </row>
        <row r="11">
          <cell r="C11" t="str">
            <v>叶卡</v>
          </cell>
        </row>
        <row r="12">
          <cell r="C12" t="str">
            <v>新西</v>
          </cell>
        </row>
        <row r="13">
          <cell r="C13" t="str">
            <v/>
          </cell>
        </row>
        <row r="14">
          <cell r="C14" t="str">
            <v>朝鲜-韩国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C15" t="str">
            <v>新加坡市政会</v>
          </cell>
          <cell r="D15">
            <v>20</v>
          </cell>
          <cell r="E15">
            <v>1000</v>
          </cell>
          <cell r="F15">
            <v>0</v>
          </cell>
          <cell r="G15">
            <v>0</v>
          </cell>
          <cell r="H15">
            <v>4</v>
          </cell>
          <cell r="I15">
            <v>80</v>
          </cell>
        </row>
        <row r="16">
          <cell r="C16" t="str">
            <v>新加坡HDB</v>
          </cell>
          <cell r="D16">
            <v>75</v>
          </cell>
          <cell r="E16">
            <v>2600</v>
          </cell>
          <cell r="F16">
            <v>0</v>
          </cell>
          <cell r="G16">
            <v>0</v>
          </cell>
          <cell r="H16">
            <v>3</v>
          </cell>
          <cell r="I16">
            <v>100</v>
          </cell>
        </row>
        <row r="17">
          <cell r="C17" t="str">
            <v>泰国</v>
          </cell>
          <cell r="D17">
            <v>3</v>
          </cell>
          <cell r="E17">
            <v>24</v>
          </cell>
          <cell r="F17">
            <v>1</v>
          </cell>
          <cell r="G17">
            <v>15.54</v>
          </cell>
          <cell r="H17">
            <v>0</v>
          </cell>
          <cell r="I17">
            <v>0</v>
          </cell>
        </row>
        <row r="18">
          <cell r="C18" t="str">
            <v>泰国2</v>
          </cell>
          <cell r="D18">
            <v>2</v>
          </cell>
          <cell r="E18">
            <v>13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C19" t="str">
            <v>金三角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C20" t="str">
            <v>马来西亚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C21" t="str">
            <v>马尔代夫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12</v>
          </cell>
        </row>
        <row r="22">
          <cell r="C22" t="str">
            <v>香港-台湾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C23" t="str">
            <v/>
          </cell>
        </row>
        <row r="24">
          <cell r="C24" t="str">
            <v>越南-2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2</v>
          </cell>
          <cell r="I24">
            <v>12.24</v>
          </cell>
        </row>
        <row r="25">
          <cell r="C25" t="str">
            <v>印度公建</v>
          </cell>
          <cell r="D25">
            <v>2</v>
          </cell>
          <cell r="E25">
            <v>26.96</v>
          </cell>
          <cell r="F25">
            <v>1</v>
          </cell>
          <cell r="G25">
            <v>31.5</v>
          </cell>
          <cell r="H25">
            <v>0</v>
          </cell>
          <cell r="I25">
            <v>0</v>
          </cell>
        </row>
        <row r="26">
          <cell r="C26" t="str">
            <v>巴基斯坦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1</v>
          </cell>
          <cell r="I26">
            <v>7.75</v>
          </cell>
        </row>
        <row r="27">
          <cell r="C27" t="str">
            <v>孟加拉-1</v>
          </cell>
          <cell r="D27">
            <v>17</v>
          </cell>
          <cell r="E27">
            <v>136.68</v>
          </cell>
          <cell r="F27">
            <v>4</v>
          </cell>
          <cell r="G27">
            <v>29.07</v>
          </cell>
          <cell r="H27">
            <v>1</v>
          </cell>
          <cell r="I27">
            <v>7.16</v>
          </cell>
        </row>
        <row r="28">
          <cell r="C28" t="str">
            <v>澳大利亚</v>
          </cell>
          <cell r="D28">
            <v>1</v>
          </cell>
          <cell r="E28">
            <v>11.42</v>
          </cell>
          <cell r="F28">
            <v>1</v>
          </cell>
          <cell r="G28">
            <v>11.42</v>
          </cell>
          <cell r="H28">
            <v>4</v>
          </cell>
          <cell r="I28">
            <v>24.43</v>
          </cell>
        </row>
        <row r="29">
          <cell r="C29" t="str">
            <v>菲律宾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C30" t="str">
            <v>印尼-1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</row>
        <row r="31">
          <cell r="C31" t="str">
            <v>越南-1（工厂）</v>
          </cell>
          <cell r="D31">
            <v>2</v>
          </cell>
          <cell r="E31">
            <v>22.8</v>
          </cell>
          <cell r="F31">
            <v>2</v>
          </cell>
          <cell r="G31">
            <v>22.8</v>
          </cell>
          <cell r="H31">
            <v>0</v>
          </cell>
          <cell r="I31">
            <v>0</v>
          </cell>
        </row>
        <row r="32">
          <cell r="C32" t="str">
            <v>印度私营</v>
          </cell>
          <cell r="D32">
            <v>3</v>
          </cell>
          <cell r="E32">
            <v>34</v>
          </cell>
          <cell r="F32">
            <v>1</v>
          </cell>
          <cell r="G32">
            <v>37.81</v>
          </cell>
          <cell r="H32">
            <v>4</v>
          </cell>
          <cell r="I32">
            <v>25.91</v>
          </cell>
        </row>
        <row r="33">
          <cell r="C33" t="str">
            <v>菲律宾-2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C34" t="str">
            <v>印尼-2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C35" t="str">
            <v/>
          </cell>
        </row>
        <row r="36">
          <cell r="C36" t="str">
            <v>阿联酋-2</v>
          </cell>
          <cell r="D36">
            <v>25</v>
          </cell>
          <cell r="E36">
            <v>204.24260000000001</v>
          </cell>
        </row>
        <row r="37">
          <cell r="C37" t="str">
            <v>沙特工厂</v>
          </cell>
          <cell r="D37">
            <v>25</v>
          </cell>
          <cell r="E37">
            <v>247.57</v>
          </cell>
          <cell r="F37">
            <v>2</v>
          </cell>
          <cell r="G37">
            <v>22</v>
          </cell>
          <cell r="H37">
            <v>1</v>
          </cell>
          <cell r="I37">
            <v>8</v>
          </cell>
        </row>
        <row r="38">
          <cell r="C38" t="str">
            <v>沙特-1</v>
          </cell>
          <cell r="D38">
            <v>22</v>
          </cell>
          <cell r="E38">
            <v>183.09059999999999</v>
          </cell>
          <cell r="F38">
            <v>8</v>
          </cell>
          <cell r="G38">
            <v>70</v>
          </cell>
        </row>
        <row r="39">
          <cell r="C39" t="str">
            <v>科威特</v>
          </cell>
          <cell r="D39">
            <v>7</v>
          </cell>
          <cell r="E39">
            <v>67.809600000000003</v>
          </cell>
        </row>
        <row r="40">
          <cell r="C40" t="str">
            <v>阿联酋-1</v>
          </cell>
          <cell r="D40">
            <v>19</v>
          </cell>
          <cell r="E40">
            <v>169.11060000000001</v>
          </cell>
          <cell r="F40">
            <v>3</v>
          </cell>
          <cell r="G40">
            <v>120</v>
          </cell>
        </row>
        <row r="41">
          <cell r="C41" t="str">
            <v>卡塔尔</v>
          </cell>
          <cell r="D41">
            <v>2</v>
          </cell>
          <cell r="E41">
            <v>25</v>
          </cell>
        </row>
        <row r="42">
          <cell r="C42" t="str">
            <v>伊拉克</v>
          </cell>
          <cell r="D42">
            <v>2</v>
          </cell>
          <cell r="E42">
            <v>16</v>
          </cell>
        </row>
        <row r="43">
          <cell r="C43" t="str">
            <v>巴勒斯坦</v>
          </cell>
          <cell r="D43">
            <v>12</v>
          </cell>
          <cell r="E43">
            <v>77.719200000000001</v>
          </cell>
          <cell r="F43">
            <v>2</v>
          </cell>
          <cell r="G43">
            <v>15</v>
          </cell>
        </row>
        <row r="44">
          <cell r="C44" t="str">
            <v>阿联酋3</v>
          </cell>
        </row>
        <row r="45">
          <cell r="C45" t="str">
            <v>伊朗+阿曼</v>
          </cell>
          <cell r="D45">
            <v>3</v>
          </cell>
          <cell r="E45">
            <v>16.604199999999999</v>
          </cell>
          <cell r="F45">
            <v>1</v>
          </cell>
          <cell r="G45">
            <v>8</v>
          </cell>
        </row>
        <row r="46">
          <cell r="C46" t="str">
            <v/>
          </cell>
        </row>
        <row r="47">
          <cell r="C47" t="str">
            <v>蒙古</v>
          </cell>
          <cell r="D47">
            <v>8</v>
          </cell>
          <cell r="E47">
            <v>85</v>
          </cell>
          <cell r="F47">
            <v>0</v>
          </cell>
          <cell r="G47">
            <v>0</v>
          </cell>
          <cell r="H47">
            <v>3</v>
          </cell>
          <cell r="I47">
            <v>28</v>
          </cell>
        </row>
        <row r="48">
          <cell r="C48" t="str">
            <v>哈萨克斯坦-1</v>
          </cell>
          <cell r="D48">
            <v>21</v>
          </cell>
          <cell r="E48">
            <v>180</v>
          </cell>
          <cell r="F48">
            <v>10</v>
          </cell>
          <cell r="G48">
            <v>100</v>
          </cell>
          <cell r="H48">
            <v>4</v>
          </cell>
          <cell r="I48">
            <v>32</v>
          </cell>
        </row>
        <row r="49">
          <cell r="C49" t="str">
            <v>塔吉克/哈萨克斯坦-2</v>
          </cell>
          <cell r="D49">
            <v>16</v>
          </cell>
          <cell r="E49">
            <v>94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C50" t="str">
            <v>哈萨克斯坦-3</v>
          </cell>
          <cell r="D50">
            <v>4</v>
          </cell>
          <cell r="E50">
            <v>22</v>
          </cell>
          <cell r="F50">
            <v>0</v>
          </cell>
          <cell r="G50">
            <v>0</v>
          </cell>
          <cell r="H50">
            <v>8</v>
          </cell>
          <cell r="I50">
            <v>58</v>
          </cell>
        </row>
        <row r="51">
          <cell r="C51" t="str">
            <v>乌兹别克斯坦</v>
          </cell>
          <cell r="D51">
            <v>10</v>
          </cell>
          <cell r="E51">
            <v>65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C52" t="str">
            <v>吉尔吉斯斯坦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C53" t="str">
            <v>阿塞拜疆</v>
          </cell>
          <cell r="D53">
            <v>1</v>
          </cell>
          <cell r="E53">
            <v>5</v>
          </cell>
          <cell r="F53">
            <v>1</v>
          </cell>
          <cell r="G53">
            <v>5</v>
          </cell>
          <cell r="H53">
            <v>0</v>
          </cell>
          <cell r="I53">
            <v>0</v>
          </cell>
        </row>
        <row r="54">
          <cell r="C54" t="str">
            <v>格鲁吉亚</v>
          </cell>
        </row>
        <row r="55">
          <cell r="C55" t="str">
            <v/>
          </cell>
        </row>
        <row r="56">
          <cell r="C56" t="str">
            <v>墨西哥-1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3</v>
          </cell>
          <cell r="I56">
            <v>23.31</v>
          </cell>
        </row>
        <row r="57">
          <cell r="C57" t="str">
            <v>墨西哥-2</v>
          </cell>
        </row>
        <row r="58">
          <cell r="C58" t="str">
            <v>秘鲁</v>
          </cell>
        </row>
        <row r="59">
          <cell r="C59" t="str">
            <v>智利</v>
          </cell>
          <cell r="D59">
            <v>10</v>
          </cell>
          <cell r="E59">
            <v>140</v>
          </cell>
        </row>
        <row r="60">
          <cell r="C60" t="str">
            <v>加勒比海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C61" t="str">
            <v>多米尼加</v>
          </cell>
          <cell r="D61">
            <v>12</v>
          </cell>
          <cell r="E61">
            <v>10.199999999999999</v>
          </cell>
        </row>
        <row r="62">
          <cell r="C62" t="str">
            <v>哥伦比亚</v>
          </cell>
          <cell r="D62">
            <v>87</v>
          </cell>
          <cell r="E62">
            <v>1300</v>
          </cell>
          <cell r="H62">
            <v>9</v>
          </cell>
          <cell r="I62">
            <v>61</v>
          </cell>
        </row>
        <row r="63">
          <cell r="C63" t="str">
            <v>秘鲁2</v>
          </cell>
        </row>
        <row r="64">
          <cell r="C64" t="str">
            <v>巴西</v>
          </cell>
        </row>
        <row r="65">
          <cell r="C65" t="str">
            <v/>
          </cell>
        </row>
        <row r="66">
          <cell r="C66" t="str">
            <v>肯尼亚/坦桑尼亚</v>
          </cell>
          <cell r="D66">
            <v>1</v>
          </cell>
          <cell r="E66">
            <v>8.1999999999999993</v>
          </cell>
          <cell r="F66">
            <v>1</v>
          </cell>
          <cell r="G66">
            <v>8.1999999999999993</v>
          </cell>
          <cell r="H66">
            <v>1</v>
          </cell>
          <cell r="I66">
            <v>8.1999999999999993</v>
          </cell>
        </row>
        <row r="67">
          <cell r="C67" t="str">
            <v>埃及-1</v>
          </cell>
        </row>
        <row r="68">
          <cell r="C68" t="str">
            <v>尼日利亚/埃塞俄比亚</v>
          </cell>
          <cell r="D68">
            <v>25</v>
          </cell>
          <cell r="E68">
            <v>266.8</v>
          </cell>
          <cell r="F68">
            <v>14</v>
          </cell>
          <cell r="G68">
            <v>143</v>
          </cell>
        </row>
        <row r="69">
          <cell r="C69" t="str">
            <v>非洲法语区</v>
          </cell>
          <cell r="D69">
            <v>2</v>
          </cell>
          <cell r="E69">
            <v>10.3</v>
          </cell>
        </row>
        <row r="70">
          <cell r="C70" t="str">
            <v>南非/安格拉</v>
          </cell>
          <cell r="F70">
            <v>1</v>
          </cell>
          <cell r="G70">
            <v>12</v>
          </cell>
          <cell r="H70">
            <v>1</v>
          </cell>
          <cell r="I70">
            <v>11.5</v>
          </cell>
        </row>
        <row r="71">
          <cell r="C71" t="str">
            <v>埃及-2</v>
          </cell>
          <cell r="D71">
            <v>16</v>
          </cell>
          <cell r="E71">
            <v>87</v>
          </cell>
        </row>
        <row r="72">
          <cell r="C72" t="str">
            <v/>
          </cell>
          <cell r="D72">
            <v>44</v>
          </cell>
          <cell r="E72">
            <v>372.3</v>
          </cell>
          <cell r="F72">
            <v>16</v>
          </cell>
          <cell r="G72">
            <v>163.19999999999999</v>
          </cell>
          <cell r="H72">
            <v>2</v>
          </cell>
          <cell r="I72">
            <v>19.7</v>
          </cell>
        </row>
        <row r="73">
          <cell r="C73" t="str">
            <v>德国西班牙</v>
          </cell>
        </row>
        <row r="74">
          <cell r="C74" t="str">
            <v>东欧</v>
          </cell>
          <cell r="F74">
            <v>1</v>
          </cell>
          <cell r="G74">
            <v>2.2000000000000002</v>
          </cell>
        </row>
        <row r="75">
          <cell r="C75" t="str">
            <v>英国意大利</v>
          </cell>
          <cell r="I75">
            <v>3</v>
          </cell>
        </row>
        <row r="76">
          <cell r="C76" t="str">
            <v/>
          </cell>
          <cell r="G76">
            <v>2.2000000000000002</v>
          </cell>
          <cell r="I76">
            <v>3</v>
          </cell>
        </row>
        <row r="77">
          <cell r="C77" t="str">
            <v>商贸1</v>
          </cell>
          <cell r="E77">
            <v>190</v>
          </cell>
          <cell r="G77">
            <v>20</v>
          </cell>
          <cell r="I77">
            <v>8</v>
          </cell>
        </row>
        <row r="78">
          <cell r="C78" t="str">
            <v>商贸2</v>
          </cell>
        </row>
        <row r="79">
          <cell r="C79" t="str">
            <v>商贸3</v>
          </cell>
          <cell r="E79">
            <v>99</v>
          </cell>
          <cell r="G79">
            <v>0</v>
          </cell>
          <cell r="I79">
            <v>0</v>
          </cell>
        </row>
        <row r="80">
          <cell r="C80" t="str">
            <v>配件-1</v>
          </cell>
          <cell r="E80">
            <v>245</v>
          </cell>
          <cell r="G80">
            <v>20</v>
          </cell>
          <cell r="I80">
            <v>13</v>
          </cell>
        </row>
        <row r="81">
          <cell r="C81" t="str">
            <v>配件-2</v>
          </cell>
          <cell r="E81">
            <v>122.5</v>
          </cell>
          <cell r="G81">
            <v>10</v>
          </cell>
          <cell r="I81">
            <v>0</v>
          </cell>
        </row>
        <row r="82">
          <cell r="C82" t="str">
            <v>改造</v>
          </cell>
          <cell r="E82">
            <v>110</v>
          </cell>
          <cell r="G82">
            <v>50</v>
          </cell>
          <cell r="I82">
            <v>20</v>
          </cell>
        </row>
        <row r="84">
          <cell r="D84">
            <v>44</v>
          </cell>
          <cell r="E84">
            <v>372.3</v>
          </cell>
          <cell r="F84">
            <v>16</v>
          </cell>
          <cell r="G84">
            <v>165.4</v>
          </cell>
          <cell r="H84">
            <v>2</v>
          </cell>
          <cell r="I84">
            <v>22.7</v>
          </cell>
        </row>
      </sheetData>
      <sheetData sheetId="3"/>
      <sheetData sheetId="4"/>
      <sheetData sheetId="5">
        <row r="2">
          <cell r="C2" t="str">
            <v>模块</v>
          </cell>
          <cell r="D2" t="str">
            <v>签订台数</v>
          </cell>
          <cell r="E2" t="str">
            <v>签订额</v>
          </cell>
          <cell r="F2" t="str">
            <v>排产台数</v>
          </cell>
          <cell r="G2" t="str">
            <v>排产额</v>
          </cell>
          <cell r="H2" t="str">
            <v>发货台数</v>
          </cell>
          <cell r="I2" t="str">
            <v>发货额</v>
          </cell>
        </row>
        <row r="3">
          <cell r="C3" t="str">
            <v>俄罗斯（中部）</v>
          </cell>
          <cell r="D3">
            <v>100</v>
          </cell>
          <cell r="E3">
            <v>1800</v>
          </cell>
          <cell r="F3">
            <v>19</v>
          </cell>
          <cell r="G3">
            <v>350</v>
          </cell>
          <cell r="H3">
            <v>182</v>
          </cell>
          <cell r="I3">
            <v>2937</v>
          </cell>
        </row>
        <row r="4">
          <cell r="C4" t="str">
            <v>俄罗斯（西部）</v>
          </cell>
          <cell r="D4">
            <v>25</v>
          </cell>
          <cell r="E4">
            <v>450</v>
          </cell>
          <cell r="F4">
            <v>36</v>
          </cell>
          <cell r="G4">
            <v>550</v>
          </cell>
        </row>
        <row r="5">
          <cell r="C5" t="str">
            <v>俄罗斯（东部）</v>
          </cell>
          <cell r="D5">
            <v>31</v>
          </cell>
          <cell r="E5">
            <v>364</v>
          </cell>
          <cell r="F5">
            <v>10</v>
          </cell>
          <cell r="G5">
            <v>180</v>
          </cell>
          <cell r="H5">
            <v>27</v>
          </cell>
          <cell r="I5">
            <v>374</v>
          </cell>
        </row>
        <row r="6">
          <cell r="C6" t="str">
            <v>罗斯托夫</v>
          </cell>
          <cell r="D6">
            <v>33</v>
          </cell>
          <cell r="E6">
            <v>354</v>
          </cell>
          <cell r="F6">
            <v>13</v>
          </cell>
          <cell r="G6">
            <v>176</v>
          </cell>
          <cell r="H6">
            <v>4</v>
          </cell>
          <cell r="I6">
            <v>37</v>
          </cell>
        </row>
        <row r="7">
          <cell r="C7" t="str">
            <v>哈巴</v>
          </cell>
          <cell r="D7">
            <v>12</v>
          </cell>
          <cell r="E7">
            <v>134.1</v>
          </cell>
          <cell r="F7">
            <v>20</v>
          </cell>
          <cell r="G7">
            <v>169.3</v>
          </cell>
          <cell r="H7">
            <v>4</v>
          </cell>
          <cell r="I7">
            <v>43.4</v>
          </cell>
        </row>
        <row r="8">
          <cell r="C8" t="str">
            <v>俄罗斯（中南）</v>
          </cell>
          <cell r="D8">
            <v>70</v>
          </cell>
          <cell r="E8">
            <v>900</v>
          </cell>
          <cell r="F8">
            <v>25</v>
          </cell>
          <cell r="G8">
            <v>300</v>
          </cell>
          <cell r="H8">
            <v>31</v>
          </cell>
          <cell r="I8">
            <v>292.71660000000003</v>
          </cell>
        </row>
        <row r="9">
          <cell r="C9" t="str">
            <v>俄罗斯（西南）</v>
          </cell>
          <cell r="D9">
            <v>80</v>
          </cell>
          <cell r="E9">
            <v>1600</v>
          </cell>
          <cell r="F9">
            <v>23</v>
          </cell>
          <cell r="G9">
            <v>370</v>
          </cell>
          <cell r="H9">
            <v>4</v>
          </cell>
          <cell r="I9">
            <v>53</v>
          </cell>
        </row>
        <row r="10">
          <cell r="C10" t="str">
            <v>莫斯科</v>
          </cell>
          <cell r="D10">
            <v>14</v>
          </cell>
          <cell r="E10">
            <v>118</v>
          </cell>
          <cell r="F10">
            <v>6</v>
          </cell>
          <cell r="G10">
            <v>49</v>
          </cell>
          <cell r="H10">
            <v>6</v>
          </cell>
          <cell r="I10">
            <v>49</v>
          </cell>
        </row>
        <row r="11">
          <cell r="C11" t="str">
            <v>叶卡</v>
          </cell>
        </row>
        <row r="12">
          <cell r="C12" t="str">
            <v>新西</v>
          </cell>
        </row>
        <row r="13">
          <cell r="C13" t="str">
            <v/>
          </cell>
          <cell r="D13">
            <v>365</v>
          </cell>
          <cell r="E13">
            <v>5720.1</v>
          </cell>
          <cell r="F13">
            <v>152</v>
          </cell>
          <cell r="G13">
            <v>2144.3000000000002</v>
          </cell>
          <cell r="H13">
            <v>258</v>
          </cell>
          <cell r="I13">
            <v>3786.1165999999998</v>
          </cell>
        </row>
        <row r="14">
          <cell r="C14" t="str">
            <v>朝鲜-韩国</v>
          </cell>
          <cell r="D14">
            <v>10</v>
          </cell>
          <cell r="E14">
            <v>8</v>
          </cell>
          <cell r="F14">
            <v>8</v>
          </cell>
          <cell r="G14">
            <v>48</v>
          </cell>
          <cell r="H14">
            <v>6</v>
          </cell>
          <cell r="I14">
            <v>60</v>
          </cell>
        </row>
        <row r="15">
          <cell r="C15" t="str">
            <v>新加坡市政会</v>
          </cell>
          <cell r="D15">
            <v>47</v>
          </cell>
          <cell r="E15">
            <v>1000</v>
          </cell>
          <cell r="F15">
            <v>0</v>
          </cell>
          <cell r="G15">
            <v>0</v>
          </cell>
          <cell r="H15">
            <v>9</v>
          </cell>
          <cell r="I15">
            <v>180</v>
          </cell>
        </row>
        <row r="16">
          <cell r="C16" t="str">
            <v>新加坡HDB</v>
          </cell>
          <cell r="D16">
            <v>49</v>
          </cell>
          <cell r="E16">
            <v>1010</v>
          </cell>
          <cell r="F16">
            <v>10</v>
          </cell>
          <cell r="G16">
            <v>400</v>
          </cell>
          <cell r="H16">
            <v>13</v>
          </cell>
          <cell r="I16">
            <v>470</v>
          </cell>
        </row>
        <row r="17">
          <cell r="C17" t="str">
            <v>泰国</v>
          </cell>
          <cell r="D17">
            <v>10</v>
          </cell>
          <cell r="E17">
            <v>80</v>
          </cell>
          <cell r="F17">
            <v>2</v>
          </cell>
          <cell r="G17">
            <v>18.34</v>
          </cell>
          <cell r="H17">
            <v>3</v>
          </cell>
          <cell r="I17">
            <v>37.729999999999997</v>
          </cell>
        </row>
        <row r="18">
          <cell r="C18" t="str">
            <v>泰国2</v>
          </cell>
          <cell r="D18">
            <v>20</v>
          </cell>
          <cell r="E18">
            <v>160</v>
          </cell>
          <cell r="F18">
            <v>10</v>
          </cell>
          <cell r="G18">
            <v>100</v>
          </cell>
          <cell r="H18">
            <v>5</v>
          </cell>
          <cell r="I18">
            <v>40</v>
          </cell>
        </row>
        <row r="19">
          <cell r="C19" t="str">
            <v>金三角</v>
          </cell>
          <cell r="D19">
            <v>6</v>
          </cell>
          <cell r="E19">
            <v>30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C20" t="str">
            <v>马来西亚</v>
          </cell>
          <cell r="D20">
            <v>2</v>
          </cell>
          <cell r="E20">
            <v>47</v>
          </cell>
          <cell r="F20">
            <v>9</v>
          </cell>
          <cell r="G20">
            <v>200</v>
          </cell>
          <cell r="H20">
            <v>12</v>
          </cell>
          <cell r="I20">
            <v>260</v>
          </cell>
        </row>
        <row r="21">
          <cell r="C21" t="str">
            <v>马尔代夫</v>
          </cell>
          <cell r="D21">
            <v>4</v>
          </cell>
          <cell r="E21">
            <v>40</v>
          </cell>
          <cell r="F21">
            <v>2</v>
          </cell>
          <cell r="G21">
            <v>20</v>
          </cell>
          <cell r="H21">
            <v>4</v>
          </cell>
          <cell r="I21">
            <v>30</v>
          </cell>
        </row>
        <row r="22">
          <cell r="C22" t="str">
            <v>香港-台湾</v>
          </cell>
          <cell r="D22">
            <v>10</v>
          </cell>
          <cell r="E22">
            <v>50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C23" t="str">
            <v/>
          </cell>
          <cell r="D23">
            <v>158</v>
          </cell>
          <cell r="E23">
            <v>2425</v>
          </cell>
          <cell r="F23">
            <v>41</v>
          </cell>
          <cell r="G23">
            <v>786.34</v>
          </cell>
          <cell r="H23">
            <v>52</v>
          </cell>
          <cell r="I23">
            <v>1077.73</v>
          </cell>
        </row>
        <row r="24">
          <cell r="C24" t="str">
            <v>越南-2</v>
          </cell>
          <cell r="D24">
            <v>12</v>
          </cell>
          <cell r="E24">
            <v>60</v>
          </cell>
          <cell r="F24">
            <v>6</v>
          </cell>
          <cell r="G24">
            <v>30</v>
          </cell>
          <cell r="H24">
            <v>2</v>
          </cell>
          <cell r="I24">
            <v>10</v>
          </cell>
        </row>
        <row r="25">
          <cell r="C25" t="str">
            <v>印度公建</v>
          </cell>
          <cell r="D25">
            <v>3</v>
          </cell>
          <cell r="E25">
            <v>80.88</v>
          </cell>
          <cell r="F25">
            <v>2</v>
          </cell>
          <cell r="G25">
            <v>26.86</v>
          </cell>
          <cell r="H25">
            <v>5</v>
          </cell>
          <cell r="I25">
            <v>90.1707064</v>
          </cell>
        </row>
        <row r="26">
          <cell r="C26" t="str">
            <v>巴基斯坦</v>
          </cell>
          <cell r="D26">
            <v>6</v>
          </cell>
          <cell r="E26">
            <v>44.88</v>
          </cell>
          <cell r="F26">
            <v>2</v>
          </cell>
          <cell r="G26">
            <v>14.96</v>
          </cell>
          <cell r="H26">
            <v>2</v>
          </cell>
          <cell r="I26">
            <v>14.96</v>
          </cell>
        </row>
        <row r="27">
          <cell r="C27" t="str">
            <v>孟加拉-1</v>
          </cell>
          <cell r="D27">
            <v>35</v>
          </cell>
          <cell r="E27">
            <v>293.12</v>
          </cell>
          <cell r="F27">
            <v>5</v>
          </cell>
          <cell r="G27">
            <v>36.85</v>
          </cell>
          <cell r="H27">
            <v>4</v>
          </cell>
          <cell r="I27">
            <v>29.07</v>
          </cell>
        </row>
        <row r="28">
          <cell r="C28" t="str">
            <v>澳大利亚</v>
          </cell>
          <cell r="D28">
            <v>5</v>
          </cell>
          <cell r="E28">
            <v>80</v>
          </cell>
          <cell r="F28">
            <v>3</v>
          </cell>
          <cell r="G28">
            <v>30</v>
          </cell>
          <cell r="H28">
            <v>4</v>
          </cell>
          <cell r="I28">
            <v>40</v>
          </cell>
        </row>
        <row r="29">
          <cell r="C29" t="str">
            <v>菲律宾</v>
          </cell>
          <cell r="D29">
            <v>9</v>
          </cell>
          <cell r="E29">
            <v>100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C30" t="str">
            <v>印尼-1</v>
          </cell>
          <cell r="D30">
            <v>11</v>
          </cell>
          <cell r="E30">
            <v>160</v>
          </cell>
          <cell r="F30">
            <v>3</v>
          </cell>
          <cell r="G30">
            <v>32</v>
          </cell>
          <cell r="H30">
            <v>3</v>
          </cell>
          <cell r="I30">
            <v>16</v>
          </cell>
        </row>
        <row r="31">
          <cell r="C31" t="str">
            <v>越南-1（工厂）</v>
          </cell>
          <cell r="D31">
            <v>2</v>
          </cell>
          <cell r="E31">
            <v>14</v>
          </cell>
          <cell r="F31">
            <v>2</v>
          </cell>
          <cell r="G31">
            <v>14</v>
          </cell>
          <cell r="H31">
            <v>1</v>
          </cell>
          <cell r="I31">
            <v>7.21</v>
          </cell>
        </row>
        <row r="32">
          <cell r="C32" t="str">
            <v>印度私营</v>
          </cell>
          <cell r="D32">
            <v>16</v>
          </cell>
          <cell r="E32">
            <v>204.55</v>
          </cell>
          <cell r="F32">
            <v>16</v>
          </cell>
          <cell r="G32">
            <v>204.55</v>
          </cell>
          <cell r="H32">
            <v>9</v>
          </cell>
          <cell r="I32">
            <v>82.28</v>
          </cell>
        </row>
        <row r="33">
          <cell r="C33" t="str">
            <v>菲律宾-2</v>
          </cell>
          <cell r="D33">
            <v>8</v>
          </cell>
          <cell r="E33">
            <v>70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C34" t="str">
            <v>印尼-2</v>
          </cell>
          <cell r="D34">
            <v>19</v>
          </cell>
          <cell r="E34">
            <v>170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C35" t="str">
            <v/>
          </cell>
          <cell r="D35">
            <v>126</v>
          </cell>
          <cell r="E35">
            <v>1277.43</v>
          </cell>
          <cell r="F35">
            <v>39</v>
          </cell>
          <cell r="G35">
            <v>389.22</v>
          </cell>
          <cell r="H35">
            <v>30</v>
          </cell>
          <cell r="I35">
            <v>289.69070640000001</v>
          </cell>
        </row>
        <row r="36">
          <cell r="C36" t="str">
            <v>阿联酋-2</v>
          </cell>
          <cell r="D36">
            <v>70</v>
          </cell>
          <cell r="E36">
            <v>816.97040000000004</v>
          </cell>
          <cell r="F36">
            <v>10</v>
          </cell>
          <cell r="G36">
            <v>155</v>
          </cell>
          <cell r="H36">
            <v>10</v>
          </cell>
          <cell r="I36">
            <v>160</v>
          </cell>
        </row>
        <row r="37">
          <cell r="C37" t="str">
            <v>沙特工厂</v>
          </cell>
          <cell r="D37">
            <v>92</v>
          </cell>
          <cell r="E37">
            <v>990.28</v>
          </cell>
          <cell r="F37">
            <v>10</v>
          </cell>
          <cell r="G37">
            <v>105</v>
          </cell>
          <cell r="H37">
            <v>8</v>
          </cell>
          <cell r="I37">
            <v>70</v>
          </cell>
        </row>
        <row r="38">
          <cell r="C38" t="str">
            <v>沙特-1</v>
          </cell>
          <cell r="D38">
            <v>90</v>
          </cell>
          <cell r="E38">
            <v>732.36239999999998</v>
          </cell>
          <cell r="F38">
            <v>15</v>
          </cell>
          <cell r="G38">
            <v>180</v>
          </cell>
          <cell r="H38">
            <v>5</v>
          </cell>
          <cell r="I38">
            <v>45</v>
          </cell>
        </row>
        <row r="39">
          <cell r="C39" t="str">
            <v>科威特</v>
          </cell>
          <cell r="D39">
            <v>29</v>
          </cell>
          <cell r="E39">
            <v>271.23840000000001</v>
          </cell>
          <cell r="F39">
            <v>3</v>
          </cell>
          <cell r="G39">
            <v>25</v>
          </cell>
          <cell r="H39">
            <v>2</v>
          </cell>
          <cell r="I39">
            <v>17</v>
          </cell>
        </row>
        <row r="40">
          <cell r="C40" t="str">
            <v>阿联酋-1</v>
          </cell>
          <cell r="D40">
            <v>77</v>
          </cell>
          <cell r="E40">
            <v>676.44240000000002</v>
          </cell>
          <cell r="F40">
            <v>71</v>
          </cell>
          <cell r="G40">
            <v>560</v>
          </cell>
          <cell r="H40">
            <v>20</v>
          </cell>
          <cell r="I40">
            <v>230</v>
          </cell>
        </row>
        <row r="41">
          <cell r="C41" t="str">
            <v>卡塔尔</v>
          </cell>
          <cell r="D41">
            <v>8</v>
          </cell>
          <cell r="E41">
            <v>65</v>
          </cell>
          <cell r="F41">
            <v>5</v>
          </cell>
          <cell r="G41">
            <v>29.376000000000001</v>
          </cell>
        </row>
        <row r="42">
          <cell r="C42" t="str">
            <v>伊拉克</v>
          </cell>
          <cell r="D42">
            <v>10</v>
          </cell>
          <cell r="E42">
            <v>70</v>
          </cell>
          <cell r="F42">
            <v>5</v>
          </cell>
          <cell r="G42">
            <v>45</v>
          </cell>
          <cell r="H42">
            <v>6</v>
          </cell>
          <cell r="I42">
            <v>48</v>
          </cell>
        </row>
        <row r="43">
          <cell r="C43" t="str">
            <v>巴勒斯坦</v>
          </cell>
          <cell r="D43">
            <v>47</v>
          </cell>
          <cell r="E43">
            <v>310.8768</v>
          </cell>
          <cell r="F43">
            <v>3</v>
          </cell>
          <cell r="G43">
            <v>24</v>
          </cell>
          <cell r="H43">
            <v>2</v>
          </cell>
          <cell r="I43">
            <v>15</v>
          </cell>
        </row>
        <row r="44">
          <cell r="C44" t="str">
            <v>阿联酋3</v>
          </cell>
        </row>
        <row r="45">
          <cell r="C45" t="str">
            <v>伊朗+阿曼</v>
          </cell>
          <cell r="D45">
            <v>10</v>
          </cell>
          <cell r="E45">
            <v>66.416799999999995</v>
          </cell>
          <cell r="F45">
            <v>4</v>
          </cell>
          <cell r="G45">
            <v>30</v>
          </cell>
          <cell r="H45">
            <v>2</v>
          </cell>
          <cell r="I45">
            <v>13</v>
          </cell>
        </row>
        <row r="46">
          <cell r="C46" t="str">
            <v/>
          </cell>
          <cell r="D46">
            <v>433</v>
          </cell>
          <cell r="E46">
            <v>3999.5871999999999</v>
          </cell>
          <cell r="F46">
            <v>126</v>
          </cell>
          <cell r="G46">
            <v>1153.376</v>
          </cell>
          <cell r="H46">
            <v>55</v>
          </cell>
          <cell r="I46">
            <v>598</v>
          </cell>
        </row>
        <row r="47">
          <cell r="C47" t="str">
            <v>蒙古</v>
          </cell>
          <cell r="D47">
            <v>12</v>
          </cell>
          <cell r="E47">
            <v>130</v>
          </cell>
          <cell r="F47">
            <v>5</v>
          </cell>
          <cell r="G47">
            <v>45</v>
          </cell>
          <cell r="H47">
            <v>3</v>
          </cell>
          <cell r="I47">
            <v>51</v>
          </cell>
        </row>
        <row r="48">
          <cell r="C48" t="str">
            <v>哈萨克斯坦-1</v>
          </cell>
          <cell r="D48">
            <v>30</v>
          </cell>
          <cell r="E48">
            <v>280</v>
          </cell>
          <cell r="F48">
            <v>12</v>
          </cell>
          <cell r="G48">
            <v>100</v>
          </cell>
          <cell r="H48">
            <v>30</v>
          </cell>
          <cell r="I48">
            <v>310</v>
          </cell>
        </row>
        <row r="49">
          <cell r="C49" t="str">
            <v>塔吉克/哈萨克斯坦-2</v>
          </cell>
          <cell r="D49">
            <v>60</v>
          </cell>
          <cell r="E49">
            <v>360</v>
          </cell>
          <cell r="F49">
            <v>28</v>
          </cell>
          <cell r="G49">
            <v>200</v>
          </cell>
          <cell r="H49">
            <v>17</v>
          </cell>
          <cell r="I49">
            <v>154</v>
          </cell>
        </row>
        <row r="50">
          <cell r="C50" t="str">
            <v>哈萨克斯坦-3</v>
          </cell>
          <cell r="D50">
            <v>30</v>
          </cell>
          <cell r="E50">
            <v>44</v>
          </cell>
          <cell r="F50">
            <v>4</v>
          </cell>
          <cell r="G50">
            <v>22</v>
          </cell>
          <cell r="H50">
            <v>13</v>
          </cell>
          <cell r="I50">
            <v>148</v>
          </cell>
        </row>
        <row r="51">
          <cell r="C51" t="str">
            <v>乌兹别克斯坦</v>
          </cell>
          <cell r="D51">
            <v>35</v>
          </cell>
          <cell r="E51">
            <v>270</v>
          </cell>
          <cell r="F51">
            <v>22</v>
          </cell>
          <cell r="G51">
            <v>127</v>
          </cell>
          <cell r="H51">
            <v>26</v>
          </cell>
          <cell r="I51">
            <v>147</v>
          </cell>
        </row>
        <row r="52">
          <cell r="C52" t="str">
            <v>吉尔吉斯斯坦</v>
          </cell>
          <cell r="D52">
            <v>21</v>
          </cell>
          <cell r="E52">
            <v>120</v>
          </cell>
          <cell r="F52">
            <v>0</v>
          </cell>
          <cell r="G52">
            <v>0</v>
          </cell>
          <cell r="H52">
            <v>18</v>
          </cell>
          <cell r="I52">
            <v>170</v>
          </cell>
        </row>
        <row r="53">
          <cell r="C53" t="str">
            <v>阿塞拜疆</v>
          </cell>
          <cell r="D53">
            <v>20</v>
          </cell>
          <cell r="E53">
            <v>98</v>
          </cell>
          <cell r="F53">
            <v>20</v>
          </cell>
          <cell r="G53">
            <v>98</v>
          </cell>
          <cell r="H53">
            <v>6</v>
          </cell>
          <cell r="I53">
            <v>42</v>
          </cell>
        </row>
        <row r="54">
          <cell r="C54" t="str">
            <v>格鲁吉亚</v>
          </cell>
        </row>
        <row r="55">
          <cell r="C55" t="str">
            <v/>
          </cell>
          <cell r="D55">
            <v>208</v>
          </cell>
          <cell r="E55">
            <v>1302</v>
          </cell>
          <cell r="F55">
            <v>91</v>
          </cell>
          <cell r="G55">
            <v>592</v>
          </cell>
          <cell r="H55">
            <v>113</v>
          </cell>
          <cell r="I55">
            <v>1022</v>
          </cell>
        </row>
        <row r="56">
          <cell r="C56" t="str">
            <v>墨西哥-1</v>
          </cell>
          <cell r="D56">
            <v>36</v>
          </cell>
          <cell r="E56">
            <v>656</v>
          </cell>
          <cell r="F56">
            <v>20</v>
          </cell>
          <cell r="G56">
            <v>229.03</v>
          </cell>
          <cell r="H56">
            <v>25</v>
          </cell>
          <cell r="I56">
            <v>375.59</v>
          </cell>
        </row>
        <row r="57">
          <cell r="C57" t="str">
            <v>墨西哥-2</v>
          </cell>
        </row>
        <row r="58">
          <cell r="C58" t="str">
            <v>秘鲁</v>
          </cell>
          <cell r="D58">
            <v>32</v>
          </cell>
          <cell r="E58">
            <v>345</v>
          </cell>
          <cell r="F58">
            <v>8</v>
          </cell>
          <cell r="G58">
            <v>80</v>
          </cell>
          <cell r="H58">
            <v>11</v>
          </cell>
          <cell r="I58">
            <v>128</v>
          </cell>
        </row>
        <row r="59">
          <cell r="C59" t="str">
            <v>智利</v>
          </cell>
          <cell r="D59">
            <v>8</v>
          </cell>
          <cell r="E59">
            <v>112</v>
          </cell>
          <cell r="F59">
            <v>3</v>
          </cell>
          <cell r="G59">
            <v>34.799999999999997</v>
          </cell>
          <cell r="H59">
            <v>8</v>
          </cell>
          <cell r="I59">
            <v>111.8</v>
          </cell>
        </row>
        <row r="60">
          <cell r="C60" t="str">
            <v>加勒比海</v>
          </cell>
          <cell r="D60">
            <v>15</v>
          </cell>
          <cell r="E60">
            <v>128.4</v>
          </cell>
          <cell r="F60">
            <v>15</v>
          </cell>
          <cell r="G60">
            <v>128.4</v>
          </cell>
          <cell r="H60">
            <v>56</v>
          </cell>
          <cell r="I60">
            <v>502.25505720000001</v>
          </cell>
        </row>
        <row r="61">
          <cell r="C61" t="str">
            <v>多米尼加</v>
          </cell>
        </row>
        <row r="62">
          <cell r="C62" t="str">
            <v>哥伦比亚</v>
          </cell>
          <cell r="D62">
            <v>110</v>
          </cell>
          <cell r="E62">
            <v>1700</v>
          </cell>
          <cell r="F62">
            <v>40</v>
          </cell>
          <cell r="G62">
            <v>400</v>
          </cell>
          <cell r="H62">
            <v>30</v>
          </cell>
          <cell r="I62">
            <v>300</v>
          </cell>
        </row>
        <row r="63">
          <cell r="C63" t="str">
            <v>秘鲁2</v>
          </cell>
          <cell r="D63">
            <v>5</v>
          </cell>
          <cell r="E63">
            <v>42</v>
          </cell>
          <cell r="F63">
            <v>1</v>
          </cell>
          <cell r="G63">
            <v>10</v>
          </cell>
          <cell r="H63">
            <v>0</v>
          </cell>
          <cell r="I63">
            <v>0</v>
          </cell>
        </row>
        <row r="64">
          <cell r="C64" t="str">
            <v>巴西</v>
          </cell>
        </row>
        <row r="65">
          <cell r="C65" t="str">
            <v/>
          </cell>
          <cell r="D65">
            <v>206</v>
          </cell>
          <cell r="E65">
            <v>2983.4</v>
          </cell>
          <cell r="F65">
            <v>87</v>
          </cell>
          <cell r="G65">
            <v>882.23</v>
          </cell>
          <cell r="H65">
            <v>130</v>
          </cell>
          <cell r="I65">
            <v>1417.6450572000001</v>
          </cell>
        </row>
        <row r="66">
          <cell r="C66" t="str">
            <v>肯尼亚/坦桑尼亚</v>
          </cell>
          <cell r="D66">
            <v>15</v>
          </cell>
          <cell r="E66">
            <v>120</v>
          </cell>
          <cell r="F66">
            <v>15</v>
          </cell>
          <cell r="G66">
            <v>120</v>
          </cell>
          <cell r="H66">
            <v>15</v>
          </cell>
          <cell r="I66">
            <v>120</v>
          </cell>
        </row>
        <row r="67">
          <cell r="C67" t="str">
            <v>埃及-1</v>
          </cell>
          <cell r="D67">
            <v>211</v>
          </cell>
          <cell r="E67">
            <v>1510</v>
          </cell>
          <cell r="F67">
            <v>5</v>
          </cell>
          <cell r="G67">
            <v>50</v>
          </cell>
          <cell r="H67">
            <v>5</v>
          </cell>
          <cell r="I67">
            <v>50</v>
          </cell>
        </row>
        <row r="68">
          <cell r="C68" t="str">
            <v>尼日利亚/埃塞俄比亚</v>
          </cell>
          <cell r="H68">
            <v>14</v>
          </cell>
          <cell r="I68">
            <v>143</v>
          </cell>
        </row>
        <row r="69">
          <cell r="C69" t="str">
            <v>非洲法语区</v>
          </cell>
          <cell r="D69">
            <v>15</v>
          </cell>
          <cell r="E69">
            <v>87</v>
          </cell>
          <cell r="F69">
            <v>6</v>
          </cell>
          <cell r="G69">
            <v>34</v>
          </cell>
        </row>
        <row r="70">
          <cell r="C70" t="str">
            <v>南非/安格拉</v>
          </cell>
          <cell r="D70">
            <v>10</v>
          </cell>
          <cell r="E70">
            <v>100</v>
          </cell>
          <cell r="F70">
            <v>4</v>
          </cell>
          <cell r="G70">
            <v>35</v>
          </cell>
          <cell r="H70">
            <v>1</v>
          </cell>
          <cell r="I70">
            <v>12</v>
          </cell>
        </row>
        <row r="71">
          <cell r="C71" t="str">
            <v>埃及-2</v>
          </cell>
          <cell r="D71">
            <v>10</v>
          </cell>
          <cell r="E71">
            <v>64</v>
          </cell>
          <cell r="F71">
            <v>16</v>
          </cell>
          <cell r="G71">
            <v>116</v>
          </cell>
        </row>
        <row r="72">
          <cell r="C72" t="str">
            <v/>
          </cell>
          <cell r="D72">
            <v>261</v>
          </cell>
          <cell r="E72">
            <v>1881</v>
          </cell>
          <cell r="F72">
            <v>46</v>
          </cell>
          <cell r="G72">
            <v>355</v>
          </cell>
          <cell r="H72">
            <v>35</v>
          </cell>
          <cell r="I72">
            <v>325</v>
          </cell>
        </row>
        <row r="73">
          <cell r="C73" t="str">
            <v>德国西班牙</v>
          </cell>
        </row>
        <row r="74">
          <cell r="C74" t="str">
            <v>东欧</v>
          </cell>
          <cell r="D74">
            <v>1</v>
          </cell>
          <cell r="E74">
            <v>89</v>
          </cell>
        </row>
        <row r="75">
          <cell r="C75" t="str">
            <v>英国意大利</v>
          </cell>
          <cell r="E75">
            <v>6</v>
          </cell>
          <cell r="G75">
            <v>6</v>
          </cell>
          <cell r="I75">
            <v>6</v>
          </cell>
        </row>
        <row r="76">
          <cell r="C76" t="str">
            <v/>
          </cell>
          <cell r="D76">
            <v>1</v>
          </cell>
          <cell r="E76">
            <v>95</v>
          </cell>
          <cell r="F76">
            <v>0</v>
          </cell>
          <cell r="G76">
            <v>6</v>
          </cell>
          <cell r="H76">
            <v>0</v>
          </cell>
          <cell r="I76">
            <v>6</v>
          </cell>
        </row>
        <row r="77">
          <cell r="C77" t="str">
            <v>商贸1</v>
          </cell>
          <cell r="E77">
            <v>316</v>
          </cell>
          <cell r="G77">
            <v>206</v>
          </cell>
          <cell r="I77">
            <v>122</v>
          </cell>
        </row>
        <row r="78">
          <cell r="C78" t="str">
            <v>商贸2</v>
          </cell>
        </row>
        <row r="79">
          <cell r="C79" t="str">
            <v>商贸3</v>
          </cell>
          <cell r="E79">
            <v>53</v>
          </cell>
          <cell r="G79">
            <v>160</v>
          </cell>
        </row>
        <row r="80">
          <cell r="C80" t="str">
            <v>配件-1</v>
          </cell>
          <cell r="E80">
            <v>415</v>
          </cell>
          <cell r="G80">
            <v>290</v>
          </cell>
          <cell r="I80">
            <v>106.39</v>
          </cell>
        </row>
        <row r="81">
          <cell r="C81" t="str">
            <v>配件-2</v>
          </cell>
          <cell r="E81">
            <v>393</v>
          </cell>
          <cell r="G81">
            <v>450</v>
          </cell>
          <cell r="I81">
            <v>53</v>
          </cell>
        </row>
        <row r="82">
          <cell r="C82" t="str">
            <v>改造</v>
          </cell>
          <cell r="E82">
            <v>190</v>
          </cell>
          <cell r="G82">
            <v>100</v>
          </cell>
          <cell r="I82">
            <v>100</v>
          </cell>
        </row>
        <row r="83">
          <cell r="E83">
            <v>1367</v>
          </cell>
          <cell r="F83">
            <v>0</v>
          </cell>
          <cell r="G83">
            <v>1206</v>
          </cell>
          <cell r="H83">
            <v>0</v>
          </cell>
          <cell r="I83">
            <v>381.39</v>
          </cell>
        </row>
        <row r="84">
          <cell r="D84">
            <v>1758</v>
          </cell>
          <cell r="E84">
            <v>21050.517199999998</v>
          </cell>
          <cell r="F84">
            <v>582</v>
          </cell>
          <cell r="G84">
            <v>7514.4660000000003</v>
          </cell>
          <cell r="H84">
            <v>673</v>
          </cell>
          <cell r="I84">
            <v>8903.5723636000002</v>
          </cell>
        </row>
      </sheetData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PR"/>
      <sheetName val="ORACLE"/>
      <sheetName val="ORALC链接模板"/>
      <sheetName val="Sheet2"/>
      <sheetName val="Sheet1"/>
      <sheetName val="Sheet4"/>
      <sheetName val="Sheet5"/>
      <sheetName val="Sheet6"/>
      <sheetName val="九大区汇总"/>
      <sheetName val="完成表"/>
      <sheetName val="Sheet9"/>
      <sheetName val="Sheet3"/>
      <sheetName val="国家对区域"/>
      <sheetName val="Sheet7"/>
      <sheetName val="打印"/>
      <sheetName val="Sheet10"/>
      <sheetName val="两年对比终版"/>
      <sheetName val="两年对比核对版"/>
      <sheetName val="指标"/>
      <sheetName val="三年对比"/>
      <sheetName val="大台账"/>
      <sheetName val="2025签订"/>
      <sheetName val="改造"/>
      <sheetName val="2026签订"/>
      <sheetName val="2025年排产"/>
      <sheetName val="2026年排产"/>
      <sheetName val="2025发货"/>
      <sheetName val="2026发货"/>
      <sheetName val="25年回款"/>
      <sheetName val="26年回款"/>
      <sheetName val="排产未发货"/>
      <sheetName val="安装"/>
      <sheetName val="Sheet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>国贸签订、排产、发货两年对比</v>
          </cell>
        </row>
        <row r="3">
          <cell r="A3" t="str">
            <v>模块</v>
          </cell>
          <cell r="B3" t="str">
            <v>市场类别</v>
          </cell>
          <cell r="C3" t="str">
            <v>签订台数</v>
          </cell>
          <cell r="F3" t="str">
            <v>签订额    
 （万元）</v>
          </cell>
          <cell r="I3" t="str">
            <v>海外差额</v>
          </cell>
          <cell r="K3" t="str">
            <v>签订额合计</v>
          </cell>
          <cell r="N3" t="str">
            <v>排产台数</v>
          </cell>
          <cell r="Q3" t="str">
            <v>排产额</v>
          </cell>
          <cell r="T3" t="str">
            <v>发货台数</v>
          </cell>
          <cell r="W3" t="str">
            <v>发货额</v>
          </cell>
          <cell r="Z3" t="str">
            <v>回款</v>
          </cell>
          <cell r="AB3" t="str">
            <v>海外回款及其他</v>
          </cell>
          <cell r="AD3" t="str">
            <v>回款额</v>
          </cell>
        </row>
        <row r="4">
          <cell r="C4">
            <v>2025</v>
          </cell>
          <cell r="D4">
            <v>2026</v>
          </cell>
          <cell r="E4" t="str">
            <v>增长比例</v>
          </cell>
          <cell r="F4">
            <v>2025</v>
          </cell>
          <cell r="G4">
            <v>2026</v>
          </cell>
          <cell r="H4" t="str">
            <v>增长比例</v>
          </cell>
          <cell r="I4">
            <v>2025</v>
          </cell>
          <cell r="J4">
            <v>2026</v>
          </cell>
          <cell r="K4">
            <v>2025</v>
          </cell>
          <cell r="L4">
            <v>2026</v>
          </cell>
          <cell r="M4" t="str">
            <v>增长比例</v>
          </cell>
          <cell r="N4">
            <v>2025</v>
          </cell>
          <cell r="O4">
            <v>2026</v>
          </cell>
          <cell r="P4" t="str">
            <v>增长比例</v>
          </cell>
          <cell r="Q4">
            <v>2025</v>
          </cell>
          <cell r="R4">
            <v>2026</v>
          </cell>
          <cell r="S4" t="str">
            <v>增长比例</v>
          </cell>
          <cell r="T4">
            <v>2025</v>
          </cell>
          <cell r="U4">
            <v>2026</v>
          </cell>
          <cell r="V4" t="str">
            <v>增长比例</v>
          </cell>
          <cell r="W4">
            <v>2025</v>
          </cell>
          <cell r="X4">
            <v>2026</v>
          </cell>
          <cell r="Y4" t="str">
            <v>增长比例</v>
          </cell>
          <cell r="Z4">
            <v>2025</v>
          </cell>
          <cell r="AA4">
            <v>2026</v>
          </cell>
          <cell r="AB4">
            <v>2025</v>
          </cell>
          <cell r="AC4">
            <v>2026</v>
          </cell>
          <cell r="AD4">
            <v>2025</v>
          </cell>
        </row>
        <row r="5">
          <cell r="A5" t="str">
            <v>俄罗斯（中部）</v>
          </cell>
          <cell r="B5" t="str">
            <v>A</v>
          </cell>
          <cell r="C5">
            <v>714</v>
          </cell>
          <cell r="D5">
            <v>437</v>
          </cell>
          <cell r="E5">
            <v>-0.38795518207282897</v>
          </cell>
          <cell r="F5">
            <v>12662.34146</v>
          </cell>
          <cell r="G5">
            <v>8416.64</v>
          </cell>
          <cell r="H5">
            <v>-0.335301450637077</v>
          </cell>
          <cell r="K5">
            <v>12662.34146</v>
          </cell>
          <cell r="L5">
            <v>8416.64</v>
          </cell>
          <cell r="M5">
            <v>-0.335301450637077</v>
          </cell>
          <cell r="N5">
            <v>371</v>
          </cell>
          <cell r="O5">
            <v>309</v>
          </cell>
          <cell r="P5">
            <v>-0.16711590296496001</v>
          </cell>
          <cell r="Q5">
            <v>6707.2803599999997</v>
          </cell>
          <cell r="R5">
            <v>5700.21</v>
          </cell>
          <cell r="S5">
            <v>-0.15014585732927399</v>
          </cell>
          <cell r="T5">
            <v>223</v>
          </cell>
          <cell r="U5">
            <v>259</v>
          </cell>
          <cell r="V5">
            <v>0.161434977578475</v>
          </cell>
          <cell r="W5">
            <v>4120.0565999999999</v>
          </cell>
          <cell r="X5">
            <v>5724.9480000000003</v>
          </cell>
          <cell r="Y5">
            <v>0.38953139624344002</v>
          </cell>
          <cell r="Z5">
            <v>5003.1689406249898</v>
          </cell>
          <cell r="AA5">
            <v>5255.1997607788198</v>
          </cell>
          <cell r="AD5">
            <v>5003.1689406249898</v>
          </cell>
        </row>
        <row r="6">
          <cell r="A6" t="str">
            <v>俄罗斯（西部）</v>
          </cell>
          <cell r="B6" t="str">
            <v>A</v>
          </cell>
          <cell r="C6">
            <v>500</v>
          </cell>
          <cell r="D6">
            <v>433</v>
          </cell>
          <cell r="E6">
            <v>-0.13400000000000001</v>
          </cell>
          <cell r="F6">
            <v>9367.9865399999999</v>
          </cell>
          <cell r="G6">
            <v>9375.82</v>
          </cell>
          <cell r="H6">
            <v>8.3619462587313095E-4</v>
          </cell>
          <cell r="K6">
            <v>9367.9865399999999</v>
          </cell>
          <cell r="L6">
            <v>9375.82</v>
          </cell>
          <cell r="M6">
            <v>8.3619462587313095E-4</v>
          </cell>
          <cell r="N6">
            <v>207</v>
          </cell>
          <cell r="O6">
            <v>278</v>
          </cell>
          <cell r="P6">
            <v>0.34299516908212602</v>
          </cell>
          <cell r="Q6">
            <v>4230.2511999999997</v>
          </cell>
          <cell r="R6">
            <v>4488.08</v>
          </cell>
          <cell r="S6">
            <v>6.0948815521877302E-2</v>
          </cell>
          <cell r="T6">
            <v>121</v>
          </cell>
          <cell r="U6">
            <v>183</v>
          </cell>
          <cell r="V6">
            <v>0.51239669421487599</v>
          </cell>
          <cell r="W6">
            <v>2814.2512000000002</v>
          </cell>
          <cell r="X6">
            <v>3464.951</v>
          </cell>
          <cell r="Y6">
            <v>0.23121596252672799</v>
          </cell>
          <cell r="Z6">
            <v>3283.8379</v>
          </cell>
          <cell r="AA6">
            <v>5504.5723407806399</v>
          </cell>
          <cell r="AD6">
            <v>3283.8379</v>
          </cell>
        </row>
        <row r="7">
          <cell r="A7" t="str">
            <v>俄罗斯（东部）</v>
          </cell>
          <cell r="B7" t="str">
            <v>A</v>
          </cell>
          <cell r="C7">
            <v>446</v>
          </cell>
          <cell r="D7">
            <v>210</v>
          </cell>
          <cell r="E7">
            <v>-0.52914798206278002</v>
          </cell>
          <cell r="F7">
            <v>6485.9782999999998</v>
          </cell>
          <cell r="G7">
            <v>3909.41</v>
          </cell>
          <cell r="H7">
            <v>-0.397252069128878</v>
          </cell>
          <cell r="K7">
            <v>6485.9782999999998</v>
          </cell>
          <cell r="L7">
            <v>3909.41</v>
          </cell>
          <cell r="M7">
            <v>-0.397252069128878</v>
          </cell>
          <cell r="N7">
            <v>126</v>
          </cell>
          <cell r="O7">
            <v>98</v>
          </cell>
          <cell r="P7">
            <v>-0.22222222222222199</v>
          </cell>
          <cell r="Q7">
            <v>1887.3783000000001</v>
          </cell>
          <cell r="R7">
            <v>1280.19</v>
          </cell>
          <cell r="S7">
            <v>-0.32170990839515301</v>
          </cell>
          <cell r="T7">
            <v>125</v>
          </cell>
          <cell r="U7">
            <v>58</v>
          </cell>
          <cell r="V7">
            <v>-0.53600000000000003</v>
          </cell>
          <cell r="W7">
            <v>1964.9377999999999</v>
          </cell>
          <cell r="X7">
            <v>712.73</v>
          </cell>
          <cell r="Y7">
            <v>-0.63727605016301303</v>
          </cell>
          <cell r="Z7">
            <v>2215.7523999999999</v>
          </cell>
          <cell r="AA7">
            <v>1112.7082499999999</v>
          </cell>
          <cell r="AD7">
            <v>2215.7523999999999</v>
          </cell>
        </row>
        <row r="8">
          <cell r="A8" t="str">
            <v>罗斯托夫</v>
          </cell>
          <cell r="B8" t="str">
            <v>A</v>
          </cell>
          <cell r="C8">
            <v>0</v>
          </cell>
          <cell r="D8">
            <v>43</v>
          </cell>
          <cell r="E8" t="str">
            <v>-</v>
          </cell>
          <cell r="F8">
            <v>0</v>
          </cell>
          <cell r="G8">
            <v>904.52</v>
          </cell>
          <cell r="H8" t="str">
            <v>-</v>
          </cell>
          <cell r="K8">
            <v>0</v>
          </cell>
          <cell r="L8">
            <v>904.52</v>
          </cell>
          <cell r="M8" t="str">
            <v>-</v>
          </cell>
          <cell r="N8">
            <v>0</v>
          </cell>
          <cell r="O8">
            <v>14</v>
          </cell>
          <cell r="P8" t="str">
            <v>-</v>
          </cell>
          <cell r="Q8">
            <v>0</v>
          </cell>
          <cell r="R8">
            <v>139.5</v>
          </cell>
          <cell r="S8" t="str">
            <v>-</v>
          </cell>
          <cell r="T8">
            <v>0</v>
          </cell>
          <cell r="U8">
            <v>10</v>
          </cell>
          <cell r="V8" t="str">
            <v>-</v>
          </cell>
          <cell r="W8">
            <v>0</v>
          </cell>
          <cell r="X8">
            <v>102.4</v>
          </cell>
          <cell r="Y8" t="str">
            <v>-</v>
          </cell>
          <cell r="Z8">
            <v>0</v>
          </cell>
          <cell r="AA8">
            <v>116.493036914063</v>
          </cell>
          <cell r="AD8">
            <v>0</v>
          </cell>
        </row>
        <row r="9">
          <cell r="A9" t="str">
            <v>哈巴</v>
          </cell>
          <cell r="B9" t="str">
            <v>A</v>
          </cell>
          <cell r="C9">
            <v>0</v>
          </cell>
          <cell r="D9">
            <v>144</v>
          </cell>
          <cell r="E9" t="str">
            <v>-</v>
          </cell>
          <cell r="F9">
            <v>0</v>
          </cell>
          <cell r="G9">
            <v>1644.1455000000001</v>
          </cell>
          <cell r="H9" t="str">
            <v>-</v>
          </cell>
          <cell r="K9">
            <v>0</v>
          </cell>
          <cell r="L9">
            <v>1644.1455000000001</v>
          </cell>
          <cell r="M9" t="str">
            <v>-</v>
          </cell>
          <cell r="N9">
            <v>0</v>
          </cell>
          <cell r="O9">
            <v>43</v>
          </cell>
          <cell r="P9" t="str">
            <v>-</v>
          </cell>
          <cell r="Q9">
            <v>0</v>
          </cell>
          <cell r="R9">
            <v>456.9255</v>
          </cell>
          <cell r="S9" t="str">
            <v>-</v>
          </cell>
          <cell r="T9">
            <v>0</v>
          </cell>
          <cell r="U9">
            <v>43</v>
          </cell>
          <cell r="V9" t="str">
            <v>-</v>
          </cell>
          <cell r="W9">
            <v>0</v>
          </cell>
          <cell r="X9">
            <v>456.9255</v>
          </cell>
          <cell r="Y9" t="str">
            <v>-</v>
          </cell>
          <cell r="Z9">
            <v>0</v>
          </cell>
          <cell r="AA9">
            <v>456.68549999999999</v>
          </cell>
          <cell r="AD9">
            <v>0</v>
          </cell>
        </row>
        <row r="10">
          <cell r="A10" t="str">
            <v>俄罗斯（中南）</v>
          </cell>
          <cell r="B10" t="str">
            <v>B</v>
          </cell>
          <cell r="C10">
            <v>79</v>
          </cell>
          <cell r="D10">
            <v>30</v>
          </cell>
          <cell r="E10">
            <v>-0.620253164556962</v>
          </cell>
          <cell r="F10">
            <v>1044.9259999999999</v>
          </cell>
          <cell r="G10">
            <v>329.38619999999997</v>
          </cell>
          <cell r="H10">
            <v>-0.68477557262428201</v>
          </cell>
          <cell r="K10">
            <v>1044.9259999999999</v>
          </cell>
          <cell r="L10">
            <v>329.38619999999997</v>
          </cell>
          <cell r="M10">
            <v>-0.68477557262428201</v>
          </cell>
          <cell r="N10">
            <v>30</v>
          </cell>
          <cell r="O10">
            <v>17</v>
          </cell>
          <cell r="P10">
            <v>-0.43333333333333302</v>
          </cell>
          <cell r="Q10">
            <v>487.23200000000003</v>
          </cell>
          <cell r="R10">
            <v>174.65620000000001</v>
          </cell>
          <cell r="S10">
            <v>-0.64153380730329701</v>
          </cell>
          <cell r="T10">
            <v>36</v>
          </cell>
          <cell r="U10">
            <v>12</v>
          </cell>
          <cell r="V10">
            <v>-0.66666666666666696</v>
          </cell>
          <cell r="W10">
            <v>515.13199999999995</v>
          </cell>
          <cell r="X10">
            <v>148.86000000000001</v>
          </cell>
          <cell r="Y10">
            <v>-0.71102552355512805</v>
          </cell>
          <cell r="Z10">
            <v>545.38060764770501</v>
          </cell>
          <cell r="AA10">
            <v>210.54</v>
          </cell>
          <cell r="AD10">
            <v>545.38060764770501</v>
          </cell>
        </row>
        <row r="11">
          <cell r="A11" t="str">
            <v>俄罗斯（西南）</v>
          </cell>
          <cell r="B11" t="str">
            <v>B</v>
          </cell>
          <cell r="C11">
            <v>415</v>
          </cell>
          <cell r="D11">
            <v>64</v>
          </cell>
          <cell r="E11">
            <v>-0.84578313253012005</v>
          </cell>
          <cell r="F11">
            <v>7818.7330000000002</v>
          </cell>
          <cell r="G11">
            <v>1474.22</v>
          </cell>
          <cell r="H11">
            <v>-0.81145026950018595</v>
          </cell>
          <cell r="K11">
            <v>7818.7330000000002</v>
          </cell>
          <cell r="L11">
            <v>1474.22</v>
          </cell>
          <cell r="M11">
            <v>-0.81145026950018595</v>
          </cell>
          <cell r="N11">
            <v>156</v>
          </cell>
          <cell r="O11">
            <v>28</v>
          </cell>
          <cell r="P11">
            <v>-0.82051282051282004</v>
          </cell>
          <cell r="Q11">
            <v>2594.4504999999999</v>
          </cell>
          <cell r="R11">
            <v>328.07310999999999</v>
          </cell>
          <cell r="S11">
            <v>-0.87354813283198096</v>
          </cell>
          <cell r="T11">
            <v>108</v>
          </cell>
          <cell r="U11">
            <v>24</v>
          </cell>
          <cell r="V11">
            <v>-0.77777777777777801</v>
          </cell>
          <cell r="W11">
            <v>1970.7394999999999</v>
          </cell>
          <cell r="X11">
            <v>276.23311000000001</v>
          </cell>
          <cell r="Y11">
            <v>-0.85983276328505098</v>
          </cell>
          <cell r="Z11">
            <v>2067.2918998657201</v>
          </cell>
          <cell r="AA11">
            <v>366.3836</v>
          </cell>
          <cell r="AD11">
            <v>2067.2918998657201</v>
          </cell>
        </row>
        <row r="12">
          <cell r="A12" t="str">
            <v>莫斯科</v>
          </cell>
          <cell r="B12" t="str">
            <v>C</v>
          </cell>
          <cell r="C12">
            <v>0</v>
          </cell>
          <cell r="D12">
            <v>2</v>
          </cell>
          <cell r="E12" t="str">
            <v>-</v>
          </cell>
          <cell r="F12">
            <v>0</v>
          </cell>
          <cell r="G12">
            <v>22.84</v>
          </cell>
          <cell r="H12" t="str">
            <v>-</v>
          </cell>
          <cell r="K12">
            <v>0</v>
          </cell>
          <cell r="L12">
            <v>22.84</v>
          </cell>
          <cell r="M12" t="str">
            <v>-</v>
          </cell>
          <cell r="N12">
            <v>0</v>
          </cell>
          <cell r="O12">
            <v>2</v>
          </cell>
          <cell r="P12" t="str">
            <v>-</v>
          </cell>
          <cell r="Q12">
            <v>0</v>
          </cell>
          <cell r="R12">
            <v>22.84</v>
          </cell>
          <cell r="S12" t="str">
            <v>-</v>
          </cell>
          <cell r="T12">
            <v>0</v>
          </cell>
          <cell r="U12">
            <v>2</v>
          </cell>
          <cell r="V12" t="str">
            <v>-</v>
          </cell>
          <cell r="W12">
            <v>0</v>
          </cell>
          <cell r="X12">
            <v>22.84</v>
          </cell>
          <cell r="Y12" t="str">
            <v>-</v>
          </cell>
          <cell r="Z12">
            <v>0</v>
          </cell>
          <cell r="AA12">
            <v>22.12</v>
          </cell>
          <cell r="AD12">
            <v>0</v>
          </cell>
        </row>
        <row r="13">
          <cell r="A13" t="str">
            <v>叶卡</v>
          </cell>
          <cell r="B13" t="str">
            <v>C</v>
          </cell>
          <cell r="C13">
            <v>0</v>
          </cell>
          <cell r="D13">
            <v>0</v>
          </cell>
          <cell r="E13" t="str">
            <v>-</v>
          </cell>
          <cell r="F13">
            <v>0</v>
          </cell>
          <cell r="G13">
            <v>0</v>
          </cell>
          <cell r="H13" t="str">
            <v>-</v>
          </cell>
          <cell r="K13">
            <v>0</v>
          </cell>
          <cell r="L13">
            <v>0</v>
          </cell>
          <cell r="M13" t="str">
            <v>-</v>
          </cell>
          <cell r="N13">
            <v>0</v>
          </cell>
          <cell r="O13">
            <v>0</v>
          </cell>
          <cell r="P13" t="str">
            <v>-</v>
          </cell>
          <cell r="Q13">
            <v>0</v>
          </cell>
          <cell r="R13">
            <v>0</v>
          </cell>
          <cell r="S13" t="str">
            <v>-</v>
          </cell>
          <cell r="T13">
            <v>0</v>
          </cell>
          <cell r="U13">
            <v>0</v>
          </cell>
          <cell r="V13" t="str">
            <v>-</v>
          </cell>
          <cell r="W13">
            <v>0</v>
          </cell>
          <cell r="X13">
            <v>0</v>
          </cell>
          <cell r="Y13" t="str">
            <v>-</v>
          </cell>
          <cell r="Z13">
            <v>0</v>
          </cell>
          <cell r="AA13">
            <v>0</v>
          </cell>
          <cell r="AD13">
            <v>0</v>
          </cell>
        </row>
        <row r="14">
          <cell r="A14" t="str">
            <v>新西</v>
          </cell>
          <cell r="B14" t="str">
            <v>C</v>
          </cell>
          <cell r="C14">
            <v>0</v>
          </cell>
          <cell r="D14">
            <v>0</v>
          </cell>
          <cell r="E14" t="str">
            <v>-</v>
          </cell>
          <cell r="F14">
            <v>0</v>
          </cell>
          <cell r="G14">
            <v>0</v>
          </cell>
          <cell r="H14" t="str">
            <v>-</v>
          </cell>
          <cell r="K14">
            <v>0</v>
          </cell>
          <cell r="L14">
            <v>0</v>
          </cell>
          <cell r="M14" t="str">
            <v>-</v>
          </cell>
          <cell r="N14">
            <v>0</v>
          </cell>
          <cell r="O14">
            <v>0</v>
          </cell>
          <cell r="P14" t="str">
            <v>-</v>
          </cell>
          <cell r="Q14">
            <v>0</v>
          </cell>
          <cell r="R14">
            <v>0</v>
          </cell>
          <cell r="S14" t="str">
            <v>-</v>
          </cell>
          <cell r="T14">
            <v>0</v>
          </cell>
          <cell r="U14">
            <v>0</v>
          </cell>
          <cell r="V14" t="str">
            <v>-</v>
          </cell>
          <cell r="W14">
            <v>0</v>
          </cell>
          <cell r="X14">
            <v>0</v>
          </cell>
          <cell r="Y14" t="str">
            <v>-</v>
          </cell>
          <cell r="Z14">
            <v>0</v>
          </cell>
          <cell r="AA14">
            <v>0</v>
          </cell>
          <cell r="AD14">
            <v>0</v>
          </cell>
        </row>
        <row r="15">
          <cell r="A15" t="str">
            <v>俄罗斯合计</v>
          </cell>
          <cell r="C15">
            <v>2154</v>
          </cell>
          <cell r="D15">
            <v>1363</v>
          </cell>
          <cell r="E15">
            <v>-0.36722376973073401</v>
          </cell>
          <cell r="F15">
            <v>37379.965300000003</v>
          </cell>
          <cell r="G15">
            <v>26076.9817</v>
          </cell>
          <cell r="H15">
            <v>-0.30238079434493198</v>
          </cell>
          <cell r="I15">
            <v>0</v>
          </cell>
          <cell r="J15">
            <v>0</v>
          </cell>
          <cell r="K15">
            <v>37379.965300000003</v>
          </cell>
          <cell r="L15">
            <v>26076.9817</v>
          </cell>
          <cell r="M15">
            <v>-0.30238079434493198</v>
          </cell>
          <cell r="N15">
            <v>890</v>
          </cell>
          <cell r="O15">
            <v>789</v>
          </cell>
          <cell r="P15">
            <v>-0.113483146067416</v>
          </cell>
          <cell r="Q15">
            <v>15906.592360000001</v>
          </cell>
          <cell r="R15">
            <v>12590.47481</v>
          </cell>
          <cell r="S15">
            <v>-0.208474415823906</v>
          </cell>
          <cell r="T15">
            <v>613</v>
          </cell>
          <cell r="U15">
            <v>591</v>
          </cell>
          <cell r="V15">
            <v>-3.5889070146818899E-2</v>
          </cell>
          <cell r="W15">
            <v>11385.117099999999</v>
          </cell>
          <cell r="X15">
            <v>10909.88761</v>
          </cell>
          <cell r="Y15">
            <v>-4.1741291356590403E-2</v>
          </cell>
          <cell r="Z15">
            <v>13115.431748138401</v>
          </cell>
          <cell r="AA15">
            <v>13044.7024884735</v>
          </cell>
          <cell r="AB15">
            <v>0</v>
          </cell>
          <cell r="AC15">
            <v>0</v>
          </cell>
          <cell r="AD15">
            <v>13115.431748138401</v>
          </cell>
        </row>
        <row r="16">
          <cell r="A16" t="str">
            <v>蒙古</v>
          </cell>
          <cell r="B16" t="str">
            <v>C</v>
          </cell>
          <cell r="C16">
            <v>73</v>
          </cell>
          <cell r="D16">
            <v>37</v>
          </cell>
          <cell r="E16">
            <v>-0.49315068493150699</v>
          </cell>
          <cell r="F16">
            <v>800.21296800000005</v>
          </cell>
          <cell r="G16">
            <v>443.11909100000003</v>
          </cell>
          <cell r="H16">
            <v>-0.44624855042339201</v>
          </cell>
          <cell r="K16">
            <v>800.21296800000005</v>
          </cell>
          <cell r="L16">
            <v>443.11909100000003</v>
          </cell>
          <cell r="M16">
            <v>-0.44624855042339201</v>
          </cell>
          <cell r="N16">
            <v>15</v>
          </cell>
          <cell r="O16">
            <v>11</v>
          </cell>
          <cell r="P16">
            <v>-0.266666666666667</v>
          </cell>
          <cell r="Q16">
            <v>187.86055999999999</v>
          </cell>
          <cell r="R16">
            <v>141.80030300000001</v>
          </cell>
          <cell r="S16">
            <v>-0.24518321993716999</v>
          </cell>
          <cell r="T16">
            <v>10</v>
          </cell>
          <cell r="U16">
            <v>2</v>
          </cell>
          <cell r="V16">
            <v>-0.8</v>
          </cell>
          <cell r="W16">
            <v>152.329161</v>
          </cell>
          <cell r="X16">
            <v>33.681283999999998</v>
          </cell>
          <cell r="Y16">
            <v>-0.77889142315961402</v>
          </cell>
          <cell r="Z16">
            <v>183.927343945312</v>
          </cell>
          <cell r="AA16">
            <v>141.25418945312501</v>
          </cell>
          <cell r="AD16">
            <v>183.927343945312</v>
          </cell>
        </row>
        <row r="17">
          <cell r="A17" t="str">
            <v>哈萨克斯坦-1</v>
          </cell>
          <cell r="B17" t="str">
            <v>A</v>
          </cell>
          <cell r="C17">
            <v>155</v>
          </cell>
          <cell r="D17">
            <v>256</v>
          </cell>
          <cell r="E17">
            <v>0.65161290322580601</v>
          </cell>
          <cell r="F17">
            <v>1270.468435</v>
          </cell>
          <cell r="G17">
            <v>2144.7098780000001</v>
          </cell>
          <cell r="H17">
            <v>0.68812527640641596</v>
          </cell>
          <cell r="K17">
            <v>1270.468435</v>
          </cell>
          <cell r="L17">
            <v>2144.7098780000001</v>
          </cell>
          <cell r="M17">
            <v>0.68812527640641596</v>
          </cell>
          <cell r="N17">
            <v>55</v>
          </cell>
          <cell r="O17">
            <v>98</v>
          </cell>
          <cell r="P17">
            <v>0.78181818181818197</v>
          </cell>
          <cell r="Q17">
            <v>530.29769199999998</v>
          </cell>
          <cell r="R17">
            <v>936.92068400000005</v>
          </cell>
          <cell r="S17">
            <v>0.76678250374131296</v>
          </cell>
          <cell r="T17">
            <v>48</v>
          </cell>
          <cell r="U17">
            <v>55</v>
          </cell>
          <cell r="V17">
            <v>0.14583333333333301</v>
          </cell>
          <cell r="W17">
            <v>502.43066499999998</v>
          </cell>
          <cell r="X17">
            <v>536.22082599999999</v>
          </cell>
          <cell r="Y17">
            <v>6.7253381120756406E-2</v>
          </cell>
          <cell r="Z17">
            <v>509.929719042969</v>
          </cell>
          <cell r="AA17">
            <v>615.39745223388695</v>
          </cell>
          <cell r="AD17">
            <v>509.929719042969</v>
          </cell>
        </row>
        <row r="18">
          <cell r="A18" t="str">
            <v>塔吉克/哈萨克斯坦-2</v>
          </cell>
          <cell r="B18" t="str">
            <v>B</v>
          </cell>
          <cell r="C18">
            <v>210</v>
          </cell>
          <cell r="D18">
            <v>70</v>
          </cell>
          <cell r="E18">
            <v>-0.66666666666666696</v>
          </cell>
          <cell r="F18">
            <v>2098.8549979999998</v>
          </cell>
          <cell r="G18">
            <v>567.46817199999998</v>
          </cell>
          <cell r="H18">
            <v>-0.729629644477231</v>
          </cell>
          <cell r="K18">
            <v>2098.8549979999998</v>
          </cell>
          <cell r="L18">
            <v>567.46817199999998</v>
          </cell>
          <cell r="M18">
            <v>-0.729629644477231</v>
          </cell>
          <cell r="N18">
            <v>36</v>
          </cell>
          <cell r="O18">
            <v>39</v>
          </cell>
          <cell r="P18">
            <v>8.3333333333333301E-2</v>
          </cell>
          <cell r="Q18">
            <v>317.42713099999997</v>
          </cell>
          <cell r="R18">
            <v>273.63838199999998</v>
          </cell>
          <cell r="S18">
            <v>-0.13794898017082199</v>
          </cell>
          <cell r="T18">
            <v>29</v>
          </cell>
          <cell r="U18">
            <v>17</v>
          </cell>
          <cell r="V18">
            <v>-0.41379310344827602</v>
          </cell>
          <cell r="W18">
            <v>276.05057599999998</v>
          </cell>
          <cell r="X18">
            <v>121.803817</v>
          </cell>
          <cell r="Y18">
            <v>-0.55876267760441101</v>
          </cell>
          <cell r="Z18">
            <v>290.39446128082301</v>
          </cell>
          <cell r="AA18">
            <v>134.07323495483399</v>
          </cell>
          <cell r="AD18">
            <v>290.39446128082301</v>
          </cell>
        </row>
        <row r="19">
          <cell r="A19" t="str">
            <v>哈萨克斯坦-3</v>
          </cell>
          <cell r="B19" t="str">
            <v>C</v>
          </cell>
          <cell r="C19">
            <v>0</v>
          </cell>
          <cell r="D19">
            <v>58</v>
          </cell>
          <cell r="E19" t="str">
            <v>-</v>
          </cell>
          <cell r="F19">
            <v>0</v>
          </cell>
          <cell r="G19">
            <v>398.29400600000002</v>
          </cell>
          <cell r="H19" t="str">
            <v>-</v>
          </cell>
          <cell r="K19">
            <v>0</v>
          </cell>
          <cell r="L19">
            <v>398.29400600000002</v>
          </cell>
          <cell r="M19" t="str">
            <v>-</v>
          </cell>
          <cell r="N19">
            <v>0</v>
          </cell>
          <cell r="O19">
            <v>23</v>
          </cell>
          <cell r="P19" t="str">
            <v>-</v>
          </cell>
          <cell r="Q19">
            <v>0</v>
          </cell>
          <cell r="R19">
            <v>157.29484600000001</v>
          </cell>
          <cell r="S19" t="str">
            <v>-</v>
          </cell>
          <cell r="T19">
            <v>0</v>
          </cell>
          <cell r="U19">
            <v>2</v>
          </cell>
          <cell r="V19" t="str">
            <v>-</v>
          </cell>
          <cell r="W19">
            <v>0</v>
          </cell>
          <cell r="X19">
            <v>11.338072</v>
          </cell>
          <cell r="Y19" t="str">
            <v>-</v>
          </cell>
          <cell r="Z19">
            <v>0</v>
          </cell>
          <cell r="AA19">
            <v>129.00659930191</v>
          </cell>
          <cell r="AD19">
            <v>0</v>
          </cell>
        </row>
        <row r="20">
          <cell r="A20" t="str">
            <v>乌兹别克斯坦</v>
          </cell>
          <cell r="B20" t="str">
            <v>D</v>
          </cell>
          <cell r="C20">
            <v>138</v>
          </cell>
          <cell r="D20">
            <v>16</v>
          </cell>
          <cell r="E20">
            <v>-0.88405797101449302</v>
          </cell>
          <cell r="F20">
            <v>1844.2106389999999</v>
          </cell>
          <cell r="G20">
            <v>137.30958699999999</v>
          </cell>
          <cell r="H20">
            <v>-0.92554560520567497</v>
          </cell>
          <cell r="K20">
            <v>1844.2106389999999</v>
          </cell>
          <cell r="L20">
            <v>137.30958699999999</v>
          </cell>
          <cell r="M20">
            <v>-0.92554560520567497</v>
          </cell>
          <cell r="N20">
            <v>2</v>
          </cell>
          <cell r="O20">
            <v>9</v>
          </cell>
          <cell r="P20">
            <v>3.5</v>
          </cell>
          <cell r="Q20">
            <v>14.660022</v>
          </cell>
          <cell r="R20">
            <v>61.481937000000002</v>
          </cell>
          <cell r="S20">
            <v>3.1938502547949801</v>
          </cell>
          <cell r="T20">
            <v>1</v>
          </cell>
          <cell r="U20">
            <v>15</v>
          </cell>
          <cell r="V20">
            <v>14</v>
          </cell>
          <cell r="W20">
            <v>6.7391420000000002</v>
          </cell>
          <cell r="X20">
            <v>124.41903600000001</v>
          </cell>
          <cell r="Y20">
            <v>17.462147852055899</v>
          </cell>
          <cell r="Z20">
            <v>17.849940763568899</v>
          </cell>
          <cell r="AA20">
            <v>106.22536810808199</v>
          </cell>
          <cell r="AD20">
            <v>17.849940763568899</v>
          </cell>
        </row>
        <row r="21">
          <cell r="A21" t="str">
            <v>吉尔吉斯斯坦</v>
          </cell>
          <cell r="B21" t="str">
            <v>D</v>
          </cell>
          <cell r="C21">
            <v>0</v>
          </cell>
          <cell r="D21">
            <v>47</v>
          </cell>
          <cell r="E21" t="str">
            <v>-</v>
          </cell>
          <cell r="F21">
            <v>0</v>
          </cell>
          <cell r="G21">
            <v>374.06543299999998</v>
          </cell>
          <cell r="H21" t="str">
            <v>-</v>
          </cell>
          <cell r="K21">
            <v>0</v>
          </cell>
          <cell r="L21">
            <v>374.06543299999998</v>
          </cell>
          <cell r="M21" t="str">
            <v>-</v>
          </cell>
          <cell r="N21">
            <v>0</v>
          </cell>
          <cell r="O21">
            <v>44</v>
          </cell>
          <cell r="P21" t="str">
            <v>-</v>
          </cell>
          <cell r="Q21">
            <v>0</v>
          </cell>
          <cell r="R21">
            <v>312.10529300000002</v>
          </cell>
          <cell r="S21" t="str">
            <v>-</v>
          </cell>
          <cell r="T21">
            <v>0</v>
          </cell>
          <cell r="U21">
            <v>26</v>
          </cell>
          <cell r="V21" t="str">
            <v>-</v>
          </cell>
          <cell r="W21">
            <v>0</v>
          </cell>
          <cell r="X21">
            <v>144.14292499999999</v>
          </cell>
          <cell r="Y21" t="str">
            <v>-</v>
          </cell>
          <cell r="Z21">
            <v>0</v>
          </cell>
          <cell r="AA21">
            <v>179.895602148438</v>
          </cell>
          <cell r="AD21">
            <v>0</v>
          </cell>
        </row>
        <row r="22">
          <cell r="A22" t="str">
            <v>阿塞拜疆</v>
          </cell>
          <cell r="B22" t="str">
            <v>C</v>
          </cell>
          <cell r="C22">
            <v>57</v>
          </cell>
          <cell r="D22">
            <v>48</v>
          </cell>
          <cell r="E22">
            <v>-0.157894736842105</v>
          </cell>
          <cell r="F22">
            <v>430.01145500000001</v>
          </cell>
          <cell r="G22">
            <v>344.58771200000001</v>
          </cell>
          <cell r="H22">
            <v>-0.19865457537636999</v>
          </cell>
          <cell r="K22">
            <v>430.01145500000001</v>
          </cell>
          <cell r="L22">
            <v>344.58771200000001</v>
          </cell>
          <cell r="M22">
            <v>-0.19865457537636999</v>
          </cell>
          <cell r="N22">
            <v>2</v>
          </cell>
          <cell r="O22">
            <v>20</v>
          </cell>
          <cell r="P22" t="str">
            <v>-</v>
          </cell>
          <cell r="Q22">
            <v>19.154128</v>
          </cell>
          <cell r="R22">
            <v>124.407084</v>
          </cell>
          <cell r="S22">
            <v>5.4950533900577501</v>
          </cell>
          <cell r="T22">
            <v>0</v>
          </cell>
          <cell r="U22">
            <v>25</v>
          </cell>
          <cell r="V22" t="e">
            <v>#DIV/0!</v>
          </cell>
          <cell r="W22">
            <v>0</v>
          </cell>
          <cell r="X22">
            <v>162.513037</v>
          </cell>
          <cell r="Y22" t="e">
            <v>#DIV/0!</v>
          </cell>
          <cell r="Z22">
            <v>19.978638671875</v>
          </cell>
          <cell r="AA22">
            <v>149.109190622711</v>
          </cell>
          <cell r="AD22">
            <v>19.978638671875</v>
          </cell>
        </row>
        <row r="23">
          <cell r="A23" t="str">
            <v>格鲁吉亚</v>
          </cell>
          <cell r="B23" t="str">
            <v>D</v>
          </cell>
          <cell r="C23">
            <v>0</v>
          </cell>
          <cell r="D23">
            <v>0</v>
          </cell>
          <cell r="E23" t="str">
            <v>-</v>
          </cell>
          <cell r="F23">
            <v>0</v>
          </cell>
          <cell r="G23">
            <v>0</v>
          </cell>
          <cell r="H23" t="str">
            <v>-</v>
          </cell>
          <cell r="K23">
            <v>0</v>
          </cell>
          <cell r="L23">
            <v>0</v>
          </cell>
          <cell r="M23" t="str">
            <v>-</v>
          </cell>
          <cell r="N23">
            <v>0</v>
          </cell>
          <cell r="O23">
            <v>0</v>
          </cell>
          <cell r="P23" t="str">
            <v>-</v>
          </cell>
          <cell r="Q23">
            <v>0</v>
          </cell>
          <cell r="R23">
            <v>0</v>
          </cell>
          <cell r="S23" t="str">
            <v>-</v>
          </cell>
          <cell r="T23">
            <v>0</v>
          </cell>
          <cell r="U23">
            <v>0</v>
          </cell>
          <cell r="V23" t="str">
            <v>-</v>
          </cell>
          <cell r="W23">
            <v>0</v>
          </cell>
          <cell r="X23">
            <v>0</v>
          </cell>
          <cell r="Y23" t="str">
            <v>-</v>
          </cell>
          <cell r="Z23">
            <v>0</v>
          </cell>
          <cell r="AA23">
            <v>0</v>
          </cell>
          <cell r="AD23">
            <v>0</v>
          </cell>
        </row>
        <row r="24">
          <cell r="A24" t="str">
            <v>中亚合计</v>
          </cell>
          <cell r="C24">
            <v>633</v>
          </cell>
          <cell r="D24">
            <v>532</v>
          </cell>
          <cell r="E24">
            <v>-0.15955766192733001</v>
          </cell>
          <cell r="F24">
            <v>6443.758495</v>
          </cell>
          <cell r="G24">
            <v>4409.5538790000001</v>
          </cell>
          <cell r="H24">
            <v>-0.31568604217219298</v>
          </cell>
          <cell r="I24">
            <v>0</v>
          </cell>
          <cell r="J24">
            <v>0</v>
          </cell>
          <cell r="K24">
            <v>6443.758495</v>
          </cell>
          <cell r="L24">
            <v>4409.5538790000001</v>
          </cell>
          <cell r="M24">
            <v>-0.31568604217219298</v>
          </cell>
          <cell r="N24">
            <v>110</v>
          </cell>
          <cell r="O24">
            <v>244</v>
          </cell>
          <cell r="P24">
            <v>1.21818181818182</v>
          </cell>
          <cell r="Q24">
            <v>1069.399533</v>
          </cell>
          <cell r="R24">
            <v>2007.6485290000001</v>
          </cell>
          <cell r="S24">
            <v>0.87736058137964401</v>
          </cell>
          <cell r="T24">
            <v>88</v>
          </cell>
          <cell r="U24">
            <v>142</v>
          </cell>
          <cell r="V24">
            <v>0.61363636363636398</v>
          </cell>
          <cell r="W24">
            <v>937.54954399999997</v>
          </cell>
          <cell r="X24">
            <v>1134.118997</v>
          </cell>
          <cell r="Y24">
            <v>0.20966300315325001</v>
          </cell>
          <cell r="Z24">
            <v>1022.08010370455</v>
          </cell>
          <cell r="AA24">
            <v>1454.9616368229899</v>
          </cell>
          <cell r="AB24">
            <v>0</v>
          </cell>
          <cell r="AC24">
            <v>0</v>
          </cell>
          <cell r="AD24">
            <v>1022.08010370455</v>
          </cell>
        </row>
        <row r="25">
          <cell r="A25" t="str">
            <v>朝鲜-韩国</v>
          </cell>
          <cell r="B25" t="str">
            <v>D</v>
          </cell>
          <cell r="C25">
            <v>35</v>
          </cell>
          <cell r="D25">
            <v>34</v>
          </cell>
          <cell r="E25">
            <v>-2.8571428571428598E-2</v>
          </cell>
          <cell r="F25">
            <v>287.19</v>
          </cell>
          <cell r="G25">
            <v>293.5</v>
          </cell>
          <cell r="H25">
            <v>2.19715171141057E-2</v>
          </cell>
          <cell r="K25">
            <v>287.19</v>
          </cell>
          <cell r="L25">
            <v>293.5</v>
          </cell>
          <cell r="M25">
            <v>2.19715171141057E-2</v>
          </cell>
          <cell r="N25">
            <v>1</v>
          </cell>
          <cell r="O25">
            <v>4</v>
          </cell>
          <cell r="P25">
            <v>3</v>
          </cell>
          <cell r="Q25">
            <v>7.6</v>
          </cell>
          <cell r="R25">
            <v>36.200000000000003</v>
          </cell>
          <cell r="S25">
            <v>3.7631578947368398</v>
          </cell>
          <cell r="T25">
            <v>1</v>
          </cell>
          <cell r="U25">
            <v>6</v>
          </cell>
          <cell r="V25">
            <v>5</v>
          </cell>
          <cell r="W25">
            <v>7.6</v>
          </cell>
          <cell r="X25">
            <v>55.487099999999998</v>
          </cell>
          <cell r="Y25">
            <v>6.3009342105263197</v>
          </cell>
          <cell r="Z25">
            <v>7.6</v>
          </cell>
          <cell r="AA25">
            <v>21.290700000000001</v>
          </cell>
          <cell r="AD25">
            <v>7.6</v>
          </cell>
        </row>
        <row r="26">
          <cell r="A26" t="str">
            <v>新加坡市政会</v>
          </cell>
          <cell r="B26" t="str">
            <v>A</v>
          </cell>
          <cell r="C26">
            <v>196</v>
          </cell>
          <cell r="D26">
            <v>67</v>
          </cell>
          <cell r="E26">
            <v>-0.65816326530612201</v>
          </cell>
          <cell r="F26">
            <v>4135.4804710000099</v>
          </cell>
          <cell r="G26">
            <v>1640.0560700000001</v>
          </cell>
          <cell r="H26">
            <v>-0.60341825296942697</v>
          </cell>
          <cell r="I26">
            <v>320.24413961639999</v>
          </cell>
          <cell r="J26">
            <v>4.6755741999999998</v>
          </cell>
          <cell r="K26">
            <v>4455.7246106164102</v>
          </cell>
          <cell r="L26">
            <v>1644.7316441999999</v>
          </cell>
          <cell r="M26">
            <v>-0.63087224011080301</v>
          </cell>
          <cell r="N26">
            <v>77</v>
          </cell>
          <cell r="O26">
            <v>4</v>
          </cell>
          <cell r="P26">
            <v>-0.94805194805194803</v>
          </cell>
          <cell r="Q26">
            <v>1734.6186439999999</v>
          </cell>
          <cell r="R26">
            <v>82.685990000000004</v>
          </cell>
          <cell r="S26">
            <v>-0.95233189134337504</v>
          </cell>
          <cell r="T26">
            <v>25</v>
          </cell>
          <cell r="U26">
            <v>28</v>
          </cell>
          <cell r="V26">
            <v>0.12</v>
          </cell>
          <cell r="W26">
            <v>619.60194100000001</v>
          </cell>
          <cell r="X26">
            <v>575.01968599999998</v>
          </cell>
          <cell r="Y26">
            <v>-7.1953058972098902E-2</v>
          </cell>
          <cell r="Z26">
            <v>0</v>
          </cell>
          <cell r="AA26">
            <v>0</v>
          </cell>
          <cell r="AB26">
            <v>1226.4742136985001</v>
          </cell>
          <cell r="AC26">
            <v>5620.8393973277998</v>
          </cell>
          <cell r="AD26">
            <v>1226.4742136985001</v>
          </cell>
        </row>
        <row r="27">
          <cell r="A27" t="str">
            <v>新加坡HDB</v>
          </cell>
          <cell r="B27" t="str">
            <v>A</v>
          </cell>
          <cell r="C27">
            <v>260</v>
          </cell>
          <cell r="D27">
            <v>243</v>
          </cell>
          <cell r="E27">
            <v>-6.5384615384615402E-2</v>
          </cell>
          <cell r="F27">
            <v>5925.60401799999</v>
          </cell>
          <cell r="G27">
            <v>5502.5871789999901</v>
          </cell>
          <cell r="H27">
            <v>-7.1387969515853703E-2</v>
          </cell>
          <cell r="I27">
            <v>0</v>
          </cell>
          <cell r="J27">
            <v>0</v>
          </cell>
          <cell r="K27">
            <v>5925.60401799999</v>
          </cell>
          <cell r="L27">
            <v>5502.5871789999901</v>
          </cell>
          <cell r="M27">
            <v>-7.1387969515853703E-2</v>
          </cell>
          <cell r="N27">
            <v>106</v>
          </cell>
          <cell r="O27">
            <v>140</v>
          </cell>
          <cell r="P27">
            <v>0.320754716981132</v>
          </cell>
          <cell r="Q27">
            <v>3966.071629</v>
          </cell>
          <cell r="R27">
            <v>6630.5394310000001</v>
          </cell>
          <cell r="S27">
            <v>0.67181535061478803</v>
          </cell>
          <cell r="T27">
            <v>10</v>
          </cell>
          <cell r="U27">
            <v>155</v>
          </cell>
          <cell r="V27">
            <v>14.5</v>
          </cell>
          <cell r="W27">
            <v>374.14792599999998</v>
          </cell>
          <cell r="X27">
            <v>7123.9384970000001</v>
          </cell>
          <cell r="Y27">
            <v>18.040432946299401</v>
          </cell>
          <cell r="Z27">
            <v>15.197813281249999</v>
          </cell>
          <cell r="AA27">
            <v>23.422606640624998</v>
          </cell>
          <cell r="AD27">
            <v>15.197813281249999</v>
          </cell>
        </row>
        <row r="28">
          <cell r="A28" t="str">
            <v>泰国</v>
          </cell>
          <cell r="B28" t="str">
            <v>D</v>
          </cell>
          <cell r="C28">
            <v>52</v>
          </cell>
          <cell r="D28">
            <v>25</v>
          </cell>
          <cell r="E28">
            <v>-0.51923076923076905</v>
          </cell>
          <cell r="F28">
            <v>517.46812299999999</v>
          </cell>
          <cell r="G28">
            <v>336.43874099999999</v>
          </cell>
          <cell r="H28">
            <v>-0.34983678018752101</v>
          </cell>
          <cell r="K28">
            <v>517.46812299999999</v>
          </cell>
          <cell r="L28">
            <v>336.43874099999999</v>
          </cell>
          <cell r="M28">
            <v>-0.34983678018752101</v>
          </cell>
          <cell r="N28">
            <v>26</v>
          </cell>
          <cell r="O28">
            <v>5</v>
          </cell>
          <cell r="P28">
            <v>-0.80769230769230804</v>
          </cell>
          <cell r="Q28">
            <v>239.82782900000001</v>
          </cell>
          <cell r="R28">
            <v>58.990322999999997</v>
          </cell>
          <cell r="S28">
            <v>-0.75403053412954801</v>
          </cell>
          <cell r="T28">
            <v>25</v>
          </cell>
          <cell r="U28">
            <v>5</v>
          </cell>
          <cell r="V28">
            <v>-0.8</v>
          </cell>
          <cell r="W28">
            <v>233.58912900000001</v>
          </cell>
          <cell r="X28">
            <v>56.312075</v>
          </cell>
          <cell r="Y28">
            <v>-0.75892681632457304</v>
          </cell>
          <cell r="Z28">
            <v>283.50055184783901</v>
          </cell>
          <cell r="AA28">
            <v>52.100681384277301</v>
          </cell>
          <cell r="AD28">
            <v>283.50055184783901</v>
          </cell>
        </row>
        <row r="29">
          <cell r="A29" t="str">
            <v>泰国2</v>
          </cell>
          <cell r="B29" t="str">
            <v>D</v>
          </cell>
          <cell r="C29">
            <v>0</v>
          </cell>
          <cell r="D29">
            <v>49</v>
          </cell>
          <cell r="E29" t="str">
            <v>-</v>
          </cell>
          <cell r="F29">
            <v>0</v>
          </cell>
          <cell r="G29">
            <v>429.24</v>
          </cell>
          <cell r="H29" t="str">
            <v>-</v>
          </cell>
          <cell r="K29">
            <v>0</v>
          </cell>
          <cell r="L29">
            <v>429.24</v>
          </cell>
          <cell r="M29" t="str">
            <v>-</v>
          </cell>
          <cell r="N29">
            <v>0</v>
          </cell>
          <cell r="O29">
            <v>12</v>
          </cell>
          <cell r="P29" t="str">
            <v>-</v>
          </cell>
          <cell r="Q29">
            <v>0</v>
          </cell>
          <cell r="R29">
            <v>100.68</v>
          </cell>
          <cell r="S29" t="str">
            <v>-</v>
          </cell>
          <cell r="T29">
            <v>0</v>
          </cell>
          <cell r="U29">
            <v>9</v>
          </cell>
          <cell r="V29" t="str">
            <v>-</v>
          </cell>
          <cell r="W29">
            <v>0</v>
          </cell>
          <cell r="X29">
            <v>74.13</v>
          </cell>
          <cell r="Y29" t="str">
            <v>-</v>
          </cell>
          <cell r="Z29">
            <v>0</v>
          </cell>
          <cell r="AA29">
            <v>106.12899992179899</v>
          </cell>
          <cell r="AD29">
            <v>0</v>
          </cell>
        </row>
        <row r="30">
          <cell r="A30" t="str">
            <v>金三角</v>
          </cell>
          <cell r="B30" t="str">
            <v>D</v>
          </cell>
          <cell r="C30">
            <v>94</v>
          </cell>
          <cell r="D30">
            <v>5</v>
          </cell>
          <cell r="E30">
            <v>-0.94680851063829796</v>
          </cell>
          <cell r="F30">
            <v>1146.336677</v>
          </cell>
          <cell r="G30">
            <v>40.681399999999996</v>
          </cell>
          <cell r="H30">
            <v>-0.96451182203603203</v>
          </cell>
          <cell r="K30">
            <v>1146.336677</v>
          </cell>
          <cell r="L30">
            <v>40.681399999999996</v>
          </cell>
          <cell r="M30">
            <v>-0.96451182203603203</v>
          </cell>
          <cell r="N30">
            <v>0</v>
          </cell>
          <cell r="O30">
            <v>0</v>
          </cell>
          <cell r="P30" t="str">
            <v>-</v>
          </cell>
          <cell r="Q30">
            <v>0</v>
          </cell>
          <cell r="R30">
            <v>0</v>
          </cell>
          <cell r="S30" t="e">
            <v>#DIV/0!</v>
          </cell>
          <cell r="T30">
            <v>0</v>
          </cell>
          <cell r="U30">
            <v>0</v>
          </cell>
          <cell r="V30" t="e">
            <v>#DIV/0!</v>
          </cell>
          <cell r="W30">
            <v>0</v>
          </cell>
          <cell r="X30">
            <v>0</v>
          </cell>
          <cell r="Y30" t="e">
            <v>#DIV/0!</v>
          </cell>
          <cell r="Z30">
            <v>0</v>
          </cell>
          <cell r="AA30">
            <v>0</v>
          </cell>
          <cell r="AD30">
            <v>0</v>
          </cell>
        </row>
        <row r="31">
          <cell r="A31" t="str">
            <v>马来西亚</v>
          </cell>
          <cell r="B31" t="str">
            <v>B</v>
          </cell>
          <cell r="C31">
            <v>66</v>
          </cell>
          <cell r="D31">
            <v>48</v>
          </cell>
          <cell r="E31">
            <v>-0.27272727272727298</v>
          </cell>
          <cell r="F31">
            <v>1463.75</v>
          </cell>
          <cell r="G31">
            <v>788.54809999999998</v>
          </cell>
          <cell r="H31">
            <v>-0.46128225448334798</v>
          </cell>
          <cell r="K31">
            <v>1463.75</v>
          </cell>
          <cell r="L31">
            <v>788.54809999999998</v>
          </cell>
          <cell r="M31">
            <v>-0.46128225448334798</v>
          </cell>
          <cell r="N31">
            <v>16</v>
          </cell>
          <cell r="O31">
            <v>19</v>
          </cell>
          <cell r="P31">
            <v>0.1875</v>
          </cell>
          <cell r="Q31">
            <v>132.08500000000001</v>
          </cell>
          <cell r="R31">
            <v>403.57010000000002</v>
          </cell>
          <cell r="S31">
            <v>2.05538176174433</v>
          </cell>
          <cell r="T31">
            <v>17</v>
          </cell>
          <cell r="U31">
            <v>16</v>
          </cell>
          <cell r="V31">
            <v>-5.8823529411764698E-2</v>
          </cell>
          <cell r="W31">
            <v>140.47499999999999</v>
          </cell>
          <cell r="X31">
            <v>246.33009999999999</v>
          </cell>
          <cell r="Y31">
            <v>0.75355116568784497</v>
          </cell>
          <cell r="Z31">
            <v>225.573031640625</v>
          </cell>
          <cell r="AA31">
            <v>106.983054882812</v>
          </cell>
          <cell r="AD31">
            <v>225.573031640625</v>
          </cell>
        </row>
        <row r="32">
          <cell r="A32" t="str">
            <v>马尔代夫</v>
          </cell>
          <cell r="B32" t="str">
            <v>D</v>
          </cell>
          <cell r="C32">
            <v>37</v>
          </cell>
          <cell r="D32">
            <v>29</v>
          </cell>
          <cell r="E32">
            <v>-0.21621621621621601</v>
          </cell>
          <cell r="F32">
            <v>543.86292400000002</v>
          </cell>
          <cell r="G32">
            <v>334.05416600000001</v>
          </cell>
          <cell r="H32">
            <v>-0.38577507077868001</v>
          </cell>
          <cell r="K32">
            <v>543.86292400000002</v>
          </cell>
          <cell r="L32">
            <v>334.05416600000001</v>
          </cell>
          <cell r="M32">
            <v>-0.38577507077868001</v>
          </cell>
          <cell r="N32">
            <v>7</v>
          </cell>
          <cell r="O32">
            <v>5</v>
          </cell>
          <cell r="P32">
            <v>-0.28571428571428598</v>
          </cell>
          <cell r="Q32">
            <v>96.411316999999997</v>
          </cell>
          <cell r="R32">
            <v>52.400174999999997</v>
          </cell>
          <cell r="S32">
            <v>-0.45649352554742101</v>
          </cell>
          <cell r="T32">
            <v>16</v>
          </cell>
          <cell r="U32">
            <v>3</v>
          </cell>
          <cell r="V32">
            <v>-0.8125</v>
          </cell>
          <cell r="W32">
            <v>3354.1559590000002</v>
          </cell>
          <cell r="X32">
            <v>30.529084000000001</v>
          </cell>
          <cell r="Y32">
            <v>-0.99089813223559797</v>
          </cell>
          <cell r="Z32">
            <v>3983.1595076976701</v>
          </cell>
          <cell r="AA32">
            <v>473.79054987793</v>
          </cell>
          <cell r="AD32">
            <v>3983.1595076976701</v>
          </cell>
        </row>
        <row r="33">
          <cell r="A33" t="str">
            <v>香港-台湾</v>
          </cell>
          <cell r="B33" t="str">
            <v>D</v>
          </cell>
          <cell r="C33">
            <v>0</v>
          </cell>
          <cell r="D33">
            <v>8</v>
          </cell>
          <cell r="E33" t="str">
            <v>-</v>
          </cell>
          <cell r="F33">
            <v>0</v>
          </cell>
          <cell r="G33">
            <v>50.38</v>
          </cell>
          <cell r="H33" t="str">
            <v>-</v>
          </cell>
          <cell r="K33">
            <v>0</v>
          </cell>
          <cell r="L33">
            <v>50.38</v>
          </cell>
          <cell r="M33" t="str">
            <v>-</v>
          </cell>
          <cell r="N33">
            <v>0</v>
          </cell>
          <cell r="O33">
            <v>0</v>
          </cell>
          <cell r="P33" t="str">
            <v>-</v>
          </cell>
          <cell r="Q33">
            <v>0</v>
          </cell>
          <cell r="R33">
            <v>0</v>
          </cell>
          <cell r="S33" t="str">
            <v>-</v>
          </cell>
          <cell r="T33">
            <v>0</v>
          </cell>
          <cell r="U33">
            <v>0</v>
          </cell>
          <cell r="V33" t="str">
            <v>-</v>
          </cell>
          <cell r="W33">
            <v>0</v>
          </cell>
          <cell r="X33">
            <v>0</v>
          </cell>
          <cell r="Y33" t="str">
            <v>-</v>
          </cell>
          <cell r="Z33">
            <v>0</v>
          </cell>
          <cell r="AA33">
            <v>0</v>
          </cell>
          <cell r="AD33">
            <v>0</v>
          </cell>
        </row>
        <row r="34">
          <cell r="A34" t="str">
            <v>亚洲1合计</v>
          </cell>
          <cell r="C34">
            <v>740</v>
          </cell>
          <cell r="D34">
            <v>508</v>
          </cell>
          <cell r="E34">
            <v>-0.31351351351351398</v>
          </cell>
          <cell r="F34">
            <v>14019.692213</v>
          </cell>
          <cell r="G34">
            <v>9415.4856559999898</v>
          </cell>
          <cell r="H34">
            <v>-0.32840995986564397</v>
          </cell>
          <cell r="I34">
            <v>320.24413961639999</v>
          </cell>
          <cell r="J34">
            <v>4.6755741999999998</v>
          </cell>
          <cell r="K34">
            <v>14339.9363526164</v>
          </cell>
          <cell r="L34">
            <v>9420.1612301999903</v>
          </cell>
          <cell r="M34">
            <v>-0.34308207522265399</v>
          </cell>
          <cell r="N34">
            <v>233</v>
          </cell>
          <cell r="O34">
            <v>189</v>
          </cell>
          <cell r="P34">
            <v>-0.18884120171673799</v>
          </cell>
          <cell r="Q34">
            <v>6176.6144190000005</v>
          </cell>
          <cell r="R34">
            <v>7365.0660189999999</v>
          </cell>
          <cell r="S34">
            <v>0.19241149266889301</v>
          </cell>
          <cell r="T34">
            <v>94</v>
          </cell>
          <cell r="U34">
            <v>222</v>
          </cell>
          <cell r="V34">
            <v>1.36170212765957</v>
          </cell>
          <cell r="W34">
            <v>4729.5699549999999</v>
          </cell>
          <cell r="X34">
            <v>8161.7465419999999</v>
          </cell>
          <cell r="Y34">
            <v>0.72568470699361998</v>
          </cell>
          <cell r="Z34">
            <v>4515.0309044673904</v>
          </cell>
          <cell r="AA34">
            <v>783.71659270744306</v>
          </cell>
          <cell r="AB34">
            <v>1226.4742136985001</v>
          </cell>
          <cell r="AC34">
            <v>5620.8393973277998</v>
          </cell>
          <cell r="AD34">
            <v>5741.5051181658901</v>
          </cell>
        </row>
        <row r="35">
          <cell r="A35" t="str">
            <v>越南-2</v>
          </cell>
          <cell r="B35" t="str">
            <v>C</v>
          </cell>
          <cell r="C35">
            <v>52</v>
          </cell>
          <cell r="D35">
            <v>76</v>
          </cell>
          <cell r="E35">
            <v>0.46153846153846201</v>
          </cell>
          <cell r="F35">
            <v>393.58625000000001</v>
          </cell>
          <cell r="G35">
            <v>520.72909700000002</v>
          </cell>
          <cell r="H35">
            <v>0.323036810864201</v>
          </cell>
          <cell r="K35">
            <v>393.58625000000001</v>
          </cell>
          <cell r="L35">
            <v>520.72909700000002</v>
          </cell>
          <cell r="M35">
            <v>0.323036810864201</v>
          </cell>
          <cell r="N35">
            <v>22</v>
          </cell>
          <cell r="O35">
            <v>12</v>
          </cell>
          <cell r="P35">
            <v>-0.45454545454545497</v>
          </cell>
          <cell r="Q35">
            <v>178.457292</v>
          </cell>
          <cell r="R35">
            <v>65.701023000000006</v>
          </cell>
          <cell r="S35">
            <v>-0.63183895561970105</v>
          </cell>
          <cell r="T35">
            <v>29</v>
          </cell>
          <cell r="U35">
            <v>14</v>
          </cell>
          <cell r="V35">
            <v>-0.51724137931034497</v>
          </cell>
          <cell r="W35">
            <v>228.72333399999999</v>
          </cell>
          <cell r="X35">
            <v>90.605660999999998</v>
          </cell>
          <cell r="Y35">
            <v>-0.60386349999602595</v>
          </cell>
          <cell r="Z35">
            <v>218.19091026496901</v>
          </cell>
          <cell r="AA35">
            <v>70.066298217773493</v>
          </cell>
          <cell r="AD35">
            <v>218.19091026496901</v>
          </cell>
        </row>
        <row r="36">
          <cell r="A36" t="str">
            <v>印度公建</v>
          </cell>
          <cell r="B36" t="str">
            <v>B</v>
          </cell>
          <cell r="C36">
            <v>23</v>
          </cell>
          <cell r="D36">
            <v>14</v>
          </cell>
          <cell r="E36">
            <v>-0.39130434782608697</v>
          </cell>
          <cell r="F36">
            <v>773.87896499999999</v>
          </cell>
          <cell r="G36">
            <v>287.01323000000002</v>
          </cell>
          <cell r="H36">
            <v>-0.62912387727194496</v>
          </cell>
          <cell r="I36">
            <v>240.56313288000001</v>
          </cell>
          <cell r="J36">
            <v>93.206376800000001</v>
          </cell>
          <cell r="K36">
            <v>1014.44209788</v>
          </cell>
          <cell r="L36">
            <v>380.21960680000001</v>
          </cell>
          <cell r="M36">
            <v>-0.62519338699114502</v>
          </cell>
          <cell r="N36">
            <v>3</v>
          </cell>
          <cell r="O36">
            <v>6</v>
          </cell>
          <cell r="P36">
            <v>1</v>
          </cell>
          <cell r="Q36">
            <v>44.012006999999997</v>
          </cell>
          <cell r="R36">
            <v>68.513610999999997</v>
          </cell>
          <cell r="S36">
            <v>0.55670271978280805</v>
          </cell>
          <cell r="T36">
            <v>0</v>
          </cell>
          <cell r="U36">
            <v>5</v>
          </cell>
          <cell r="V36" t="e">
            <v>#DIV/0!</v>
          </cell>
          <cell r="W36">
            <v>0</v>
          </cell>
          <cell r="X36">
            <v>78.485348000000002</v>
          </cell>
          <cell r="Y36" t="e">
            <v>#DIV/0!</v>
          </cell>
          <cell r="Z36">
            <v>919.50944296875002</v>
          </cell>
          <cell r="AA36">
            <v>420.30430446777302</v>
          </cell>
          <cell r="AB36">
            <v>239.70801176000001</v>
          </cell>
          <cell r="AC36">
            <v>229.39089179999999</v>
          </cell>
          <cell r="AD36">
            <v>1159.21745472875</v>
          </cell>
        </row>
        <row r="37">
          <cell r="A37" t="str">
            <v>巴基斯坦</v>
          </cell>
          <cell r="B37" t="str">
            <v>D</v>
          </cell>
          <cell r="C37">
            <v>8</v>
          </cell>
          <cell r="D37">
            <v>28</v>
          </cell>
          <cell r="E37" t="str">
            <v>-</v>
          </cell>
          <cell r="F37">
            <v>74.024224000000004</v>
          </cell>
          <cell r="G37">
            <v>226.88830200000001</v>
          </cell>
          <cell r="H37" t="str">
            <v>-</v>
          </cell>
          <cell r="K37">
            <v>74.024224000000004</v>
          </cell>
          <cell r="L37">
            <v>226.88830200000001</v>
          </cell>
          <cell r="M37" t="str">
            <v>-</v>
          </cell>
          <cell r="N37">
            <v>2</v>
          </cell>
          <cell r="O37">
            <v>4</v>
          </cell>
          <cell r="P37" t="str">
            <v>-</v>
          </cell>
          <cell r="Q37">
            <v>6.9127679999999998</v>
          </cell>
          <cell r="R37">
            <v>23.250354000000002</v>
          </cell>
          <cell r="S37" t="str">
            <v>-</v>
          </cell>
          <cell r="T37">
            <v>0</v>
          </cell>
          <cell r="U37">
            <v>6</v>
          </cell>
          <cell r="V37" t="str">
            <v>-</v>
          </cell>
          <cell r="W37">
            <v>0</v>
          </cell>
          <cell r="X37">
            <v>45.716850000000001</v>
          </cell>
          <cell r="Y37" t="str">
            <v>-</v>
          </cell>
          <cell r="Z37">
            <v>0</v>
          </cell>
          <cell r="AA37">
            <v>21.3623609375</v>
          </cell>
          <cell r="AD37">
            <v>0</v>
          </cell>
        </row>
        <row r="38">
          <cell r="A38" t="str">
            <v>孟加拉-1</v>
          </cell>
          <cell r="B38" t="str">
            <v>B</v>
          </cell>
          <cell r="C38">
            <v>128</v>
          </cell>
          <cell r="D38">
            <v>43</v>
          </cell>
          <cell r="E38">
            <v>-0.6640625</v>
          </cell>
          <cell r="F38">
            <v>1268.9124690000001</v>
          </cell>
          <cell r="G38">
            <v>443.528392</v>
          </cell>
          <cell r="H38">
            <v>-0.65046573121821905</v>
          </cell>
          <cell r="K38">
            <v>1268.9124690000001</v>
          </cell>
          <cell r="L38">
            <v>443.528392</v>
          </cell>
          <cell r="M38">
            <v>-0.65046573121821905</v>
          </cell>
          <cell r="N38">
            <v>27</v>
          </cell>
          <cell r="O38">
            <v>16</v>
          </cell>
          <cell r="P38">
            <v>-0.407407407407407</v>
          </cell>
          <cell r="Q38">
            <v>224.145533</v>
          </cell>
          <cell r="R38">
            <v>129.64614399999999</v>
          </cell>
          <cell r="S38">
            <v>-0.42159835949084001</v>
          </cell>
          <cell r="T38">
            <v>20</v>
          </cell>
          <cell r="U38">
            <v>16</v>
          </cell>
          <cell r="V38">
            <v>-0.2</v>
          </cell>
          <cell r="W38">
            <v>167.86765299999999</v>
          </cell>
          <cell r="X38">
            <v>129.68789200000001</v>
          </cell>
          <cell r="Y38">
            <v>-0.227439654499727</v>
          </cell>
          <cell r="Z38">
            <v>153.926020207405</v>
          </cell>
          <cell r="AA38">
            <v>206.20214167094201</v>
          </cell>
          <cell r="AD38">
            <v>153.926020207405</v>
          </cell>
        </row>
        <row r="39">
          <cell r="A39" t="str">
            <v>澳大利亚</v>
          </cell>
          <cell r="B39" t="str">
            <v>C</v>
          </cell>
          <cell r="C39">
            <v>39</v>
          </cell>
          <cell r="D39">
            <v>23</v>
          </cell>
          <cell r="E39">
            <v>-0.41025641025641002</v>
          </cell>
          <cell r="F39">
            <v>592.24855300000002</v>
          </cell>
          <cell r="G39">
            <v>320.91094299999997</v>
          </cell>
          <cell r="H39">
            <v>-0.458148202516588</v>
          </cell>
          <cell r="K39">
            <v>592.24855300000002</v>
          </cell>
          <cell r="L39">
            <v>320.91094299999997</v>
          </cell>
          <cell r="M39">
            <v>-0.458148202516588</v>
          </cell>
          <cell r="N39">
            <v>2</v>
          </cell>
          <cell r="O39">
            <v>8</v>
          </cell>
          <cell r="P39">
            <v>3</v>
          </cell>
          <cell r="Q39">
            <v>29.534538999999999</v>
          </cell>
          <cell r="R39">
            <v>88.302306999999999</v>
          </cell>
          <cell r="S39">
            <v>1.9897980462806599</v>
          </cell>
          <cell r="T39">
            <v>9</v>
          </cell>
          <cell r="U39">
            <v>3</v>
          </cell>
          <cell r="V39">
            <v>-0.66666666666666696</v>
          </cell>
          <cell r="W39">
            <v>179.53971200000001</v>
          </cell>
          <cell r="X39">
            <v>53.710096</v>
          </cell>
          <cell r="Y39">
            <v>-0.70084559342503605</v>
          </cell>
          <cell r="Z39">
            <v>245.62005533142101</v>
          </cell>
          <cell r="AA39">
            <v>113.91768585205099</v>
          </cell>
          <cell r="AD39">
            <v>245.62005533142101</v>
          </cell>
        </row>
        <row r="40">
          <cell r="A40" t="str">
            <v>菲律宾</v>
          </cell>
          <cell r="B40" t="str">
            <v>C</v>
          </cell>
          <cell r="C40">
            <v>0</v>
          </cell>
          <cell r="D40">
            <v>26</v>
          </cell>
          <cell r="E40" t="str">
            <v>-</v>
          </cell>
          <cell r="F40">
            <v>0</v>
          </cell>
          <cell r="G40">
            <v>214.36013</v>
          </cell>
          <cell r="H40" t="str">
            <v>-</v>
          </cell>
          <cell r="K40">
            <v>0</v>
          </cell>
          <cell r="L40">
            <v>214.36013</v>
          </cell>
          <cell r="M40" t="str">
            <v>-</v>
          </cell>
          <cell r="N40">
            <v>0</v>
          </cell>
          <cell r="O40">
            <v>0</v>
          </cell>
          <cell r="P40" t="str">
            <v>-</v>
          </cell>
          <cell r="Q40">
            <v>0</v>
          </cell>
          <cell r="R40">
            <v>0</v>
          </cell>
          <cell r="S40" t="str">
            <v>-</v>
          </cell>
          <cell r="T40">
            <v>0</v>
          </cell>
          <cell r="U40">
            <v>0</v>
          </cell>
          <cell r="V40" t="str">
            <v>-</v>
          </cell>
          <cell r="W40">
            <v>0</v>
          </cell>
          <cell r="X40">
            <v>0</v>
          </cell>
          <cell r="Y40" t="str">
            <v>-</v>
          </cell>
          <cell r="Z40">
            <v>0</v>
          </cell>
          <cell r="AA40">
            <v>0</v>
          </cell>
          <cell r="AD40">
            <v>0</v>
          </cell>
        </row>
        <row r="41">
          <cell r="A41" t="str">
            <v>印尼-1</v>
          </cell>
          <cell r="B41" t="str">
            <v>C</v>
          </cell>
          <cell r="C41">
            <v>97</v>
          </cell>
          <cell r="D41">
            <v>48</v>
          </cell>
          <cell r="E41">
            <v>-0.50515463917525805</v>
          </cell>
          <cell r="F41">
            <v>1049.8086599999999</v>
          </cell>
          <cell r="G41">
            <v>499.41564</v>
          </cell>
          <cell r="H41">
            <v>-0.524279367251553</v>
          </cell>
          <cell r="K41">
            <v>1049.8086599999999</v>
          </cell>
          <cell r="L41">
            <v>499.41564</v>
          </cell>
          <cell r="M41">
            <v>-0.524279367251553</v>
          </cell>
          <cell r="N41">
            <v>1</v>
          </cell>
          <cell r="O41">
            <v>8</v>
          </cell>
          <cell r="P41">
            <v>7</v>
          </cell>
          <cell r="Q41">
            <v>7.43</v>
          </cell>
          <cell r="R41">
            <v>77.59975</v>
          </cell>
          <cell r="S41">
            <v>9.4441117092866804</v>
          </cell>
          <cell r="T41">
            <v>1</v>
          </cell>
          <cell r="U41">
            <v>8</v>
          </cell>
          <cell r="V41">
            <v>7</v>
          </cell>
          <cell r="W41">
            <v>7.43</v>
          </cell>
          <cell r="X41">
            <v>77.59975</v>
          </cell>
          <cell r="Y41">
            <v>9.4441117092866804</v>
          </cell>
          <cell r="Z41">
            <v>15.433404296875</v>
          </cell>
          <cell r="AA41">
            <v>41.9408698730469</v>
          </cell>
          <cell r="AD41">
            <v>15.433404296875</v>
          </cell>
        </row>
        <row r="42">
          <cell r="A42" t="str">
            <v>越南-1（工厂）</v>
          </cell>
          <cell r="B42" t="str">
            <v>B</v>
          </cell>
          <cell r="C42">
            <v>10</v>
          </cell>
          <cell r="D42">
            <v>24</v>
          </cell>
          <cell r="E42">
            <v>1.4</v>
          </cell>
          <cell r="F42">
            <v>106.425487</v>
          </cell>
          <cell r="G42">
            <v>317.59973400000001</v>
          </cell>
          <cell r="H42">
            <v>1.98424506152366</v>
          </cell>
          <cell r="K42">
            <v>106.425487</v>
          </cell>
          <cell r="L42">
            <v>317.59973400000001</v>
          </cell>
          <cell r="M42">
            <v>1.98424506152366</v>
          </cell>
          <cell r="N42">
            <v>1</v>
          </cell>
          <cell r="O42">
            <v>10</v>
          </cell>
          <cell r="P42">
            <v>9</v>
          </cell>
          <cell r="Q42">
            <v>7.5608399999999998</v>
          </cell>
          <cell r="R42">
            <v>74.216801000000004</v>
          </cell>
          <cell r="S42">
            <v>8.8159465085889899</v>
          </cell>
          <cell r="T42">
            <v>0</v>
          </cell>
          <cell r="U42">
            <v>10</v>
          </cell>
          <cell r="V42" t="e">
            <v>#DIV/0!</v>
          </cell>
          <cell r="W42">
            <v>0</v>
          </cell>
          <cell r="X42">
            <v>74.216801000000004</v>
          </cell>
          <cell r="Y42" t="e">
            <v>#DIV/0!</v>
          </cell>
          <cell r="Z42">
            <v>2.1891039062500002</v>
          </cell>
          <cell r="AA42">
            <v>73.542137536621098</v>
          </cell>
          <cell r="AD42">
            <v>2.1891039062500002</v>
          </cell>
        </row>
        <row r="43">
          <cell r="A43" t="str">
            <v>印度私营</v>
          </cell>
          <cell r="B43" t="str">
            <v>A</v>
          </cell>
          <cell r="C43">
            <v>110</v>
          </cell>
          <cell r="D43">
            <v>88</v>
          </cell>
          <cell r="E43">
            <v>-0.2</v>
          </cell>
          <cell r="F43">
            <v>1592.6827720000001</v>
          </cell>
          <cell r="G43">
            <v>1103.642057</v>
          </cell>
          <cell r="H43">
            <v>-0.30705469011000303</v>
          </cell>
          <cell r="K43">
            <v>1592.6827720000001</v>
          </cell>
          <cell r="L43">
            <v>1103.642057</v>
          </cell>
          <cell r="M43">
            <v>-0.30705469011000303</v>
          </cell>
          <cell r="N43">
            <v>30</v>
          </cell>
          <cell r="O43">
            <v>24</v>
          </cell>
          <cell r="P43">
            <v>-0.2</v>
          </cell>
          <cell r="Q43">
            <v>723.49246400000004</v>
          </cell>
          <cell r="R43">
            <v>274.69291900000002</v>
          </cell>
          <cell r="S43">
            <v>-0.62032373152680098</v>
          </cell>
          <cell r="T43">
            <v>19</v>
          </cell>
          <cell r="U43">
            <v>6</v>
          </cell>
          <cell r="V43">
            <v>-0.68421052631578905</v>
          </cell>
          <cell r="W43">
            <v>329.72867100000002</v>
          </cell>
          <cell r="X43">
            <v>78.961983000000004</v>
          </cell>
          <cell r="Y43">
            <v>-0.76052436459188</v>
          </cell>
          <cell r="Z43">
            <v>534.08012208099399</v>
          </cell>
          <cell r="AA43">
            <v>195.95647576293999</v>
          </cell>
          <cell r="AD43">
            <v>534.08012208099399</v>
          </cell>
        </row>
        <row r="44">
          <cell r="A44" t="str">
            <v>菲律宾-2</v>
          </cell>
          <cell r="B44" t="str">
            <v>C</v>
          </cell>
          <cell r="C44">
            <v>0</v>
          </cell>
          <cell r="D44">
            <v>29</v>
          </cell>
          <cell r="E44" t="str">
            <v>-</v>
          </cell>
          <cell r="F44">
            <v>0</v>
          </cell>
          <cell r="G44">
            <v>214.14943</v>
          </cell>
          <cell r="H44" t="str">
            <v>-</v>
          </cell>
          <cell r="K44">
            <v>0</v>
          </cell>
          <cell r="L44">
            <v>214.14943</v>
          </cell>
          <cell r="M44" t="str">
            <v>-</v>
          </cell>
          <cell r="N44">
            <v>0</v>
          </cell>
          <cell r="O44">
            <v>1</v>
          </cell>
          <cell r="P44" t="str">
            <v>-</v>
          </cell>
          <cell r="Q44">
            <v>0</v>
          </cell>
          <cell r="R44">
            <v>15.59965</v>
          </cell>
          <cell r="S44" t="str">
            <v>-</v>
          </cell>
          <cell r="T44">
            <v>0</v>
          </cell>
          <cell r="U44">
            <v>0</v>
          </cell>
          <cell r="V44" t="str">
            <v>-</v>
          </cell>
          <cell r="W44">
            <v>0</v>
          </cell>
          <cell r="X44">
            <v>0</v>
          </cell>
          <cell r="Y44" t="str">
            <v>-</v>
          </cell>
          <cell r="Z44">
            <v>0</v>
          </cell>
          <cell r="AA44">
            <v>4.7464018737793001</v>
          </cell>
          <cell r="AD44">
            <v>0</v>
          </cell>
        </row>
        <row r="45">
          <cell r="A45" t="str">
            <v>印尼-2</v>
          </cell>
          <cell r="B45" t="str">
            <v>C</v>
          </cell>
          <cell r="C45">
            <v>0</v>
          </cell>
          <cell r="D45">
            <v>51</v>
          </cell>
          <cell r="E45" t="str">
            <v>-</v>
          </cell>
          <cell r="F45">
            <v>0</v>
          </cell>
          <cell r="G45">
            <v>530.63168099999996</v>
          </cell>
          <cell r="H45" t="str">
            <v>-</v>
          </cell>
          <cell r="K45">
            <v>0</v>
          </cell>
          <cell r="L45">
            <v>530.63168099999996</v>
          </cell>
          <cell r="M45" t="str">
            <v>-</v>
          </cell>
          <cell r="N45">
            <v>0</v>
          </cell>
          <cell r="O45">
            <v>0</v>
          </cell>
          <cell r="P45" t="str">
            <v>-</v>
          </cell>
          <cell r="Q45">
            <v>0</v>
          </cell>
          <cell r="R45">
            <v>0</v>
          </cell>
          <cell r="S45" t="str">
            <v>-</v>
          </cell>
          <cell r="T45">
            <v>0</v>
          </cell>
          <cell r="U45">
            <v>0</v>
          </cell>
          <cell r="V45" t="str">
            <v>-</v>
          </cell>
          <cell r="W45">
            <v>0</v>
          </cell>
          <cell r="X45">
            <v>0</v>
          </cell>
          <cell r="Y45" t="str">
            <v>-</v>
          </cell>
          <cell r="Z45">
            <v>0</v>
          </cell>
          <cell r="AA45">
            <v>0</v>
          </cell>
          <cell r="AD45">
            <v>0</v>
          </cell>
        </row>
        <row r="46">
          <cell r="A46" t="str">
            <v>亚洲2合计</v>
          </cell>
          <cell r="C46">
            <v>467</v>
          </cell>
          <cell r="D46">
            <v>450</v>
          </cell>
          <cell r="E46">
            <v>-3.64025695931477E-2</v>
          </cell>
          <cell r="F46">
            <v>5851.5673800000004</v>
          </cell>
          <cell r="G46">
            <v>4678.8686360000002</v>
          </cell>
          <cell r="H46">
            <v>-0.20040762890437799</v>
          </cell>
          <cell r="I46">
            <v>240.56313288000001</v>
          </cell>
          <cell r="J46">
            <v>93.206376800000001</v>
          </cell>
          <cell r="K46">
            <v>6092.1305128800004</v>
          </cell>
          <cell r="L46">
            <v>4772.0750128</v>
          </cell>
          <cell r="M46">
            <v>-0.216682078180882</v>
          </cell>
          <cell r="N46">
            <v>88</v>
          </cell>
          <cell r="O46">
            <v>89</v>
          </cell>
          <cell r="P46">
            <v>1.13636363636364E-2</v>
          </cell>
          <cell r="Q46">
            <v>1221.545443</v>
          </cell>
          <cell r="R46">
            <v>817.522559</v>
          </cell>
          <cell r="S46">
            <v>-0.33074732202165003</v>
          </cell>
          <cell r="T46">
            <v>78</v>
          </cell>
          <cell r="U46">
            <v>68</v>
          </cell>
          <cell r="V46">
            <v>-0.128205128205128</v>
          </cell>
          <cell r="W46">
            <v>913.28936999999996</v>
          </cell>
          <cell r="X46">
            <v>628.98438099999998</v>
          </cell>
          <cell r="Y46">
            <v>-0.31129781900341202</v>
          </cell>
          <cell r="Z46">
            <v>2088.9490590566602</v>
          </cell>
          <cell r="AA46">
            <v>1148.0386761924301</v>
          </cell>
          <cell r="AB46">
            <v>239.70801176000001</v>
          </cell>
          <cell r="AC46">
            <v>229.39089179999999</v>
          </cell>
          <cell r="AD46">
            <v>2328.6570708166601</v>
          </cell>
        </row>
        <row r="47">
          <cell r="A47" t="str">
            <v>墨西哥-1</v>
          </cell>
          <cell r="B47" t="str">
            <v>A</v>
          </cell>
          <cell r="C47">
            <v>205</v>
          </cell>
          <cell r="D47">
            <v>161</v>
          </cell>
          <cell r="E47">
            <v>-0.21463414634146299</v>
          </cell>
          <cell r="F47">
            <v>3027.8659160000002</v>
          </cell>
          <cell r="G47">
            <v>3216.8951579999998</v>
          </cell>
          <cell r="H47">
            <v>6.2429858931705898E-2</v>
          </cell>
          <cell r="K47">
            <v>3027.8659160000002</v>
          </cell>
          <cell r="L47">
            <v>3216.8951579999998</v>
          </cell>
          <cell r="M47">
            <v>6.2429858931705898E-2</v>
          </cell>
          <cell r="N47">
            <v>61</v>
          </cell>
          <cell r="O47">
            <v>92</v>
          </cell>
          <cell r="P47">
            <v>0.50819672131147497</v>
          </cell>
          <cell r="Q47">
            <v>919.33171900000002</v>
          </cell>
          <cell r="R47">
            <v>1319.3983330000001</v>
          </cell>
          <cell r="S47">
            <v>0.43517112020802601</v>
          </cell>
          <cell r="T47">
            <v>38</v>
          </cell>
          <cell r="U47">
            <v>87</v>
          </cell>
          <cell r="V47">
            <v>1.2894736842105301</v>
          </cell>
          <cell r="W47">
            <v>490.77310799999998</v>
          </cell>
          <cell r="X47">
            <v>1253.1634200000001</v>
          </cell>
          <cell r="Y47">
            <v>1.5534476106624799</v>
          </cell>
          <cell r="Z47">
            <v>603.53170870666497</v>
          </cell>
          <cell r="AA47">
            <v>1132.83638007066</v>
          </cell>
          <cell r="AD47">
            <v>603.53170870666497</v>
          </cell>
        </row>
        <row r="48">
          <cell r="A48" t="str">
            <v>墨西哥-2</v>
          </cell>
          <cell r="B48" t="str">
            <v>A</v>
          </cell>
          <cell r="C48">
            <v>210</v>
          </cell>
          <cell r="D48">
            <v>178</v>
          </cell>
          <cell r="E48">
            <v>-0.15238095238095201</v>
          </cell>
          <cell r="F48">
            <v>4171.5038949999998</v>
          </cell>
          <cell r="G48">
            <v>3358.6683210000001</v>
          </cell>
          <cell r="H48">
            <v>-0.19485432459364899</v>
          </cell>
          <cell r="K48">
            <v>4171.5038949999998</v>
          </cell>
          <cell r="L48">
            <v>3358.6683210000001</v>
          </cell>
          <cell r="M48">
            <v>-0.19485432459364899</v>
          </cell>
          <cell r="N48">
            <v>90</v>
          </cell>
          <cell r="O48">
            <v>106</v>
          </cell>
          <cell r="P48">
            <v>0.17777777777777801</v>
          </cell>
          <cell r="Q48">
            <v>1491.4457580000001</v>
          </cell>
          <cell r="R48">
            <v>1412.793451</v>
          </cell>
          <cell r="S48">
            <v>-5.2735613466406601E-2</v>
          </cell>
          <cell r="T48">
            <v>67</v>
          </cell>
          <cell r="U48">
            <v>67</v>
          </cell>
          <cell r="V48">
            <v>0</v>
          </cell>
          <cell r="W48">
            <v>931.40596400000004</v>
          </cell>
          <cell r="X48">
            <v>884.92792999999995</v>
          </cell>
          <cell r="Y48">
            <v>-4.9900940939219103E-2</v>
          </cell>
          <cell r="Z48">
            <v>968.51239232826197</v>
          </cell>
          <cell r="AA48">
            <v>880.468008125305</v>
          </cell>
          <cell r="AD48">
            <v>968.51239232826197</v>
          </cell>
        </row>
        <row r="49">
          <cell r="A49" t="str">
            <v>秘鲁</v>
          </cell>
          <cell r="B49" t="str">
            <v>C</v>
          </cell>
          <cell r="C49">
            <v>40</v>
          </cell>
          <cell r="D49">
            <v>29</v>
          </cell>
          <cell r="E49">
            <v>-0.27500000000000002</v>
          </cell>
          <cell r="F49">
            <v>715.240905</v>
          </cell>
          <cell r="G49">
            <v>374.113722</v>
          </cell>
          <cell r="H49">
            <v>-0.47694025972969201</v>
          </cell>
          <cell r="K49">
            <v>715.240905</v>
          </cell>
          <cell r="L49">
            <v>374.113722</v>
          </cell>
          <cell r="M49">
            <v>-0.47694025972969201</v>
          </cell>
          <cell r="N49">
            <v>1</v>
          </cell>
          <cell r="O49">
            <v>8</v>
          </cell>
          <cell r="P49" t="str">
            <v>-</v>
          </cell>
          <cell r="Q49">
            <v>9.1833600000000004</v>
          </cell>
          <cell r="R49">
            <v>99.284766000000005</v>
          </cell>
          <cell r="S49">
            <v>9.8113768816642306</v>
          </cell>
          <cell r="T49">
            <v>1</v>
          </cell>
          <cell r="U49">
            <v>2</v>
          </cell>
          <cell r="V49">
            <v>1</v>
          </cell>
          <cell r="W49">
            <v>16.065435999999998</v>
          </cell>
          <cell r="X49">
            <v>26.889612</v>
          </cell>
          <cell r="Y49">
            <v>0.67375550840948295</v>
          </cell>
          <cell r="Z49">
            <v>242.49100996093799</v>
          </cell>
          <cell r="AA49">
            <v>34.627402246093801</v>
          </cell>
          <cell r="AD49">
            <v>242.49100996093799</v>
          </cell>
        </row>
        <row r="50">
          <cell r="A50" t="str">
            <v>智利</v>
          </cell>
          <cell r="B50" t="str">
            <v>C</v>
          </cell>
          <cell r="C50">
            <v>60</v>
          </cell>
          <cell r="D50">
            <v>45</v>
          </cell>
          <cell r="E50">
            <v>-0.25</v>
          </cell>
          <cell r="F50">
            <v>872.93738499999995</v>
          </cell>
          <cell r="G50">
            <v>617.40649499999995</v>
          </cell>
          <cell r="H50">
            <v>-0.29272533676627899</v>
          </cell>
          <cell r="K50">
            <v>872.93738499999995</v>
          </cell>
          <cell r="L50">
            <v>617.40649499999995</v>
          </cell>
          <cell r="M50">
            <v>-0.29272533676627899</v>
          </cell>
          <cell r="N50">
            <v>5</v>
          </cell>
          <cell r="O50">
            <v>17</v>
          </cell>
          <cell r="P50">
            <v>2.4</v>
          </cell>
          <cell r="Q50">
            <v>50.763553999999999</v>
          </cell>
          <cell r="R50">
            <v>226.44388599999999</v>
          </cell>
          <cell r="S50">
            <v>3.4607571408416402</v>
          </cell>
          <cell r="T50">
            <v>7</v>
          </cell>
          <cell r="U50">
            <v>9</v>
          </cell>
          <cell r="V50">
            <v>0.28571428571428598</v>
          </cell>
          <cell r="W50">
            <v>73.763803999999993</v>
          </cell>
          <cell r="X50">
            <v>132.62662700000001</v>
          </cell>
          <cell r="Y50">
            <v>0.79799061067945998</v>
          </cell>
          <cell r="Z50">
            <v>62.87622578125</v>
          </cell>
          <cell r="AA50">
            <v>168.97901250000001</v>
          </cell>
          <cell r="AD50">
            <v>62.87622578125</v>
          </cell>
        </row>
        <row r="51">
          <cell r="A51" t="str">
            <v>加勒比海</v>
          </cell>
          <cell r="B51" t="str">
            <v>A</v>
          </cell>
          <cell r="C51">
            <v>271</v>
          </cell>
          <cell r="D51">
            <v>268</v>
          </cell>
          <cell r="E51">
            <v>-1.1070110701107E-2</v>
          </cell>
          <cell r="F51">
            <v>3201.1956659999901</v>
          </cell>
          <cell r="G51">
            <v>3243.9587700000002</v>
          </cell>
          <cell r="H51">
            <v>1.3358478662894E-2</v>
          </cell>
          <cell r="K51">
            <v>3201.1956659999901</v>
          </cell>
          <cell r="L51">
            <v>3243.9587700000002</v>
          </cell>
          <cell r="M51">
            <v>1.3358478662894E-2</v>
          </cell>
          <cell r="N51">
            <v>85</v>
          </cell>
          <cell r="O51">
            <v>86</v>
          </cell>
          <cell r="P51">
            <v>1.1764705882352899E-2</v>
          </cell>
          <cell r="Q51">
            <v>925.64737300000002</v>
          </cell>
          <cell r="R51">
            <v>840.23281799999995</v>
          </cell>
          <cell r="S51">
            <v>-9.2275479293128501E-2</v>
          </cell>
          <cell r="T51">
            <v>75</v>
          </cell>
          <cell r="U51">
            <v>38</v>
          </cell>
          <cell r="V51">
            <v>-0.49333333333333301</v>
          </cell>
          <cell r="W51">
            <v>819.69526499999995</v>
          </cell>
          <cell r="X51">
            <v>341.537913</v>
          </cell>
          <cell r="Y51">
            <v>-0.58333550578701898</v>
          </cell>
          <cell r="Z51">
            <v>874.08540390014696</v>
          </cell>
          <cell r="AA51">
            <v>522.71383848476398</v>
          </cell>
          <cell r="AD51">
            <v>874.08540390014696</v>
          </cell>
        </row>
        <row r="52">
          <cell r="A52" t="str">
            <v>多米尼加</v>
          </cell>
          <cell r="B52" t="str">
            <v>C</v>
          </cell>
          <cell r="C52">
            <v>0</v>
          </cell>
          <cell r="D52">
            <v>12</v>
          </cell>
          <cell r="E52" t="str">
            <v>-</v>
          </cell>
          <cell r="F52">
            <v>0</v>
          </cell>
          <cell r="G52">
            <v>101.979831</v>
          </cell>
          <cell r="H52" t="str">
            <v>-</v>
          </cell>
          <cell r="K52">
            <v>0</v>
          </cell>
          <cell r="L52">
            <v>101.979831</v>
          </cell>
          <cell r="M52" t="str">
            <v>-</v>
          </cell>
          <cell r="N52">
            <v>0</v>
          </cell>
          <cell r="O52">
            <v>0</v>
          </cell>
          <cell r="P52" t="str">
            <v>-</v>
          </cell>
          <cell r="Q52">
            <v>0</v>
          </cell>
          <cell r="R52">
            <v>0</v>
          </cell>
          <cell r="S52" t="str">
            <v>-</v>
          </cell>
          <cell r="T52">
            <v>0</v>
          </cell>
          <cell r="U52">
            <v>0</v>
          </cell>
          <cell r="V52" t="str">
            <v>-</v>
          </cell>
          <cell r="W52">
            <v>0</v>
          </cell>
          <cell r="X52">
            <v>0</v>
          </cell>
          <cell r="Y52" t="str">
            <v>-</v>
          </cell>
          <cell r="Z52">
            <v>0</v>
          </cell>
          <cell r="AA52">
            <v>0</v>
          </cell>
          <cell r="AD52">
            <v>0</v>
          </cell>
        </row>
        <row r="53">
          <cell r="A53" t="str">
            <v>哥伦比亚</v>
          </cell>
          <cell r="B53" t="str">
            <v>A</v>
          </cell>
          <cell r="C53">
            <v>326</v>
          </cell>
          <cell r="D53">
            <v>198</v>
          </cell>
          <cell r="E53">
            <v>-0.39263803680981602</v>
          </cell>
          <cell r="F53">
            <v>3941.709069</v>
          </cell>
          <cell r="G53">
            <v>3593.8683980000001</v>
          </cell>
          <cell r="H53">
            <v>-8.82461553886945E-2</v>
          </cell>
          <cell r="K53">
            <v>3941.709069</v>
          </cell>
          <cell r="L53">
            <v>3593.8683980000001</v>
          </cell>
          <cell r="M53">
            <v>-8.82461553886945E-2</v>
          </cell>
          <cell r="N53">
            <v>135</v>
          </cell>
          <cell r="O53">
            <v>72</v>
          </cell>
          <cell r="P53">
            <v>-0.46666666666666701</v>
          </cell>
          <cell r="Q53">
            <v>1488.884333</v>
          </cell>
          <cell r="R53">
            <v>682.41658399999994</v>
          </cell>
          <cell r="S53">
            <v>-0.54165910079463497</v>
          </cell>
          <cell r="T53">
            <v>110</v>
          </cell>
          <cell r="U53">
            <v>74</v>
          </cell>
          <cell r="V53">
            <v>-0.32727272727272699</v>
          </cell>
          <cell r="W53">
            <v>1188.587968</v>
          </cell>
          <cell r="X53">
            <v>896.52210600000001</v>
          </cell>
          <cell r="Y53">
            <v>-0.245725070304599</v>
          </cell>
          <cell r="Z53">
            <v>1539.2963425708799</v>
          </cell>
          <cell r="AA53">
            <v>1092.4844321174601</v>
          </cell>
          <cell r="AD53">
            <v>1539.2963425708799</v>
          </cell>
        </row>
        <row r="54">
          <cell r="A54" t="str">
            <v>秘鲁2</v>
          </cell>
          <cell r="B54" t="str">
            <v>D</v>
          </cell>
          <cell r="C54">
            <v>0</v>
          </cell>
          <cell r="D54">
            <v>2</v>
          </cell>
          <cell r="E54" t="str">
            <v>-</v>
          </cell>
          <cell r="F54">
            <v>0</v>
          </cell>
          <cell r="G54">
            <v>18.923112</v>
          </cell>
          <cell r="H54" t="str">
            <v>-</v>
          </cell>
          <cell r="K54">
            <v>0</v>
          </cell>
          <cell r="L54">
            <v>18.923112</v>
          </cell>
          <cell r="M54" t="str">
            <v>-</v>
          </cell>
          <cell r="N54">
            <v>0</v>
          </cell>
          <cell r="O54">
            <v>0</v>
          </cell>
          <cell r="P54" t="str">
            <v>-</v>
          </cell>
          <cell r="Q54">
            <v>0</v>
          </cell>
          <cell r="R54">
            <v>0</v>
          </cell>
          <cell r="S54" t="str">
            <v>-</v>
          </cell>
          <cell r="T54">
            <v>0</v>
          </cell>
          <cell r="U54">
            <v>0</v>
          </cell>
          <cell r="V54" t="str">
            <v>-</v>
          </cell>
          <cell r="W54">
            <v>0</v>
          </cell>
          <cell r="X54">
            <v>0</v>
          </cell>
          <cell r="Y54" t="str">
            <v>-</v>
          </cell>
          <cell r="Z54">
            <v>0</v>
          </cell>
          <cell r="AA54">
            <v>0</v>
          </cell>
          <cell r="AD54">
            <v>0</v>
          </cell>
        </row>
        <row r="55">
          <cell r="A55" t="str">
            <v>巴西</v>
          </cell>
          <cell r="B55" t="str">
            <v>D</v>
          </cell>
          <cell r="C55">
            <v>0</v>
          </cell>
          <cell r="D55">
            <v>0</v>
          </cell>
          <cell r="E55" t="str">
            <v>-</v>
          </cell>
          <cell r="F55">
            <v>0</v>
          </cell>
          <cell r="G55">
            <v>0</v>
          </cell>
          <cell r="H55" t="str">
            <v>-</v>
          </cell>
          <cell r="K55">
            <v>0</v>
          </cell>
          <cell r="L55">
            <v>0</v>
          </cell>
          <cell r="M55" t="str">
            <v>-</v>
          </cell>
          <cell r="N55">
            <v>0</v>
          </cell>
          <cell r="O55">
            <v>0</v>
          </cell>
          <cell r="P55" t="str">
            <v>-</v>
          </cell>
          <cell r="Q55">
            <v>0</v>
          </cell>
          <cell r="R55">
            <v>0</v>
          </cell>
          <cell r="S55" t="str">
            <v>-</v>
          </cell>
          <cell r="T55">
            <v>0</v>
          </cell>
          <cell r="U55">
            <v>0</v>
          </cell>
          <cell r="V55" t="str">
            <v>-</v>
          </cell>
          <cell r="W55">
            <v>0</v>
          </cell>
          <cell r="X55">
            <v>0</v>
          </cell>
          <cell r="Y55" t="str">
            <v>-</v>
          </cell>
          <cell r="Z55">
            <v>0</v>
          </cell>
          <cell r="AA55">
            <v>0</v>
          </cell>
          <cell r="AD55">
            <v>0</v>
          </cell>
        </row>
        <row r="56">
          <cell r="A56" t="str">
            <v>美洲合计</v>
          </cell>
          <cell r="C56">
            <v>1112</v>
          </cell>
          <cell r="D56">
            <v>893</v>
          </cell>
          <cell r="E56">
            <v>-0.19694244604316499</v>
          </cell>
          <cell r="F56">
            <v>15930.452836</v>
          </cell>
          <cell r="G56">
            <v>14525.813807</v>
          </cell>
          <cell r="H56">
            <v>-8.8173201569371099E-2</v>
          </cell>
          <cell r="I56">
            <v>0</v>
          </cell>
          <cell r="J56">
            <v>0</v>
          </cell>
          <cell r="K56">
            <v>15930.452836</v>
          </cell>
          <cell r="L56">
            <v>14525.813807</v>
          </cell>
          <cell r="M56">
            <v>-8.8173201569371099E-2</v>
          </cell>
          <cell r="N56">
            <v>377</v>
          </cell>
          <cell r="O56">
            <v>381</v>
          </cell>
          <cell r="P56">
            <v>1.0610079575596801E-2</v>
          </cell>
          <cell r="Q56">
            <v>4885.2560970000004</v>
          </cell>
          <cell r="R56">
            <v>4580.5698380000003</v>
          </cell>
          <cell r="S56">
            <v>-6.2368533593787599E-2</v>
          </cell>
          <cell r="T56">
            <v>298</v>
          </cell>
          <cell r="U56">
            <v>277</v>
          </cell>
          <cell r="V56">
            <v>-7.0469798657718102E-2</v>
          </cell>
          <cell r="W56">
            <v>3520.291545</v>
          </cell>
          <cell r="X56">
            <v>3535.6676080000002</v>
          </cell>
          <cell r="Y56">
            <v>4.3678379484898E-3</v>
          </cell>
          <cell r="Z56">
            <v>4290.7930832481397</v>
          </cell>
          <cell r="AA56">
            <v>3832.1090735442899</v>
          </cell>
          <cell r="AB56">
            <v>0</v>
          </cell>
          <cell r="AC56">
            <v>0</v>
          </cell>
          <cell r="AD56">
            <v>4290.7930832481397</v>
          </cell>
        </row>
        <row r="57">
          <cell r="A57" t="str">
            <v>阿联酋-2</v>
          </cell>
          <cell r="B57" t="str">
            <v>B</v>
          </cell>
          <cell r="C57">
            <v>42</v>
          </cell>
          <cell r="D57">
            <v>43</v>
          </cell>
          <cell r="E57">
            <v>2.3809523809523801E-2</v>
          </cell>
          <cell r="F57">
            <v>1049.7855669999999</v>
          </cell>
          <cell r="G57">
            <v>490.78659199999998</v>
          </cell>
          <cell r="H57">
            <v>-0.53248872205155795</v>
          </cell>
          <cell r="K57">
            <v>1049.7855669999999</v>
          </cell>
          <cell r="L57">
            <v>490.78659199999998</v>
          </cell>
          <cell r="M57">
            <v>-0.53248872205155795</v>
          </cell>
          <cell r="N57">
            <v>27</v>
          </cell>
          <cell r="O57">
            <v>5</v>
          </cell>
          <cell r="P57">
            <v>-0.81481481481481499</v>
          </cell>
          <cell r="Q57">
            <v>913.934257</v>
          </cell>
          <cell r="R57">
            <v>55.939306000000002</v>
          </cell>
          <cell r="S57">
            <v>-0.93879285564410098</v>
          </cell>
          <cell r="T57">
            <v>26</v>
          </cell>
          <cell r="U57">
            <v>1</v>
          </cell>
          <cell r="V57">
            <v>-0.96153846153846201</v>
          </cell>
          <cell r="W57">
            <v>895.74991999999997</v>
          </cell>
          <cell r="X57">
            <v>26.676143</v>
          </cell>
          <cell r="Y57">
            <v>-0.97021920694115205</v>
          </cell>
          <cell r="Z57">
            <v>460.53614658203099</v>
          </cell>
          <cell r="AA57">
            <v>31.241092773437501</v>
          </cell>
          <cell r="AD57">
            <v>460.53614658203099</v>
          </cell>
        </row>
        <row r="58">
          <cell r="A58" t="str">
            <v>沙特工厂</v>
          </cell>
          <cell r="B58" t="str">
            <v>A</v>
          </cell>
          <cell r="C58">
            <v>860</v>
          </cell>
          <cell r="D58">
            <v>215</v>
          </cell>
          <cell r="E58">
            <v>-0.75</v>
          </cell>
          <cell r="F58">
            <v>7680.8760709999397</v>
          </cell>
          <cell r="G58">
            <v>1849.1485439999999</v>
          </cell>
          <cell r="H58">
            <v>-0.75925291244033</v>
          </cell>
          <cell r="K58">
            <v>7680.8760709999397</v>
          </cell>
          <cell r="L58">
            <v>1849.1485439999999</v>
          </cell>
          <cell r="M58">
            <v>-0.75925291244033</v>
          </cell>
          <cell r="N58">
            <v>115</v>
          </cell>
          <cell r="O58">
            <v>31</v>
          </cell>
          <cell r="P58">
            <v>-0.73043478260869599</v>
          </cell>
          <cell r="Q58">
            <v>999.50570600000106</v>
          </cell>
          <cell r="R58">
            <v>268.55853000000002</v>
          </cell>
          <cell r="S58">
            <v>-0.73130865748154095</v>
          </cell>
          <cell r="T58">
            <v>132</v>
          </cell>
          <cell r="U58">
            <v>29</v>
          </cell>
          <cell r="V58">
            <v>-0.78030303030303005</v>
          </cell>
          <cell r="W58">
            <v>1132.2965879999999</v>
          </cell>
          <cell r="X58">
            <v>257.58861000000002</v>
          </cell>
          <cell r="Y58">
            <v>-0.77250782813451402</v>
          </cell>
          <cell r="Z58">
            <v>831.13296945800801</v>
          </cell>
          <cell r="AA58">
            <v>676.01827036132897</v>
          </cell>
          <cell r="AD58">
            <v>831.13296945800801</v>
          </cell>
        </row>
        <row r="59">
          <cell r="A59" t="str">
            <v>沙特-1</v>
          </cell>
          <cell r="B59" t="str">
            <v>A</v>
          </cell>
          <cell r="C59">
            <v>380</v>
          </cell>
          <cell r="D59">
            <v>95</v>
          </cell>
          <cell r="E59">
            <v>-0.75</v>
          </cell>
          <cell r="F59">
            <v>2999.3153000000002</v>
          </cell>
          <cell r="G59">
            <v>754.047417</v>
          </cell>
          <cell r="H59">
            <v>-0.748593481652295</v>
          </cell>
          <cell r="K59">
            <v>2999.3153000000002</v>
          </cell>
          <cell r="L59">
            <v>754.047417</v>
          </cell>
          <cell r="M59">
            <v>-0.748593481652295</v>
          </cell>
          <cell r="N59">
            <v>18</v>
          </cell>
          <cell r="O59">
            <v>13</v>
          </cell>
          <cell r="P59">
            <v>-0.27777777777777801</v>
          </cell>
          <cell r="Q59">
            <v>244.92996500000001</v>
          </cell>
          <cell r="R59">
            <v>108.787277</v>
          </cell>
          <cell r="S59">
            <v>-0.55584333260326102</v>
          </cell>
          <cell r="T59">
            <v>22</v>
          </cell>
          <cell r="U59">
            <v>31</v>
          </cell>
          <cell r="V59">
            <v>0.40909090909090901</v>
          </cell>
          <cell r="W59">
            <v>262.43405999999999</v>
          </cell>
          <cell r="X59">
            <v>307.47128500000002</v>
          </cell>
          <cell r="Y59">
            <v>0.17161349026113501</v>
          </cell>
          <cell r="Z59">
            <v>661.69019570312605</v>
          </cell>
          <cell r="AA59">
            <v>240.71494316406199</v>
          </cell>
          <cell r="AD59">
            <v>661.69019570312605</v>
          </cell>
        </row>
        <row r="60">
          <cell r="A60" t="str">
            <v>科威特</v>
          </cell>
          <cell r="B60" t="str">
            <v>C</v>
          </cell>
          <cell r="C60">
            <v>77</v>
          </cell>
          <cell r="D60">
            <v>25</v>
          </cell>
          <cell r="E60">
            <v>-0.67532467532467499</v>
          </cell>
          <cell r="F60">
            <v>1017.1580300000001</v>
          </cell>
          <cell r="G60">
            <v>479.95219800000001</v>
          </cell>
          <cell r="H60">
            <v>-0.52814392272948996</v>
          </cell>
          <cell r="K60">
            <v>1017.1580300000001</v>
          </cell>
          <cell r="L60">
            <v>479.95219800000001</v>
          </cell>
          <cell r="M60">
            <v>-0.52814392272948996</v>
          </cell>
          <cell r="N60">
            <v>11</v>
          </cell>
          <cell r="O60">
            <v>0</v>
          </cell>
          <cell r="P60">
            <v>-1</v>
          </cell>
          <cell r="Q60">
            <v>126.799567</v>
          </cell>
          <cell r="R60">
            <v>0</v>
          </cell>
          <cell r="S60">
            <v>-1</v>
          </cell>
          <cell r="T60">
            <v>12</v>
          </cell>
          <cell r="U60">
            <v>9</v>
          </cell>
          <cell r="V60">
            <v>-0.25</v>
          </cell>
          <cell r="W60">
            <v>134.82774499999999</v>
          </cell>
          <cell r="X60">
            <v>87.084939000000006</v>
          </cell>
          <cell r="Y60">
            <v>-0.35410223615324898</v>
          </cell>
          <cell r="Z60">
            <v>203.58402329254201</v>
          </cell>
          <cell r="AA60">
            <v>114.777220751953</v>
          </cell>
          <cell r="AD60">
            <v>203.58402329254201</v>
          </cell>
        </row>
        <row r="61">
          <cell r="A61" t="str">
            <v>阿联酋-1</v>
          </cell>
          <cell r="B61" t="str">
            <v>A</v>
          </cell>
          <cell r="C61">
            <v>404</v>
          </cell>
          <cell r="D61">
            <v>91</v>
          </cell>
          <cell r="E61">
            <v>-0.774752475247525</v>
          </cell>
          <cell r="F61">
            <v>3426.458329</v>
          </cell>
          <cell r="G61">
            <v>823.94738900000095</v>
          </cell>
          <cell r="H61">
            <v>-0.75953380724741903</v>
          </cell>
          <cell r="K61">
            <v>3426.458329</v>
          </cell>
          <cell r="L61">
            <v>823.94738900000095</v>
          </cell>
          <cell r="M61">
            <v>-0.75953380724741903</v>
          </cell>
          <cell r="N61">
            <v>63</v>
          </cell>
          <cell r="O61">
            <v>38</v>
          </cell>
          <cell r="P61">
            <v>-0.39682539682539703</v>
          </cell>
          <cell r="Q61">
            <v>500.02766100000002</v>
          </cell>
          <cell r="R61">
            <v>300.19405899999998</v>
          </cell>
          <cell r="S61">
            <v>-0.39964509483406302</v>
          </cell>
          <cell r="T61">
            <v>52</v>
          </cell>
          <cell r="U61">
            <v>32</v>
          </cell>
          <cell r="V61">
            <v>-0.38461538461538503</v>
          </cell>
          <cell r="W61">
            <v>388.01157699999999</v>
          </cell>
          <cell r="X61">
            <v>217.11693399999999</v>
          </cell>
          <cell r="Y61">
            <v>-0.44043696922991599</v>
          </cell>
          <cell r="Z61">
            <v>537.83611030273505</v>
          </cell>
          <cell r="AA61">
            <v>163.73231479492199</v>
          </cell>
          <cell r="AD61">
            <v>537.83611030273505</v>
          </cell>
        </row>
        <row r="62">
          <cell r="A62" t="str">
            <v>卡塔尔</v>
          </cell>
          <cell r="B62" t="str">
            <v>C</v>
          </cell>
          <cell r="C62">
            <v>0</v>
          </cell>
          <cell r="D62">
            <v>12</v>
          </cell>
          <cell r="E62" t="str">
            <v>-</v>
          </cell>
          <cell r="F62">
            <v>0</v>
          </cell>
          <cell r="G62">
            <v>155.36558400000001</v>
          </cell>
          <cell r="H62" t="str">
            <v>-</v>
          </cell>
          <cell r="K62">
            <v>0</v>
          </cell>
          <cell r="L62">
            <v>155.36558400000001</v>
          </cell>
          <cell r="M62" t="str">
            <v>-</v>
          </cell>
          <cell r="N62">
            <v>0</v>
          </cell>
          <cell r="O62">
            <v>0</v>
          </cell>
          <cell r="P62" t="str">
            <v>-</v>
          </cell>
          <cell r="Q62">
            <v>0</v>
          </cell>
          <cell r="R62">
            <v>0</v>
          </cell>
          <cell r="S62" t="str">
            <v>-</v>
          </cell>
          <cell r="T62">
            <v>0</v>
          </cell>
          <cell r="U62">
            <v>0</v>
          </cell>
          <cell r="V62" t="str">
            <v>-</v>
          </cell>
          <cell r="W62">
            <v>0</v>
          </cell>
          <cell r="X62">
            <v>0</v>
          </cell>
          <cell r="Y62" t="str">
            <v>-</v>
          </cell>
          <cell r="Z62">
            <v>0</v>
          </cell>
          <cell r="AA62">
            <v>0</v>
          </cell>
          <cell r="AD62">
            <v>0</v>
          </cell>
        </row>
        <row r="63">
          <cell r="A63" t="str">
            <v>伊拉克</v>
          </cell>
          <cell r="B63" t="str">
            <v>D</v>
          </cell>
          <cell r="C63">
            <v>53</v>
          </cell>
          <cell r="D63">
            <v>24</v>
          </cell>
          <cell r="E63">
            <v>-0.54716981132075504</v>
          </cell>
          <cell r="F63">
            <v>592.63861599999996</v>
          </cell>
          <cell r="G63">
            <v>292.14370200000002</v>
          </cell>
          <cell r="H63">
            <v>-0.50704578791740396</v>
          </cell>
          <cell r="K63">
            <v>592.63861599999996</v>
          </cell>
          <cell r="L63">
            <v>292.14370200000002</v>
          </cell>
          <cell r="M63">
            <v>-0.50704578791740396</v>
          </cell>
          <cell r="N63">
            <v>8</v>
          </cell>
          <cell r="O63">
            <v>8</v>
          </cell>
          <cell r="P63">
            <v>0</v>
          </cell>
          <cell r="Q63">
            <v>61.438507000000001</v>
          </cell>
          <cell r="R63">
            <v>65.929432000000006</v>
          </cell>
          <cell r="S63">
            <v>7.3096258670478406E-2</v>
          </cell>
          <cell r="T63">
            <v>8</v>
          </cell>
          <cell r="U63">
            <v>4</v>
          </cell>
          <cell r="V63">
            <v>-0.5</v>
          </cell>
          <cell r="W63">
            <v>61.438507000000001</v>
          </cell>
          <cell r="X63">
            <v>29.107869000000001</v>
          </cell>
          <cell r="Y63">
            <v>-0.52622759859708201</v>
          </cell>
          <cell r="Z63">
            <v>82.195083007812499</v>
          </cell>
          <cell r="AA63">
            <v>34.732512942504897</v>
          </cell>
          <cell r="AD63">
            <v>82.195083007812499</v>
          </cell>
        </row>
        <row r="64">
          <cell r="A64" t="str">
            <v>巴勒斯坦</v>
          </cell>
          <cell r="B64" t="str">
            <v>C</v>
          </cell>
          <cell r="C64">
            <v>0</v>
          </cell>
          <cell r="D64">
            <v>23</v>
          </cell>
          <cell r="E64" t="str">
            <v>-</v>
          </cell>
          <cell r="F64">
            <v>0</v>
          </cell>
          <cell r="G64">
            <v>367.40394199999997</v>
          </cell>
          <cell r="H64" t="str">
            <v>-</v>
          </cell>
          <cell r="I64">
            <v>0</v>
          </cell>
          <cell r="J64">
            <v>0</v>
          </cell>
          <cell r="K64">
            <v>0</v>
          </cell>
          <cell r="L64">
            <v>367.40394199999997</v>
          </cell>
          <cell r="M64" t="str">
            <v>-</v>
          </cell>
          <cell r="N64">
            <v>0</v>
          </cell>
          <cell r="O64">
            <v>3</v>
          </cell>
          <cell r="P64" t="str">
            <v>-</v>
          </cell>
          <cell r="Q64">
            <v>0</v>
          </cell>
          <cell r="R64">
            <v>24.950810000000001</v>
          </cell>
          <cell r="S64" t="str">
            <v>-</v>
          </cell>
          <cell r="T64">
            <v>0</v>
          </cell>
          <cell r="U64">
            <v>3</v>
          </cell>
          <cell r="V64" t="str">
            <v>-</v>
          </cell>
          <cell r="W64">
            <v>0</v>
          </cell>
          <cell r="X64">
            <v>24.950810000000001</v>
          </cell>
          <cell r="Y64" t="str">
            <v>-</v>
          </cell>
          <cell r="Z64">
            <v>0</v>
          </cell>
          <cell r="AA64">
            <v>24.6012713363647</v>
          </cell>
          <cell r="AD64">
            <v>0</v>
          </cell>
        </row>
        <row r="65">
          <cell r="A65" t="str">
            <v>伊朗+阿曼</v>
          </cell>
          <cell r="B65" t="str">
            <v>D</v>
          </cell>
          <cell r="C65">
            <v>92</v>
          </cell>
          <cell r="D65">
            <v>35</v>
          </cell>
          <cell r="E65">
            <v>-0.61956521739130399</v>
          </cell>
          <cell r="F65">
            <v>1001.540992</v>
          </cell>
          <cell r="G65">
            <v>231.97932700000001</v>
          </cell>
          <cell r="H65">
            <v>-0.76837760126347399</v>
          </cell>
          <cell r="K65">
            <v>1001.540992</v>
          </cell>
          <cell r="L65">
            <v>231.97932700000001</v>
          </cell>
          <cell r="M65">
            <v>-0.76837760126347399</v>
          </cell>
          <cell r="N65">
            <v>20</v>
          </cell>
          <cell r="O65">
            <v>17</v>
          </cell>
          <cell r="P65">
            <v>-0.15</v>
          </cell>
          <cell r="Q65">
            <v>200.807132</v>
          </cell>
          <cell r="R65">
            <v>107.637885</v>
          </cell>
          <cell r="S65">
            <v>-0.46397379451642201</v>
          </cell>
          <cell r="T65">
            <v>15</v>
          </cell>
          <cell r="U65">
            <v>2</v>
          </cell>
          <cell r="V65">
            <v>-0.86666666666666703</v>
          </cell>
          <cell r="W65">
            <v>137.57912400000001</v>
          </cell>
          <cell r="X65">
            <v>12.401725000000001</v>
          </cell>
          <cell r="Y65">
            <v>-0.90985750861446102</v>
          </cell>
          <cell r="Z65">
            <v>168.956737670899</v>
          </cell>
          <cell r="AA65">
            <v>42.479838256835897</v>
          </cell>
          <cell r="AD65">
            <v>168.956737670899</v>
          </cell>
        </row>
        <row r="66">
          <cell r="A66" t="str">
            <v>中东合计</v>
          </cell>
          <cell r="C66">
            <v>1908</v>
          </cell>
          <cell r="D66">
            <v>563</v>
          </cell>
          <cell r="E66">
            <v>-0.70492662473794598</v>
          </cell>
          <cell r="F66">
            <v>17767.7729049999</v>
          </cell>
          <cell r="G66">
            <v>5444.7746950000001</v>
          </cell>
          <cell r="H66">
            <v>-0.69355896633123804</v>
          </cell>
          <cell r="I66">
            <v>0</v>
          </cell>
          <cell r="J66">
            <v>0</v>
          </cell>
          <cell r="K66">
            <v>17767.7729049999</v>
          </cell>
          <cell r="L66">
            <v>5444.7746950000001</v>
          </cell>
          <cell r="M66">
            <v>-0.69355896633123804</v>
          </cell>
          <cell r="N66">
            <v>262</v>
          </cell>
          <cell r="O66">
            <v>115</v>
          </cell>
          <cell r="P66">
            <v>-0.56106870229007599</v>
          </cell>
          <cell r="Q66">
            <v>3047.4427949999999</v>
          </cell>
          <cell r="R66">
            <v>931.997299</v>
          </cell>
          <cell r="S66">
            <v>-0.69417069927312602</v>
          </cell>
          <cell r="T66">
            <v>267</v>
          </cell>
          <cell r="U66">
            <v>111</v>
          </cell>
          <cell r="V66">
            <v>-0.58426966292134797</v>
          </cell>
          <cell r="W66">
            <v>3012.3375209999999</v>
          </cell>
          <cell r="X66">
            <v>962.39831500000003</v>
          </cell>
          <cell r="Y66">
            <v>-0.68051444823469998</v>
          </cell>
          <cell r="Z66">
            <v>2945.9312660171499</v>
          </cell>
          <cell r="AA66">
            <v>1328.29746438141</v>
          </cell>
          <cell r="AB66">
            <v>0</v>
          </cell>
          <cell r="AC66">
            <v>0</v>
          </cell>
          <cell r="AD66">
            <v>2945.9312660171499</v>
          </cell>
        </row>
        <row r="67">
          <cell r="A67" t="str">
            <v>埃及-1</v>
          </cell>
          <cell r="B67" t="str">
            <v>A</v>
          </cell>
          <cell r="C67">
            <v>469</v>
          </cell>
          <cell r="D67">
            <v>312</v>
          </cell>
          <cell r="E67">
            <v>-0.33475479744136499</v>
          </cell>
          <cell r="F67">
            <v>6870.23698899998</v>
          </cell>
          <cell r="G67">
            <v>1984.16833</v>
          </cell>
          <cell r="H67">
            <v>-0.71119361192679798</v>
          </cell>
          <cell r="K67">
            <v>6870.23698899998</v>
          </cell>
          <cell r="L67">
            <v>1984.16833</v>
          </cell>
          <cell r="M67">
            <v>-0.71119361192679798</v>
          </cell>
          <cell r="N67">
            <v>406</v>
          </cell>
          <cell r="O67">
            <v>2</v>
          </cell>
          <cell r="P67">
            <v>-0.99507389162561599</v>
          </cell>
          <cell r="Q67">
            <v>2397.89588799999</v>
          </cell>
          <cell r="R67">
            <v>16.29336</v>
          </cell>
          <cell r="S67">
            <v>-0.99320514285814598</v>
          </cell>
          <cell r="T67">
            <v>6</v>
          </cell>
          <cell r="U67">
            <v>0</v>
          </cell>
          <cell r="V67">
            <v>-1</v>
          </cell>
          <cell r="W67">
            <v>57.934756</v>
          </cell>
          <cell r="X67">
            <v>0</v>
          </cell>
          <cell r="Y67">
            <v>-1</v>
          </cell>
          <cell r="Z67">
            <v>190.39357004394299</v>
          </cell>
          <cell r="AA67">
            <v>122.448606729126</v>
          </cell>
          <cell r="AD67">
            <v>190.39357004394299</v>
          </cell>
        </row>
        <row r="68">
          <cell r="A68" t="str">
            <v>埃及-2</v>
          </cell>
          <cell r="B68" t="str">
            <v>D</v>
          </cell>
          <cell r="C68">
            <v>22</v>
          </cell>
          <cell r="D68">
            <v>28</v>
          </cell>
          <cell r="E68">
            <v>0.27272727272727298</v>
          </cell>
          <cell r="F68">
            <v>202.744236</v>
          </cell>
          <cell r="G68">
            <v>227.353666</v>
          </cell>
          <cell r="H68">
            <v>0.121381650524457</v>
          </cell>
          <cell r="K68">
            <v>202.744236</v>
          </cell>
          <cell r="L68">
            <v>227.353666</v>
          </cell>
          <cell r="M68">
            <v>0.121381650524457</v>
          </cell>
          <cell r="N68">
            <v>7</v>
          </cell>
          <cell r="O68">
            <v>1</v>
          </cell>
          <cell r="P68">
            <v>-0.85714285714285698</v>
          </cell>
          <cell r="Q68">
            <v>57.436799999999998</v>
          </cell>
          <cell r="R68">
            <v>8.2169100000000004</v>
          </cell>
          <cell r="S68">
            <v>-0.85693997576466696</v>
          </cell>
          <cell r="T68">
            <v>21</v>
          </cell>
          <cell r="U68">
            <v>11</v>
          </cell>
          <cell r="V68">
            <v>-0.476190476190476</v>
          </cell>
          <cell r="W68">
            <v>165.82313400000001</v>
          </cell>
          <cell r="X68">
            <v>121.303309</v>
          </cell>
          <cell r="Y68">
            <v>-0.26847776860857098</v>
          </cell>
          <cell r="Z68">
            <v>110.664910253906</v>
          </cell>
          <cell r="AA68">
            <v>79.379475390625004</v>
          </cell>
          <cell r="AD68">
            <v>110.664910253906</v>
          </cell>
        </row>
        <row r="69">
          <cell r="A69" t="str">
            <v>肯尼亚/坦桑尼亚</v>
          </cell>
          <cell r="B69" t="str">
            <v>C</v>
          </cell>
          <cell r="C69">
            <v>39</v>
          </cell>
          <cell r="D69">
            <v>29</v>
          </cell>
          <cell r="E69">
            <v>-0.256410256410256</v>
          </cell>
          <cell r="F69">
            <v>652.63722499999994</v>
          </cell>
          <cell r="G69">
            <v>274.34918800000003</v>
          </cell>
          <cell r="H69">
            <v>-0.57962988090359102</v>
          </cell>
          <cell r="K69">
            <v>652.63722499999994</v>
          </cell>
          <cell r="L69">
            <v>274.34918800000003</v>
          </cell>
          <cell r="M69">
            <v>-0.57962988090359102</v>
          </cell>
          <cell r="N69">
            <v>0</v>
          </cell>
          <cell r="O69">
            <v>1</v>
          </cell>
          <cell r="P69" t="str">
            <v>-</v>
          </cell>
          <cell r="Q69">
            <v>0</v>
          </cell>
          <cell r="R69">
            <v>8.5245879999999996</v>
          </cell>
          <cell r="S69" t="e">
            <v>#DIV/0!</v>
          </cell>
          <cell r="T69">
            <v>1</v>
          </cell>
          <cell r="U69">
            <v>0</v>
          </cell>
          <cell r="V69">
            <v>-1</v>
          </cell>
          <cell r="W69">
            <v>13.231109999999999</v>
          </cell>
          <cell r="X69">
            <v>0</v>
          </cell>
          <cell r="Y69">
            <v>-1</v>
          </cell>
          <cell r="Z69">
            <v>9.2725203124999993</v>
          </cell>
          <cell r="AA69">
            <v>3.4279999999999999</v>
          </cell>
          <cell r="AD69">
            <v>9.2725203124999993</v>
          </cell>
        </row>
        <row r="70">
          <cell r="A70" t="str">
            <v>尼日利亚/埃塞俄比亚</v>
          </cell>
          <cell r="B70" t="str">
            <v>C</v>
          </cell>
          <cell r="C70">
            <v>38</v>
          </cell>
          <cell r="D70">
            <v>27</v>
          </cell>
          <cell r="E70">
            <v>-0.28947368421052599</v>
          </cell>
          <cell r="F70">
            <v>550.22496799999999</v>
          </cell>
          <cell r="G70">
            <v>313.54076400000002</v>
          </cell>
          <cell r="H70">
            <v>-0.43015896726809399</v>
          </cell>
          <cell r="K70">
            <v>550.22496799999999</v>
          </cell>
          <cell r="L70">
            <v>313.54076400000002</v>
          </cell>
          <cell r="M70">
            <v>-0.43015896726809399</v>
          </cell>
          <cell r="N70">
            <v>14</v>
          </cell>
          <cell r="O70">
            <v>8</v>
          </cell>
          <cell r="P70">
            <v>-0.42857142857142899</v>
          </cell>
          <cell r="Q70">
            <v>177.80094199999999</v>
          </cell>
          <cell r="R70">
            <v>80.185680000000005</v>
          </cell>
          <cell r="S70">
            <v>-0.54901431287130098</v>
          </cell>
          <cell r="T70">
            <v>17</v>
          </cell>
          <cell r="U70">
            <v>15</v>
          </cell>
          <cell r="V70">
            <v>-0.11764705882352899</v>
          </cell>
          <cell r="W70">
            <v>210.26359199999999</v>
          </cell>
          <cell r="X70">
            <v>155.64779899999999</v>
          </cell>
          <cell r="Y70">
            <v>-0.25974916760672501</v>
          </cell>
          <cell r="Z70">
            <v>187.08207557034501</v>
          </cell>
          <cell r="AA70">
            <v>153.21106614074699</v>
          </cell>
          <cell r="AD70">
            <v>187.08207557034501</v>
          </cell>
        </row>
        <row r="71">
          <cell r="A71" t="str">
            <v>非洲法语区</v>
          </cell>
          <cell r="B71" t="str">
            <v>D</v>
          </cell>
          <cell r="C71">
            <v>129</v>
          </cell>
          <cell r="D71">
            <v>26</v>
          </cell>
          <cell r="E71">
            <v>-0.79844961240310097</v>
          </cell>
          <cell r="F71">
            <v>1471.255735</v>
          </cell>
          <cell r="G71">
            <v>184.57711</v>
          </cell>
          <cell r="H71">
            <v>-0.87454450942208295</v>
          </cell>
          <cell r="K71">
            <v>1471.255735</v>
          </cell>
          <cell r="L71">
            <v>184.57711</v>
          </cell>
          <cell r="M71">
            <v>-0.87454450942208295</v>
          </cell>
          <cell r="N71">
            <v>0</v>
          </cell>
          <cell r="O71">
            <v>0</v>
          </cell>
          <cell r="P71" t="str">
            <v>-</v>
          </cell>
          <cell r="Q71">
            <v>0</v>
          </cell>
          <cell r="R71">
            <v>0</v>
          </cell>
          <cell r="S71" t="e">
            <v>#DIV/0!</v>
          </cell>
          <cell r="T71">
            <v>0</v>
          </cell>
          <cell r="U71">
            <v>0</v>
          </cell>
          <cell r="V71" t="e">
            <v>#DIV/0!</v>
          </cell>
          <cell r="W71">
            <v>0</v>
          </cell>
          <cell r="X71">
            <v>0</v>
          </cell>
          <cell r="Y71" t="e">
            <v>#DIV/0!</v>
          </cell>
          <cell r="Z71">
            <v>628.831877654648</v>
          </cell>
          <cell r="AA71">
            <v>0</v>
          </cell>
          <cell r="AD71">
            <v>628.831877654648</v>
          </cell>
        </row>
        <row r="72">
          <cell r="A72" t="str">
            <v>南非/安格拉</v>
          </cell>
          <cell r="B72" t="str">
            <v>D</v>
          </cell>
          <cell r="C72">
            <v>0</v>
          </cell>
          <cell r="D72">
            <v>24</v>
          </cell>
          <cell r="E72" t="str">
            <v>-</v>
          </cell>
          <cell r="F72">
            <v>0</v>
          </cell>
          <cell r="G72">
            <v>308.056558</v>
          </cell>
          <cell r="H72" t="str">
            <v>-</v>
          </cell>
          <cell r="K72">
            <v>0</v>
          </cell>
          <cell r="L72">
            <v>308.056558</v>
          </cell>
          <cell r="M72" t="str">
            <v>-</v>
          </cell>
          <cell r="N72">
            <v>0</v>
          </cell>
          <cell r="O72">
            <v>2</v>
          </cell>
          <cell r="P72" t="str">
            <v>-</v>
          </cell>
          <cell r="Q72">
            <v>0</v>
          </cell>
          <cell r="R72">
            <v>24.9391</v>
          </cell>
          <cell r="S72" t="str">
            <v>-</v>
          </cell>
          <cell r="T72">
            <v>0</v>
          </cell>
          <cell r="U72">
            <v>2</v>
          </cell>
          <cell r="V72" t="str">
            <v>-</v>
          </cell>
          <cell r="W72">
            <v>0</v>
          </cell>
          <cell r="X72">
            <v>24.9391</v>
          </cell>
          <cell r="Y72" t="str">
            <v>-</v>
          </cell>
          <cell r="Z72">
            <v>0</v>
          </cell>
          <cell r="AA72">
            <v>24.343399609374998</v>
          </cell>
          <cell r="AD72">
            <v>0</v>
          </cell>
        </row>
        <row r="73">
          <cell r="A73" t="str">
            <v>非洲合计</v>
          </cell>
          <cell r="C73">
            <v>697</v>
          </cell>
          <cell r="D73">
            <v>446</v>
          </cell>
          <cell r="E73">
            <v>-0.36011477761836402</v>
          </cell>
          <cell r="F73">
            <v>9747.0991529999901</v>
          </cell>
          <cell r="G73">
            <v>3292.0456159999999</v>
          </cell>
          <cell r="H73">
            <v>-0.66225380861271299</v>
          </cell>
          <cell r="I73">
            <v>0</v>
          </cell>
          <cell r="J73">
            <v>0</v>
          </cell>
          <cell r="K73">
            <v>9747.0991529999901</v>
          </cell>
          <cell r="L73">
            <v>3292.0456159999999</v>
          </cell>
          <cell r="M73">
            <v>-0.66225380861271299</v>
          </cell>
          <cell r="N73">
            <v>427</v>
          </cell>
          <cell r="O73">
            <v>14</v>
          </cell>
          <cell r="P73">
            <v>-0.96721311475409799</v>
          </cell>
          <cell r="Q73">
            <v>2633.1336299999898</v>
          </cell>
          <cell r="R73">
            <v>138.159638</v>
          </cell>
          <cell r="S73">
            <v>-0.94753033555687805</v>
          </cell>
          <cell r="T73">
            <v>45</v>
          </cell>
          <cell r="U73">
            <v>28</v>
          </cell>
          <cell r="V73">
            <v>-0.37777777777777799</v>
          </cell>
          <cell r="W73">
            <v>447.25259199999999</v>
          </cell>
          <cell r="X73">
            <v>301.89020799999997</v>
          </cell>
          <cell r="Y73">
            <v>-0.32501183134563</v>
          </cell>
          <cell r="Z73">
            <v>1126.2449538353401</v>
          </cell>
          <cell r="AA73">
            <v>382.81054786987301</v>
          </cell>
          <cell r="AB73">
            <v>0</v>
          </cell>
          <cell r="AC73">
            <v>0</v>
          </cell>
          <cell r="AD73">
            <v>1126.2449538353401</v>
          </cell>
        </row>
        <row r="74">
          <cell r="A74" t="str">
            <v>德国西班牙</v>
          </cell>
          <cell r="B74" t="str">
            <v>D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K74">
            <v>0</v>
          </cell>
          <cell r="L74">
            <v>0</v>
          </cell>
          <cell r="M74" t="str">
            <v>-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 t="str">
            <v>-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 t="str">
            <v>-</v>
          </cell>
          <cell r="Z74">
            <v>0</v>
          </cell>
          <cell r="AA74">
            <v>0</v>
          </cell>
          <cell r="AD74">
            <v>0</v>
          </cell>
        </row>
        <row r="75">
          <cell r="A75" t="str">
            <v>东欧</v>
          </cell>
          <cell r="B75" t="str">
            <v>D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D75">
            <v>0</v>
          </cell>
        </row>
        <row r="76">
          <cell r="A76" t="str">
            <v>英国意大利</v>
          </cell>
          <cell r="B76" t="str">
            <v>D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D76">
            <v>0</v>
          </cell>
        </row>
        <row r="77">
          <cell r="A77" t="str">
            <v>欧洲合计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</row>
        <row r="78">
          <cell r="A78" t="str">
            <v>商贸1</v>
          </cell>
          <cell r="C78">
            <v>0</v>
          </cell>
          <cell r="D78">
            <v>0</v>
          </cell>
          <cell r="E78">
            <v>0</v>
          </cell>
          <cell r="F78">
            <v>1730.42433504</v>
          </cell>
          <cell r="G78">
            <v>402.98308867679998</v>
          </cell>
          <cell r="H78">
            <v>0</v>
          </cell>
          <cell r="K78">
            <v>1730.42433504</v>
          </cell>
          <cell r="L78">
            <v>402.98308867679998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488.30637452069999</v>
          </cell>
          <cell r="R78">
            <v>178.4135126768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488.30637452069999</v>
          </cell>
          <cell r="X78">
            <v>38.547199599999999</v>
          </cell>
          <cell r="Y78">
            <v>0</v>
          </cell>
          <cell r="Z78">
            <v>488.30637452069999</v>
          </cell>
          <cell r="AA78">
            <v>95.962547509999993</v>
          </cell>
          <cell r="AD78">
            <v>488.30637452069999</v>
          </cell>
        </row>
        <row r="79">
          <cell r="A79" t="str">
            <v>商贸2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143.33000000000001</v>
          </cell>
          <cell r="H79">
            <v>0</v>
          </cell>
          <cell r="K79">
            <v>0</v>
          </cell>
          <cell r="L79">
            <v>143.33000000000001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D79">
            <v>0</v>
          </cell>
        </row>
        <row r="80">
          <cell r="A80" t="str">
            <v>商贸3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211.1793165</v>
          </cell>
          <cell r="H80">
            <v>0</v>
          </cell>
          <cell r="K80">
            <v>0</v>
          </cell>
          <cell r="L80">
            <v>211.1793165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7.1211164399999998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7.1211164399999998</v>
          </cell>
          <cell r="Y80">
            <v>0</v>
          </cell>
          <cell r="Z80">
            <v>0</v>
          </cell>
          <cell r="AA80">
            <v>6.9776917195000001</v>
          </cell>
          <cell r="AD80">
            <v>0</v>
          </cell>
        </row>
        <row r="81">
          <cell r="A81" t="str">
            <v>配件-1</v>
          </cell>
          <cell r="C81">
            <v>0</v>
          </cell>
          <cell r="D81">
            <v>0</v>
          </cell>
          <cell r="E81">
            <v>0</v>
          </cell>
          <cell r="F81">
            <v>2015.4942814075</v>
          </cell>
          <cell r="G81">
            <v>1491.7684306087499</v>
          </cell>
          <cell r="H81">
            <v>0</v>
          </cell>
          <cell r="K81">
            <v>2015.4942814075</v>
          </cell>
          <cell r="L81">
            <v>1491.7684306087499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752.97</v>
          </cell>
          <cell r="R81">
            <v>597.93352538414001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752.97</v>
          </cell>
          <cell r="X81">
            <v>520.22040000000004</v>
          </cell>
          <cell r="Y81">
            <v>0</v>
          </cell>
          <cell r="Z81">
            <v>752.97</v>
          </cell>
          <cell r="AA81">
            <v>508.32288617588102</v>
          </cell>
          <cell r="AD81">
            <v>752.97</v>
          </cell>
        </row>
        <row r="82">
          <cell r="A82" t="str">
            <v>配件-2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634.54204687499998</v>
          </cell>
          <cell r="H82">
            <v>0</v>
          </cell>
          <cell r="K82">
            <v>0</v>
          </cell>
          <cell r="L82">
            <v>634.54204687499998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30.39004375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0.53800000000000003</v>
          </cell>
          <cell r="Y82">
            <v>0</v>
          </cell>
          <cell r="Z82">
            <v>0</v>
          </cell>
          <cell r="AA82">
            <v>2.264424</v>
          </cell>
          <cell r="AD82">
            <v>0</v>
          </cell>
        </row>
        <row r="83">
          <cell r="A83" t="str">
            <v>改造</v>
          </cell>
          <cell r="C83">
            <v>0</v>
          </cell>
          <cell r="D83">
            <v>137</v>
          </cell>
          <cell r="E83" t="e">
            <v>#DIV/0!</v>
          </cell>
          <cell r="F83">
            <v>272.31968899999998</v>
          </cell>
          <cell r="G83">
            <v>712.71364900000003</v>
          </cell>
          <cell r="H83">
            <v>1.61719470823867</v>
          </cell>
          <cell r="K83">
            <v>272.31968899999998</v>
          </cell>
          <cell r="L83">
            <v>712.71364900000003</v>
          </cell>
          <cell r="M83">
            <v>1.61719470823867</v>
          </cell>
          <cell r="N83">
            <v>0</v>
          </cell>
          <cell r="O83">
            <v>91</v>
          </cell>
          <cell r="P83" t="e">
            <v>#DIV/0!</v>
          </cell>
          <cell r="Q83">
            <v>272.31968899999998</v>
          </cell>
          <cell r="R83">
            <v>293.57467300000002</v>
          </cell>
          <cell r="S83">
            <v>7.8051587375306694E-2</v>
          </cell>
          <cell r="T83" t="str">
            <v>-</v>
          </cell>
          <cell r="U83">
            <v>0</v>
          </cell>
          <cell r="V83" t="str">
            <v>-</v>
          </cell>
          <cell r="W83">
            <v>153.30144100000001</v>
          </cell>
          <cell r="X83">
            <v>17.319547</v>
          </cell>
          <cell r="Y83" t="str">
            <v>-</v>
          </cell>
          <cell r="Z83">
            <v>175.72447038803099</v>
          </cell>
          <cell r="AA83">
            <v>67.760277388000603</v>
          </cell>
          <cell r="AD83">
            <v>175.72447038803099</v>
          </cell>
        </row>
        <row r="84">
          <cell r="A84" t="str">
            <v>备件商贸合计</v>
          </cell>
          <cell r="F84">
            <v>4018.2383054474999</v>
          </cell>
          <cell r="G84">
            <v>3596.5165316605498</v>
          </cell>
          <cell r="H84">
            <v>-0.104951907211482</v>
          </cell>
          <cell r="I84">
            <v>0</v>
          </cell>
          <cell r="J84">
            <v>0</v>
          </cell>
          <cell r="K84">
            <v>4018.2383054474999</v>
          </cell>
          <cell r="L84">
            <v>3596.5165316605498</v>
          </cell>
          <cell r="M84">
            <v>-0.104951907211482</v>
          </cell>
          <cell r="O84">
            <v>91</v>
          </cell>
          <cell r="P84" t="str">
            <v>-</v>
          </cell>
          <cell r="Q84">
            <v>1513.5960635207</v>
          </cell>
          <cell r="R84">
            <v>1107.43287125094</v>
          </cell>
          <cell r="S84" t="str">
            <v>-</v>
          </cell>
          <cell r="T84">
            <v>0</v>
          </cell>
          <cell r="U84">
            <v>0</v>
          </cell>
          <cell r="V84" t="str">
            <v>-</v>
          </cell>
          <cell r="W84">
            <v>1394.5778155206999</v>
          </cell>
          <cell r="X84">
            <v>583.74626304000003</v>
          </cell>
          <cell r="Y84" t="str">
            <v>-</v>
          </cell>
          <cell r="Z84">
            <v>1417.00084490873</v>
          </cell>
          <cell r="AA84">
            <v>681.28782679338201</v>
          </cell>
          <cell r="AB84">
            <v>0</v>
          </cell>
          <cell r="AC84">
            <v>0</v>
          </cell>
          <cell r="AD84">
            <v>1417.00084490873</v>
          </cell>
        </row>
        <row r="85">
          <cell r="A85" t="str">
            <v>国际总计</v>
          </cell>
          <cell r="C85">
            <v>7711</v>
          </cell>
          <cell r="D85">
            <v>4755</v>
          </cell>
          <cell r="E85">
            <v>-0.38334846323434102</v>
          </cell>
          <cell r="F85">
            <v>111158.546587447</v>
          </cell>
          <cell r="G85">
            <v>71440.040520660594</v>
          </cell>
          <cell r="H85">
            <v>-0.35731401035853499</v>
          </cell>
          <cell r="I85">
            <v>560.80727249639995</v>
          </cell>
          <cell r="J85">
            <v>97.881951000000001</v>
          </cell>
          <cell r="K85">
            <v>111719.35385994401</v>
          </cell>
          <cell r="L85">
            <v>71537.922471660597</v>
          </cell>
          <cell r="M85">
            <v>-0.35966401523102598</v>
          </cell>
          <cell r="N85">
            <v>2387</v>
          </cell>
          <cell r="O85">
            <v>1821</v>
          </cell>
          <cell r="P85">
            <v>-0.237117720988689</v>
          </cell>
          <cell r="Q85">
            <v>36453.580340520697</v>
          </cell>
          <cell r="R85">
            <v>29538.871563250901</v>
          </cell>
          <cell r="S85">
            <v>-0.18968531246253401</v>
          </cell>
          <cell r="T85">
            <v>1483</v>
          </cell>
          <cell r="U85">
            <v>1439</v>
          </cell>
          <cell r="V85">
            <v>-2.96695886716116E-2</v>
          </cell>
          <cell r="W85">
            <v>26339.985442520701</v>
          </cell>
          <cell r="X85">
            <v>26218.439924040002</v>
          </cell>
          <cell r="Y85">
            <v>-4.6144869269549704E-3</v>
          </cell>
          <cell r="Z85">
            <v>30521.461963376401</v>
          </cell>
          <cell r="AA85">
            <v>22655.924306785299</v>
          </cell>
          <cell r="AB85">
            <v>1466.1822254584999</v>
          </cell>
          <cell r="AC85">
            <v>5850.2302891277996</v>
          </cell>
          <cell r="AD85">
            <v>31987.6441888349</v>
          </cell>
        </row>
        <row r="87">
          <cell r="B87" t="str">
            <v>整梯</v>
          </cell>
          <cell r="C87">
            <v>7711</v>
          </cell>
          <cell r="D87">
            <v>4755</v>
          </cell>
          <cell r="I87">
            <v>71439.657172197301</v>
          </cell>
          <cell r="J87">
            <v>107139.95096798999</v>
          </cell>
        </row>
        <row r="88">
          <cell r="B88" t="str">
            <v>改造</v>
          </cell>
          <cell r="C88">
            <v>0</v>
          </cell>
          <cell r="D88">
            <v>137</v>
          </cell>
          <cell r="I88">
            <v>0</v>
          </cell>
          <cell r="J88">
            <v>272.31968899999998</v>
          </cell>
        </row>
        <row r="89">
          <cell r="B89" t="str">
            <v>商贸备件</v>
          </cell>
          <cell r="I89">
            <v>0</v>
          </cell>
          <cell r="J89">
            <v>1730.42433504</v>
          </cell>
          <cell r="L89" t="str">
            <v>模块</v>
          </cell>
          <cell r="N89" t="str">
            <v>2026年签订合同额</v>
          </cell>
          <cell r="O89" t="str">
            <v>2026年回款(财务）</v>
          </cell>
          <cell r="P89" t="str">
            <v>2026年回款(经营）</v>
          </cell>
          <cell r="Q89" t="str">
            <v>排产合同额</v>
          </cell>
          <cell r="R89" t="str">
            <v>发货合同额</v>
          </cell>
          <cell r="S89" t="str">
            <v>新加坡回款</v>
          </cell>
          <cell r="U89" t="str">
            <v>2025年签订合同额</v>
          </cell>
          <cell r="V89" t="str">
            <v>2025年回款</v>
          </cell>
          <cell r="W89" t="str">
            <v>2025改造发货额</v>
          </cell>
        </row>
        <row r="90">
          <cell r="F90">
            <v>2026</v>
          </cell>
          <cell r="G90">
            <v>2026</v>
          </cell>
          <cell r="H90">
            <v>2025</v>
          </cell>
          <cell r="I90">
            <v>2025</v>
          </cell>
          <cell r="L90" t="str">
            <v>配件销售模块</v>
          </cell>
          <cell r="N90">
            <v>2122.4029348774502</v>
          </cell>
          <cell r="O90">
            <v>404.17539606000003</v>
          </cell>
          <cell r="P90">
            <v>510.58731017588099</v>
          </cell>
          <cell r="Q90">
            <v>622.80819734482895</v>
          </cell>
          <cell r="R90">
            <v>520.76</v>
          </cell>
          <cell r="U90">
            <v>2015.4942814075</v>
          </cell>
          <cell r="V90">
            <v>752.97</v>
          </cell>
          <cell r="W90">
            <v>153.30144100000001</v>
          </cell>
        </row>
        <row r="91">
          <cell r="F91" t="str">
            <v>新加坡</v>
          </cell>
          <cell r="G91" t="str">
            <v>印度</v>
          </cell>
          <cell r="H91" t="str">
            <v>新加坡</v>
          </cell>
          <cell r="I91" t="str">
            <v>印度</v>
          </cell>
          <cell r="L91" t="str">
            <v>商贸进出口模块</v>
          </cell>
          <cell r="N91">
            <v>757.13321382679999</v>
          </cell>
          <cell r="O91">
            <v>102.7380631015</v>
          </cell>
          <cell r="R91">
            <v>4.1040000000000001</v>
          </cell>
          <cell r="U91">
            <v>1730.42433504</v>
          </cell>
          <cell r="V91">
            <v>488.30637452069999</v>
          </cell>
          <cell r="W91" t="str">
            <v>改造</v>
          </cell>
        </row>
        <row r="92">
          <cell r="E92" t="str">
            <v>配件</v>
          </cell>
          <cell r="F92">
            <v>105.71435497909999</v>
          </cell>
          <cell r="G92">
            <v>0.1199824</v>
          </cell>
          <cell r="L92" t="str">
            <v>配件-1</v>
          </cell>
          <cell r="N92">
            <v>1491.7684306087499</v>
          </cell>
          <cell r="P92">
            <v>508.32288617588102</v>
          </cell>
          <cell r="Q92">
            <v>597.93352538414001</v>
          </cell>
          <cell r="R92">
            <v>520.22040000000004</v>
          </cell>
          <cell r="S92">
            <v>83.71</v>
          </cell>
        </row>
        <row r="93">
          <cell r="E93" t="str">
            <v>整梯、安装、维保回款</v>
          </cell>
          <cell r="F93">
            <v>5598.8350423487</v>
          </cell>
          <cell r="G93">
            <v>229.27090939999999</v>
          </cell>
          <cell r="H93">
            <v>1226.4742136985001</v>
          </cell>
          <cell r="I93">
            <v>239.70801176000001</v>
          </cell>
          <cell r="L93" t="str">
            <v>配件-2</v>
          </cell>
          <cell r="N93">
            <v>634.54204687499998</v>
          </cell>
          <cell r="P93">
            <v>2.264424</v>
          </cell>
          <cell r="Q93">
            <v>30.39004375</v>
          </cell>
          <cell r="R93">
            <v>0.53800000000000003</v>
          </cell>
        </row>
        <row r="94">
          <cell r="E94" t="str">
            <v>合计</v>
          </cell>
          <cell r="F94">
            <v>5704.5493973277999</v>
          </cell>
          <cell r="G94">
            <v>229.39089179999999</v>
          </cell>
          <cell r="H94">
            <v>0</v>
          </cell>
          <cell r="I94">
            <v>0</v>
          </cell>
          <cell r="L94" t="str">
            <v>合计</v>
          </cell>
          <cell r="N94">
            <v>2879.5361487042501</v>
          </cell>
          <cell r="O94">
            <v>506.91345916149999</v>
          </cell>
        </row>
        <row r="95">
          <cell r="L95" t="str">
            <v>2025年</v>
          </cell>
          <cell r="O95">
            <v>2026</v>
          </cell>
        </row>
        <row r="96">
          <cell r="L96" t="str">
            <v>模块</v>
          </cell>
          <cell r="M96" t="str">
            <v>签订额</v>
          </cell>
          <cell r="N96" t="str">
            <v>回款额</v>
          </cell>
          <cell r="O96" t="str">
            <v>模块</v>
          </cell>
          <cell r="P96" t="str">
            <v>签订额</v>
          </cell>
          <cell r="Q96" t="str">
            <v>回款额</v>
          </cell>
          <cell r="R96" t="str">
            <v>已排产</v>
          </cell>
          <cell r="S96" t="str">
            <v>已发货</v>
          </cell>
        </row>
        <row r="97">
          <cell r="L97" t="str">
            <v>商贸</v>
          </cell>
          <cell r="M97">
            <v>2063.0011528447999</v>
          </cell>
          <cell r="N97">
            <v>693.28745862649998</v>
          </cell>
          <cell r="O97" t="str">
            <v>商贸1</v>
          </cell>
          <cell r="P97">
            <v>402.98308867679998</v>
          </cell>
          <cell r="Q97">
            <v>95.962547509999993</v>
          </cell>
          <cell r="R97">
            <v>178.4135126768</v>
          </cell>
          <cell r="S97">
            <v>38.547199599999999</v>
          </cell>
        </row>
        <row r="98">
          <cell r="O98" t="str">
            <v>商贸2</v>
          </cell>
          <cell r="P98">
            <v>143.33000000000001</v>
          </cell>
          <cell r="Q98">
            <v>0</v>
          </cell>
          <cell r="R98">
            <v>0</v>
          </cell>
          <cell r="S98">
            <v>0</v>
          </cell>
        </row>
        <row r="99">
          <cell r="O99" t="str">
            <v>商贸3</v>
          </cell>
          <cell r="P99">
            <v>211.1793165</v>
          </cell>
          <cell r="Q99">
            <v>6.9776917195000001</v>
          </cell>
          <cell r="R99">
            <v>7.1211164399999998</v>
          </cell>
          <cell r="S99">
            <v>7.1211164399999998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F85"/>
  <sheetViews>
    <sheetView tabSelected="1" workbookViewId="0">
      <pane xSplit="3" ySplit="4" topLeftCell="D5" activePane="bottomRight" state="frozen"/>
      <selection pane="topRight"/>
      <selection pane="bottomLeft"/>
      <selection pane="bottomRight" activeCell="T98" sqref="T98"/>
    </sheetView>
  </sheetViews>
  <sheetFormatPr defaultColWidth="9" defaultRowHeight="13.5" x14ac:dyDescent="0.15"/>
  <cols>
    <col min="1" max="1" width="6" customWidth="1"/>
    <col min="2" max="2" width="8" customWidth="1"/>
    <col min="3" max="3" width="18" customWidth="1"/>
    <col min="4" max="4" width="10" customWidth="1"/>
    <col min="5" max="7" width="10" hidden="1" customWidth="1"/>
    <col min="8" max="8" width="12.125" customWidth="1"/>
    <col min="9" max="9" width="13" customWidth="1"/>
    <col min="10" max="10" width="10.875" customWidth="1"/>
    <col min="11" max="12" width="10" customWidth="1"/>
    <col min="13" max="15" width="10" hidden="1" customWidth="1"/>
    <col min="16" max="20" width="10" customWidth="1"/>
    <col min="21" max="23" width="10" hidden="1" customWidth="1"/>
    <col min="24" max="28" width="10" customWidth="1"/>
    <col min="29" max="31" width="10" hidden="1" customWidth="1"/>
    <col min="32" max="36" width="10" customWidth="1"/>
    <col min="37" max="39" width="10" hidden="1" customWidth="1"/>
    <col min="40" max="44" width="10" customWidth="1"/>
    <col min="45" max="47" width="10" hidden="1" customWidth="1"/>
    <col min="48" max="51" width="10" customWidth="1"/>
    <col min="52" max="58" width="10" hidden="1" customWidth="1"/>
  </cols>
  <sheetData>
    <row r="1" spans="1:58" ht="18.75" x14ac:dyDescent="0.1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</row>
    <row r="2" spans="1:58" x14ac:dyDescent="0.15">
      <c r="AZ2" t="s">
        <v>1</v>
      </c>
    </row>
    <row r="3" spans="1:58" x14ac:dyDescent="0.15">
      <c r="A3" s="15" t="s">
        <v>2</v>
      </c>
      <c r="B3" s="18" t="s">
        <v>3</v>
      </c>
      <c r="C3" s="18" t="s">
        <v>4</v>
      </c>
      <c r="D3" s="15" t="s">
        <v>5</v>
      </c>
      <c r="E3" s="12"/>
      <c r="F3" s="12"/>
      <c r="G3" s="12"/>
      <c r="H3" s="12"/>
      <c r="I3" s="12"/>
      <c r="J3" s="12"/>
      <c r="K3" s="12"/>
      <c r="L3" s="15" t="s">
        <v>6</v>
      </c>
      <c r="M3" s="12"/>
      <c r="N3" s="12"/>
      <c r="O3" s="12"/>
      <c r="P3" s="12"/>
      <c r="Q3" s="12"/>
      <c r="R3" s="12"/>
      <c r="S3" s="12"/>
      <c r="T3" s="15" t="s">
        <v>7</v>
      </c>
      <c r="U3" s="12"/>
      <c r="V3" s="12"/>
      <c r="W3" s="12"/>
      <c r="X3" s="12"/>
      <c r="Y3" s="12"/>
      <c r="Z3" s="12"/>
      <c r="AA3" s="12"/>
      <c r="AB3" s="15" t="s">
        <v>8</v>
      </c>
      <c r="AC3" s="12"/>
      <c r="AD3" s="12"/>
      <c r="AE3" s="12"/>
      <c r="AF3" s="12"/>
      <c r="AG3" s="12"/>
      <c r="AH3" s="12"/>
      <c r="AI3" s="12"/>
      <c r="AJ3" s="15" t="s">
        <v>9</v>
      </c>
      <c r="AK3" s="12"/>
      <c r="AL3" s="12"/>
      <c r="AM3" s="12"/>
      <c r="AN3" s="12"/>
      <c r="AO3" s="12"/>
      <c r="AP3" s="12"/>
      <c r="AQ3" s="12"/>
      <c r="AR3" s="15" t="s">
        <v>10</v>
      </c>
      <c r="AS3" s="12"/>
      <c r="AT3" s="12"/>
      <c r="AU3" s="12"/>
      <c r="AV3" s="12"/>
      <c r="AW3" s="12"/>
      <c r="AX3" s="12"/>
      <c r="AY3" s="12"/>
      <c r="AZ3" s="15" t="s">
        <v>11</v>
      </c>
      <c r="BA3" s="12"/>
      <c r="BB3" s="12"/>
      <c r="BC3" s="12"/>
      <c r="BD3" s="12"/>
      <c r="BE3" s="12"/>
      <c r="BF3" s="12"/>
    </row>
    <row r="4" spans="1:58" x14ac:dyDescent="0.15">
      <c r="A4" s="12"/>
      <c r="B4" s="19"/>
      <c r="C4" s="19"/>
      <c r="D4" s="1" t="s">
        <v>12</v>
      </c>
      <c r="E4" s="1" t="s">
        <v>13</v>
      </c>
      <c r="F4" s="1" t="s">
        <v>14</v>
      </c>
      <c r="G4" s="1" t="s">
        <v>15</v>
      </c>
      <c r="H4" s="1" t="s">
        <v>105</v>
      </c>
      <c r="I4" s="1" t="s">
        <v>17</v>
      </c>
      <c r="J4" s="1" t="s">
        <v>106</v>
      </c>
      <c r="K4" s="1" t="s">
        <v>18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105</v>
      </c>
      <c r="Q4" s="1" t="s">
        <v>17</v>
      </c>
      <c r="R4" s="1" t="s">
        <v>106</v>
      </c>
      <c r="S4" s="1" t="s">
        <v>18</v>
      </c>
      <c r="T4" s="1" t="s">
        <v>12</v>
      </c>
      <c r="U4" s="1" t="s">
        <v>13</v>
      </c>
      <c r="V4" s="1" t="s">
        <v>14</v>
      </c>
      <c r="W4" s="1" t="s">
        <v>15</v>
      </c>
      <c r="X4" s="1" t="s">
        <v>105</v>
      </c>
      <c r="Y4" s="1" t="s">
        <v>17</v>
      </c>
      <c r="Z4" s="1" t="s">
        <v>106</v>
      </c>
      <c r="AA4" s="1" t="s">
        <v>18</v>
      </c>
      <c r="AB4" s="1" t="s">
        <v>12</v>
      </c>
      <c r="AC4" s="1" t="s">
        <v>13</v>
      </c>
      <c r="AD4" s="1" t="s">
        <v>14</v>
      </c>
      <c r="AE4" s="1" t="s">
        <v>15</v>
      </c>
      <c r="AF4" s="1" t="s">
        <v>105</v>
      </c>
      <c r="AG4" s="1" t="s">
        <v>17</v>
      </c>
      <c r="AH4" s="1" t="s">
        <v>106</v>
      </c>
      <c r="AI4" s="1" t="s">
        <v>18</v>
      </c>
      <c r="AJ4" s="1" t="s">
        <v>12</v>
      </c>
      <c r="AK4" s="1" t="s">
        <v>13</v>
      </c>
      <c r="AL4" s="1" t="s">
        <v>14</v>
      </c>
      <c r="AM4" s="1" t="s">
        <v>15</v>
      </c>
      <c r="AN4" s="1" t="s">
        <v>105</v>
      </c>
      <c r="AO4" s="1" t="s">
        <v>17</v>
      </c>
      <c r="AP4" s="1" t="s">
        <v>106</v>
      </c>
      <c r="AQ4" s="1" t="s">
        <v>18</v>
      </c>
      <c r="AR4" s="1" t="s">
        <v>12</v>
      </c>
      <c r="AS4" s="1" t="s">
        <v>13</v>
      </c>
      <c r="AT4" s="1" t="s">
        <v>14</v>
      </c>
      <c r="AU4" s="1" t="s">
        <v>15</v>
      </c>
      <c r="AV4" s="1" t="s">
        <v>105</v>
      </c>
      <c r="AW4" s="1" t="s">
        <v>17</v>
      </c>
      <c r="AX4" s="1" t="s">
        <v>106</v>
      </c>
      <c r="AY4" s="1" t="s">
        <v>18</v>
      </c>
      <c r="AZ4" s="1" t="s">
        <v>12</v>
      </c>
      <c r="BA4" s="1" t="s">
        <v>13</v>
      </c>
      <c r="BB4" s="1" t="s">
        <v>14</v>
      </c>
      <c r="BC4" s="1" t="s">
        <v>15</v>
      </c>
      <c r="BD4" s="1" t="s">
        <v>16</v>
      </c>
      <c r="BE4" s="1" t="s">
        <v>17</v>
      </c>
      <c r="BF4" s="1" t="s">
        <v>18</v>
      </c>
    </row>
    <row r="5" spans="1:58" hidden="1" x14ac:dyDescent="0.15">
      <c r="A5" s="2">
        <v>1</v>
      </c>
      <c r="B5" s="2" t="s">
        <v>19</v>
      </c>
      <c r="C5" s="2" t="s">
        <v>20</v>
      </c>
      <c r="D5" s="3">
        <v>1683</v>
      </c>
      <c r="E5" s="3">
        <v>437</v>
      </c>
      <c r="F5" s="3">
        <f>VLOOKUP(C5,'[1]5月25-5月31日汇总'!$C:$D,2,0)</f>
        <v>0</v>
      </c>
      <c r="G5" s="3">
        <f>VLOOKUP(C5,'[1]6月汇总'!$C:$D,2,0)</f>
        <v>100</v>
      </c>
      <c r="H5" s="3">
        <f>SUM(E5:G5)</f>
        <v>537</v>
      </c>
      <c r="I5" s="5">
        <f>VLOOKUP(C5,[2]两年对比终版!$A:$C,3,0)</f>
        <v>714</v>
      </c>
      <c r="J5" s="5"/>
      <c r="K5" s="6">
        <f>H5/D5</f>
        <v>0.31907308377896615</v>
      </c>
      <c r="L5" s="3">
        <v>35680</v>
      </c>
      <c r="M5" s="3">
        <v>8416.64</v>
      </c>
      <c r="N5" s="3">
        <f>VLOOKUP(C5,'[1]5月25-5月31日汇总'!$C:$E,3,0)</f>
        <v>0</v>
      </c>
      <c r="O5" s="3">
        <f>VLOOKUP(C5,'[1]6月汇总'!$C:$E,3,0)</f>
        <v>1800</v>
      </c>
      <c r="P5" s="3">
        <f>SUM(M5:O5)</f>
        <v>10216.64</v>
      </c>
      <c r="Q5" s="5">
        <f>VLOOKUP(C5,[2]两年对比终版!$A:$F,6,0)</f>
        <v>12662.34146</v>
      </c>
      <c r="R5" s="5"/>
      <c r="S5" s="6">
        <f>P5/L5</f>
        <v>0.28634080717488786</v>
      </c>
      <c r="T5" s="3">
        <v>750</v>
      </c>
      <c r="U5" s="3">
        <v>309</v>
      </c>
      <c r="V5" s="3">
        <f>VLOOKUP(C5,'[1]5月25-5月31日汇总'!$C:$F,4,0)</f>
        <v>0</v>
      </c>
      <c r="W5" s="3">
        <f>VLOOKUP(C5,'[1]6月汇总'!$C:$F,4,0)</f>
        <v>19</v>
      </c>
      <c r="X5" s="3">
        <f>SUM(U5:W5)</f>
        <v>328</v>
      </c>
      <c r="Y5" s="5">
        <f>VLOOKUP(C5,[2]两年对比终版!$A:$N,14,0)</f>
        <v>371</v>
      </c>
      <c r="Z5" s="5"/>
      <c r="AA5" s="6">
        <f>X5/T5</f>
        <v>0.43733333333333335</v>
      </c>
      <c r="AB5" s="3">
        <v>14500</v>
      </c>
      <c r="AC5" s="3">
        <v>5700.21</v>
      </c>
      <c r="AD5" s="3">
        <f>VLOOKUP(C5,'[1]5月25-5月31日汇总'!$C:$G,5,0)</f>
        <v>0</v>
      </c>
      <c r="AE5" s="3">
        <f>VLOOKUP(C5,'[1]6月汇总'!$C:$G,5,0)</f>
        <v>350</v>
      </c>
      <c r="AF5" s="3">
        <f>SUM(AC5:AE5)</f>
        <v>6050.21</v>
      </c>
      <c r="AG5" s="5">
        <f>VLOOKUP(C5,[2]两年对比终版!$A:$Q,17,0)</f>
        <v>6707.2803599999997</v>
      </c>
      <c r="AH5" s="5"/>
      <c r="AI5" s="6">
        <f>AF5/AB5</f>
        <v>0.41725586206896553</v>
      </c>
      <c r="AJ5" s="3">
        <v>750</v>
      </c>
      <c r="AK5" s="3">
        <v>259</v>
      </c>
      <c r="AL5" s="3">
        <f>VLOOKUP(C5,'[1]5月25-5月31日汇总'!$C:$H,6,0)</f>
        <v>0</v>
      </c>
      <c r="AM5" s="3">
        <f>VLOOKUP(C5,'[1]6月汇总'!$C:$I,6,0)</f>
        <v>182</v>
      </c>
      <c r="AN5" s="3">
        <f>SUM(AK5:AM5)</f>
        <v>441</v>
      </c>
      <c r="AO5" s="5">
        <f>VLOOKUP(C5,[2]两年对比终版!$A:$T,20,0)</f>
        <v>223</v>
      </c>
      <c r="AP5" s="5"/>
      <c r="AQ5" s="6">
        <f>AN5/AJ5</f>
        <v>0.58799999999999997</v>
      </c>
      <c r="AR5" s="3">
        <v>14500</v>
      </c>
      <c r="AS5" s="3">
        <v>5724.95</v>
      </c>
      <c r="AT5" s="3">
        <f>VLOOKUP(C5,'[1]5月25-5月31日汇总'!$C:$I,7,0)</f>
        <v>0</v>
      </c>
      <c r="AU5" s="3">
        <f>VLOOKUP(C5,'[1]6月汇总'!$C:$I,7,0)</f>
        <v>2937</v>
      </c>
      <c r="AV5" s="3">
        <f>SUM(AS5:AU5)</f>
        <v>8661.9500000000007</v>
      </c>
      <c r="AW5" s="5">
        <f>VLOOKUP(C5,[2]两年对比终版!$A:$X,23,0)</f>
        <v>4120.0565999999999</v>
      </c>
      <c r="AX5" s="5"/>
      <c r="AY5" s="6">
        <f>AV5/AR5</f>
        <v>0.59737586206896554</v>
      </c>
      <c r="AZ5" s="3">
        <v>13775</v>
      </c>
      <c r="BA5" s="3">
        <v>3848.89</v>
      </c>
      <c r="BB5" s="3"/>
      <c r="BC5" s="3"/>
      <c r="BD5" s="3">
        <f>SUM(BA5:BC5)</f>
        <v>3848.89</v>
      </c>
      <c r="BE5" s="5">
        <f>VLOOKUP(C5,[2]两年对比终版!$A:$AD,30,0)</f>
        <v>5003.1689406249898</v>
      </c>
      <c r="BF5" s="6">
        <f>BD5/AZ5</f>
        <v>0.27941125226860253</v>
      </c>
    </row>
    <row r="6" spans="1:58" hidden="1" x14ac:dyDescent="0.15">
      <c r="A6" s="2">
        <v>2</v>
      </c>
      <c r="B6" s="2" t="s">
        <v>19</v>
      </c>
      <c r="C6" s="2" t="s">
        <v>21</v>
      </c>
      <c r="D6" s="3">
        <v>1683</v>
      </c>
      <c r="E6" s="3">
        <v>433</v>
      </c>
      <c r="F6" s="3">
        <f>VLOOKUP(C6,'[1]5月25-5月31日汇总'!$C:$D,2,0)</f>
        <v>0</v>
      </c>
      <c r="G6" s="3">
        <f>VLOOKUP(C6,'[1]6月汇总'!$C:$D,2,0)</f>
        <v>25</v>
      </c>
      <c r="H6" s="3">
        <f t="shared" ref="H6:H36" si="0">SUM(E6:G6)</f>
        <v>458</v>
      </c>
      <c r="I6" s="5">
        <f>VLOOKUP(C6,[2]两年对比终版!$A:$C,3,0)</f>
        <v>500</v>
      </c>
      <c r="J6" s="5"/>
      <c r="K6" s="6">
        <f t="shared" ref="K6:K36" si="1">H6/D6</f>
        <v>0.27213309566250743</v>
      </c>
      <c r="L6" s="3">
        <v>35680</v>
      </c>
      <c r="M6" s="3">
        <v>9375.82</v>
      </c>
      <c r="N6" s="3">
        <f>VLOOKUP(C6,'[1]5月25-5月31日汇总'!$C:$E,3,0)</f>
        <v>0</v>
      </c>
      <c r="O6" s="3">
        <f>VLOOKUP(C6,'[1]6月汇总'!$C:$E,3,0)</f>
        <v>450</v>
      </c>
      <c r="P6" s="3">
        <f t="shared" ref="P6:P36" si="2">SUM(M6:O6)</f>
        <v>9825.82</v>
      </c>
      <c r="Q6" s="5">
        <f>VLOOKUP(C6,[2]两年对比终版!$A:$F,6,0)</f>
        <v>9367.9865399999999</v>
      </c>
      <c r="R6" s="5"/>
      <c r="S6" s="6">
        <f t="shared" ref="S6:S36" si="3">P6/L6</f>
        <v>0.27538733183856501</v>
      </c>
      <c r="T6" s="3">
        <v>750</v>
      </c>
      <c r="U6" s="3">
        <v>304</v>
      </c>
      <c r="V6" s="3">
        <f>VLOOKUP(C6,'[1]5月25-5月31日汇总'!$C:$F,4,0)</f>
        <v>44</v>
      </c>
      <c r="W6" s="3">
        <f>VLOOKUP(C6,'[1]6月汇总'!$C:$F,4,0)</f>
        <v>36</v>
      </c>
      <c r="X6" s="3">
        <f t="shared" ref="X6:X36" si="4">SUM(U6:W6)</f>
        <v>384</v>
      </c>
      <c r="Y6" s="5">
        <f>VLOOKUP(C6,[2]两年对比终版!$A:$N,14,0)</f>
        <v>207</v>
      </c>
      <c r="Z6" s="5"/>
      <c r="AA6" s="6">
        <f t="shared" ref="AA6:AA36" si="5">X6/T6</f>
        <v>0.51200000000000001</v>
      </c>
      <c r="AB6" s="3">
        <v>14500</v>
      </c>
      <c r="AC6" s="3">
        <v>4876.1899999999996</v>
      </c>
      <c r="AD6" s="3">
        <f>VLOOKUP(C6,'[1]5月25-5月31日汇总'!$C:$G,5,0)</f>
        <v>660.1</v>
      </c>
      <c r="AE6" s="3">
        <f>VLOOKUP(C6,'[1]6月汇总'!$C:$G,5,0)</f>
        <v>550</v>
      </c>
      <c r="AF6" s="3">
        <f t="shared" ref="AF6:AF36" si="6">SUM(AC6:AE6)</f>
        <v>6086.29</v>
      </c>
      <c r="AG6" s="5">
        <f>VLOOKUP(C6,[2]两年对比终版!$A:$Q,17,0)</f>
        <v>4230.2511999999997</v>
      </c>
      <c r="AH6" s="5"/>
      <c r="AI6" s="6">
        <f t="shared" ref="AI6:AI36" si="7">AF6/AB6</f>
        <v>0.41974413793103449</v>
      </c>
      <c r="AJ6" s="3">
        <v>750</v>
      </c>
      <c r="AK6" s="3">
        <v>183</v>
      </c>
      <c r="AL6" s="3">
        <f>VLOOKUP(C6,'[1]5月25-5月31日汇总'!$C:$H,6,0)</f>
        <v>0</v>
      </c>
      <c r="AM6" s="3">
        <f>VLOOKUP(C6,'[1]6月汇总'!$C:$I,6,0)</f>
        <v>0</v>
      </c>
      <c r="AN6" s="3">
        <f t="shared" ref="AN6:AN36" si="8">SUM(AK6:AM6)</f>
        <v>183</v>
      </c>
      <c r="AO6" s="5">
        <f>VLOOKUP(C6,[2]两年对比终版!$A:$T,20,0)</f>
        <v>121</v>
      </c>
      <c r="AP6" s="5"/>
      <c r="AQ6" s="6">
        <f t="shared" ref="AQ6:AQ36" si="9">AN6/AJ6</f>
        <v>0.24399999999999999</v>
      </c>
      <c r="AR6" s="3">
        <v>14500</v>
      </c>
      <c r="AS6" s="3">
        <v>3464.95</v>
      </c>
      <c r="AT6" s="3">
        <f>VLOOKUP(C6,'[1]5月25-5月31日汇总'!$C:$I,7,0)</f>
        <v>0</v>
      </c>
      <c r="AU6" s="3">
        <f>VLOOKUP(C6,'[1]6月汇总'!$C:$I,7,0)</f>
        <v>0</v>
      </c>
      <c r="AV6" s="3">
        <f t="shared" ref="AV6:AV36" si="10">SUM(AS6:AU6)</f>
        <v>3464.95</v>
      </c>
      <c r="AW6" s="5">
        <f>VLOOKUP(C6,[2]两年对比终版!$A:$X,23,0)</f>
        <v>2814.2512000000002</v>
      </c>
      <c r="AX6" s="5"/>
      <c r="AY6" s="6">
        <f t="shared" ref="AY6:AY36" si="11">AV6/AR6</f>
        <v>0.23896206896551722</v>
      </c>
      <c r="AZ6" s="3">
        <v>13775</v>
      </c>
      <c r="BA6" s="3">
        <v>2098.04</v>
      </c>
      <c r="BB6" s="3"/>
      <c r="BC6" s="3"/>
      <c r="BD6" s="3">
        <f t="shared" ref="BD6:BD36" si="12">SUM(BA6:BC6)</f>
        <v>2098.04</v>
      </c>
      <c r="BE6" s="5">
        <f>VLOOKUP(C6,[2]两年对比终版!$A:$AD,30,0)</f>
        <v>3283.8379</v>
      </c>
      <c r="BF6" s="6">
        <f t="shared" ref="BF6:BF36" si="13">BD6/AZ6</f>
        <v>0.15230780399274046</v>
      </c>
    </row>
    <row r="7" spans="1:58" hidden="1" x14ac:dyDescent="0.15">
      <c r="A7" s="2">
        <v>3</v>
      </c>
      <c r="B7" s="2" t="s">
        <v>19</v>
      </c>
      <c r="C7" s="2" t="s">
        <v>22</v>
      </c>
      <c r="D7" s="3">
        <v>400</v>
      </c>
      <c r="E7" s="3">
        <v>210</v>
      </c>
      <c r="F7" s="3">
        <f>VLOOKUP(C7,'[1]5月25-5月31日汇总'!$C:$D,2,0)</f>
        <v>0</v>
      </c>
      <c r="G7" s="3">
        <f>VLOOKUP(C7,'[1]6月汇总'!$C:$D,2,0)</f>
        <v>31</v>
      </c>
      <c r="H7" s="3">
        <f t="shared" si="0"/>
        <v>241</v>
      </c>
      <c r="I7" s="5">
        <f>VLOOKUP(C7,[2]两年对比终版!$A:$C,3,0)</f>
        <v>446</v>
      </c>
      <c r="J7" s="5"/>
      <c r="K7" s="6">
        <f t="shared" si="1"/>
        <v>0.60250000000000004</v>
      </c>
      <c r="L7" s="3">
        <v>6544</v>
      </c>
      <c r="M7" s="3">
        <v>3909.41</v>
      </c>
      <c r="N7" s="3">
        <f>VLOOKUP(C7,'[1]5月25-5月31日汇总'!$C:$E,3,0)</f>
        <v>0</v>
      </c>
      <c r="O7" s="3">
        <f>VLOOKUP(C7,'[1]6月汇总'!$C:$E,3,0)</f>
        <v>364</v>
      </c>
      <c r="P7" s="3">
        <f t="shared" si="2"/>
        <v>4273.41</v>
      </c>
      <c r="Q7" s="5">
        <f>VLOOKUP(C7,[2]两年对比终版!$A:$F,6,0)</f>
        <v>6485.9782999999998</v>
      </c>
      <c r="R7" s="5"/>
      <c r="S7" s="6">
        <f t="shared" si="3"/>
        <v>0.65302720048899754</v>
      </c>
      <c r="T7" s="3">
        <v>160</v>
      </c>
      <c r="U7" s="3">
        <v>98</v>
      </c>
      <c r="V7" s="3">
        <f>VLOOKUP(C7,'[1]5月25-5月31日汇总'!$C:$F,4,0)</f>
        <v>0</v>
      </c>
      <c r="W7" s="3">
        <f>VLOOKUP(C7,'[1]6月汇总'!$C:$F,4,0)</f>
        <v>10</v>
      </c>
      <c r="X7" s="3">
        <f t="shared" si="4"/>
        <v>108</v>
      </c>
      <c r="Y7" s="5">
        <f>VLOOKUP(C7,[2]两年对比终版!$A:$N,14,0)</f>
        <v>126</v>
      </c>
      <c r="Z7" s="5"/>
      <c r="AA7" s="6">
        <f t="shared" si="5"/>
        <v>0.67500000000000004</v>
      </c>
      <c r="AB7" s="3">
        <v>2657</v>
      </c>
      <c r="AC7" s="3">
        <v>1280.19</v>
      </c>
      <c r="AD7" s="3">
        <f>VLOOKUP(C7,'[1]5月25-5月31日汇总'!$C:$G,5,0)</f>
        <v>0</v>
      </c>
      <c r="AE7" s="3">
        <f>VLOOKUP(C7,'[1]6月汇总'!$C:$G,5,0)</f>
        <v>180</v>
      </c>
      <c r="AF7" s="3">
        <f t="shared" si="6"/>
        <v>1460.19</v>
      </c>
      <c r="AG7" s="5">
        <f>VLOOKUP(C7,[2]两年对比终版!$A:$Q,17,0)</f>
        <v>1887.3783000000001</v>
      </c>
      <c r="AH7" s="5"/>
      <c r="AI7" s="6">
        <f t="shared" si="7"/>
        <v>0.54956341738803161</v>
      </c>
      <c r="AJ7" s="3">
        <v>160</v>
      </c>
      <c r="AK7" s="3">
        <v>58</v>
      </c>
      <c r="AL7" s="3">
        <f>VLOOKUP(C7,'[1]5月25-5月31日汇总'!$C:$H,6,0)</f>
        <v>4</v>
      </c>
      <c r="AM7" s="3">
        <f>VLOOKUP(C7,'[1]6月汇总'!$C:$I,6,0)</f>
        <v>27</v>
      </c>
      <c r="AN7" s="3">
        <f t="shared" si="8"/>
        <v>89</v>
      </c>
      <c r="AO7" s="5">
        <f>VLOOKUP(C7,[2]两年对比终版!$A:$T,20,0)</f>
        <v>125</v>
      </c>
      <c r="AP7" s="5"/>
      <c r="AQ7" s="6">
        <f t="shared" si="9"/>
        <v>0.55625000000000002</v>
      </c>
      <c r="AR7" s="3">
        <v>2657</v>
      </c>
      <c r="AS7" s="3">
        <v>712.73</v>
      </c>
      <c r="AT7" s="3">
        <f>VLOOKUP(C7,'[1]5月25-5月31日汇总'!$C:$I,7,0)</f>
        <v>72</v>
      </c>
      <c r="AU7" s="3">
        <f>VLOOKUP(C7,'[1]6月汇总'!$C:$I,7,0)</f>
        <v>374</v>
      </c>
      <c r="AV7" s="3">
        <f t="shared" si="10"/>
        <v>1158.73</v>
      </c>
      <c r="AW7" s="5">
        <f>VLOOKUP(C7,[2]两年对比终版!$A:$X,23,0)</f>
        <v>1964.9377999999999</v>
      </c>
      <c r="AX7" s="5"/>
      <c r="AY7" s="6">
        <f t="shared" si="11"/>
        <v>0.43610462928114413</v>
      </c>
      <c r="AZ7" s="3">
        <v>2524</v>
      </c>
      <c r="BA7" s="3">
        <v>761.99400000000003</v>
      </c>
      <c r="BB7" s="3"/>
      <c r="BC7" s="3"/>
      <c r="BD7" s="3">
        <f t="shared" si="12"/>
        <v>761.99400000000003</v>
      </c>
      <c r="BE7" s="5">
        <f>VLOOKUP(C7,[2]两年对比终版!$A:$AD,30,0)</f>
        <v>2215.7523999999999</v>
      </c>
      <c r="BF7" s="6">
        <f t="shared" si="13"/>
        <v>0.30189936608557844</v>
      </c>
    </row>
    <row r="8" spans="1:58" hidden="1" x14ac:dyDescent="0.15">
      <c r="A8" s="2">
        <v>4</v>
      </c>
      <c r="B8" s="2" t="s">
        <v>19</v>
      </c>
      <c r="C8" s="2" t="s">
        <v>23</v>
      </c>
      <c r="D8" s="3">
        <v>270</v>
      </c>
      <c r="E8" s="3">
        <v>43</v>
      </c>
      <c r="F8" s="3">
        <f>VLOOKUP(C8,'[1]5月25-5月31日汇总'!$C:$D,2,0)</f>
        <v>0</v>
      </c>
      <c r="G8" s="3">
        <f>VLOOKUP(C8,'[1]6月汇总'!$C:$D,2,0)</f>
        <v>33</v>
      </c>
      <c r="H8" s="3">
        <f t="shared" si="0"/>
        <v>76</v>
      </c>
      <c r="I8" s="5">
        <f>VLOOKUP(C8,[2]两年对比终版!$A:$C,3,0)</f>
        <v>0</v>
      </c>
      <c r="J8" s="5"/>
      <c r="K8" s="6">
        <f t="shared" si="1"/>
        <v>0.2814814814814815</v>
      </c>
      <c r="L8" s="3">
        <v>4428</v>
      </c>
      <c r="M8" s="3">
        <v>904.52</v>
      </c>
      <c r="N8" s="3">
        <f>VLOOKUP(C8,'[1]5月25-5月31日汇总'!$C:$E,3,0)</f>
        <v>0</v>
      </c>
      <c r="O8" s="3">
        <f>VLOOKUP(C8,'[1]6月汇总'!$C:$E,3,0)</f>
        <v>354</v>
      </c>
      <c r="P8" s="3">
        <f t="shared" si="2"/>
        <v>1258.52</v>
      </c>
      <c r="Q8" s="5">
        <f>VLOOKUP(C8,[2]两年对比终版!$A:$F,6,0)</f>
        <v>0</v>
      </c>
      <c r="R8" s="5"/>
      <c r="S8" s="6">
        <f t="shared" si="3"/>
        <v>0.28421860885275518</v>
      </c>
      <c r="T8" s="3">
        <v>120</v>
      </c>
      <c r="U8" s="3">
        <v>14</v>
      </c>
      <c r="V8" s="3">
        <f>VLOOKUP(C8,'[1]5月25-5月31日汇总'!$C:$F,4,0)</f>
        <v>1</v>
      </c>
      <c r="W8" s="3">
        <f>VLOOKUP(C8,'[1]6月汇总'!$C:$F,4,0)</f>
        <v>13</v>
      </c>
      <c r="X8" s="3">
        <f t="shared" si="4"/>
        <v>28</v>
      </c>
      <c r="Y8" s="5">
        <f>VLOOKUP(C8,[2]两年对比终版!$A:$N,14,0)</f>
        <v>0</v>
      </c>
      <c r="Z8" s="5"/>
      <c r="AA8" s="6">
        <f t="shared" si="5"/>
        <v>0.23333333333333334</v>
      </c>
      <c r="AB8" s="3">
        <v>1800</v>
      </c>
      <c r="AC8" s="3">
        <v>139.5</v>
      </c>
      <c r="AD8" s="3">
        <f>VLOOKUP(C8,'[1]5月25-5月31日汇总'!$C:$G,5,0)</f>
        <v>8</v>
      </c>
      <c r="AE8" s="3">
        <f>VLOOKUP(C8,'[1]6月汇总'!$C:$G,5,0)</f>
        <v>176</v>
      </c>
      <c r="AF8" s="3">
        <f t="shared" si="6"/>
        <v>323.5</v>
      </c>
      <c r="AG8" s="5">
        <f>VLOOKUP(C8,[2]两年对比终版!$A:$Q,17,0)</f>
        <v>0</v>
      </c>
      <c r="AH8" s="5"/>
      <c r="AI8" s="6">
        <f t="shared" si="7"/>
        <v>0.17972222222222223</v>
      </c>
      <c r="AJ8" s="3">
        <v>120</v>
      </c>
      <c r="AK8" s="3">
        <v>10</v>
      </c>
      <c r="AL8" s="3">
        <f>VLOOKUP(C8,'[1]5月25-5月31日汇总'!$C:$H,6,0)</f>
        <v>0</v>
      </c>
      <c r="AM8" s="3">
        <f>VLOOKUP(C8,'[1]6月汇总'!$C:$I,6,0)</f>
        <v>4</v>
      </c>
      <c r="AN8" s="3">
        <f t="shared" si="8"/>
        <v>14</v>
      </c>
      <c r="AO8" s="5">
        <f>VLOOKUP(C8,[2]两年对比终版!$A:$T,20,0)</f>
        <v>0</v>
      </c>
      <c r="AP8" s="5"/>
      <c r="AQ8" s="6">
        <f t="shared" si="9"/>
        <v>0.11666666666666667</v>
      </c>
      <c r="AR8" s="3">
        <v>1800</v>
      </c>
      <c r="AS8" s="3">
        <v>102.4</v>
      </c>
      <c r="AT8" s="3">
        <f>VLOOKUP(C8,'[1]5月25-5月31日汇总'!$C:$I,7,0)</f>
        <v>0</v>
      </c>
      <c r="AU8" s="3">
        <f>VLOOKUP(C8,'[1]6月汇总'!$C:$I,7,0)</f>
        <v>37</v>
      </c>
      <c r="AV8" s="3">
        <f t="shared" si="10"/>
        <v>139.4</v>
      </c>
      <c r="AW8" s="5">
        <f>VLOOKUP(C8,[2]两年对比终版!$A:$X,23,0)</f>
        <v>0</v>
      </c>
      <c r="AX8" s="5"/>
      <c r="AY8" s="6">
        <f t="shared" si="11"/>
        <v>7.7444444444444441E-2</v>
      </c>
      <c r="AZ8" s="3">
        <v>1710</v>
      </c>
      <c r="BA8" s="3">
        <v>116.49299999999999</v>
      </c>
      <c r="BB8" s="3"/>
      <c r="BC8" s="3"/>
      <c r="BD8" s="3">
        <f t="shared" si="12"/>
        <v>116.49299999999999</v>
      </c>
      <c r="BE8" s="5">
        <f>VLOOKUP(C8,[2]两年对比终版!$A:$AD,30,0)</f>
        <v>0</v>
      </c>
      <c r="BF8" s="6">
        <f t="shared" si="13"/>
        <v>6.8124561403508768E-2</v>
      </c>
    </row>
    <row r="9" spans="1:58" hidden="1" x14ac:dyDescent="0.15">
      <c r="A9" s="2">
        <v>5</v>
      </c>
      <c r="B9" s="2" t="s">
        <v>19</v>
      </c>
      <c r="C9" s="2" t="s">
        <v>24</v>
      </c>
      <c r="D9" s="3">
        <v>270</v>
      </c>
      <c r="E9" s="3">
        <v>181</v>
      </c>
      <c r="F9" s="3">
        <f>VLOOKUP(C9,'[1]5月25-5月31日汇总'!$C:$D,2,0)</f>
        <v>13</v>
      </c>
      <c r="G9" s="3">
        <f>VLOOKUP(C9,'[1]6月汇总'!$C:$D,2,0)</f>
        <v>12</v>
      </c>
      <c r="H9" s="3">
        <f t="shared" si="0"/>
        <v>206</v>
      </c>
      <c r="I9" s="5">
        <f>VLOOKUP(C9,[2]两年对比终版!$A:$C,3,0)</f>
        <v>0</v>
      </c>
      <c r="J9" s="5"/>
      <c r="K9" s="6">
        <f t="shared" si="1"/>
        <v>0.76296296296296295</v>
      </c>
      <c r="L9" s="3">
        <v>4428</v>
      </c>
      <c r="M9" s="3">
        <v>2347.34</v>
      </c>
      <c r="N9" s="3">
        <f>VLOOKUP(C9,'[1]5月25-5月31日汇总'!$C:$E,3,0)</f>
        <v>343.6</v>
      </c>
      <c r="O9" s="3">
        <f>VLOOKUP(C9,'[1]6月汇总'!$C:$E,3,0)</f>
        <v>134.1</v>
      </c>
      <c r="P9" s="3">
        <f t="shared" si="2"/>
        <v>2825.04</v>
      </c>
      <c r="Q9" s="5">
        <f>VLOOKUP(C9,[2]两年对比终版!$A:$F,6,0)</f>
        <v>0</v>
      </c>
      <c r="R9" s="5"/>
      <c r="S9" s="6">
        <f t="shared" si="3"/>
        <v>0.63799457994579944</v>
      </c>
      <c r="T9" s="3">
        <v>120</v>
      </c>
      <c r="U9" s="3">
        <v>47</v>
      </c>
      <c r="V9" s="3">
        <f>VLOOKUP(C9,'[1]5月25-5月31日汇总'!$C:$F,4,0)</f>
        <v>4</v>
      </c>
      <c r="W9" s="3">
        <f>VLOOKUP(C9,'[1]6月汇总'!$C:$F,4,0)</f>
        <v>20</v>
      </c>
      <c r="X9" s="3">
        <f t="shared" si="4"/>
        <v>71</v>
      </c>
      <c r="Y9" s="5">
        <f>VLOOKUP(C9,[2]两年对比终版!$A:$N,14,0)</f>
        <v>0</v>
      </c>
      <c r="Z9" s="5"/>
      <c r="AA9" s="6">
        <f t="shared" si="5"/>
        <v>0.59166666666666667</v>
      </c>
      <c r="AB9" s="3">
        <v>1800</v>
      </c>
      <c r="AC9" s="3">
        <v>500.36599999999999</v>
      </c>
      <c r="AD9" s="3">
        <f>VLOOKUP(C9,'[1]5月25-5月31日汇总'!$C:$G,5,0)</f>
        <v>43.4</v>
      </c>
      <c r="AE9" s="3">
        <f>VLOOKUP(C9,'[1]6月汇总'!$C:$G,5,0)</f>
        <v>169.3</v>
      </c>
      <c r="AF9" s="3">
        <f t="shared" si="6"/>
        <v>713.06600000000003</v>
      </c>
      <c r="AG9" s="5">
        <f>VLOOKUP(C9,[2]两年对比终版!$A:$Q,17,0)</f>
        <v>0</v>
      </c>
      <c r="AH9" s="5"/>
      <c r="AI9" s="6">
        <f t="shared" si="7"/>
        <v>0.39614777777777782</v>
      </c>
      <c r="AJ9" s="3">
        <v>120</v>
      </c>
      <c r="AK9" s="3">
        <v>43</v>
      </c>
      <c r="AL9" s="3">
        <f>VLOOKUP(C9,'[1]5月25-5月31日汇总'!$C:$H,6,0)</f>
        <v>0</v>
      </c>
      <c r="AM9" s="3">
        <f>VLOOKUP(C9,'[1]6月汇总'!$C:$I,6,0)</f>
        <v>4</v>
      </c>
      <c r="AN9" s="3">
        <f t="shared" si="8"/>
        <v>47</v>
      </c>
      <c r="AO9" s="5">
        <f>VLOOKUP(C9,[2]两年对比终版!$A:$T,20,0)</f>
        <v>0</v>
      </c>
      <c r="AP9" s="5"/>
      <c r="AQ9" s="6">
        <f t="shared" si="9"/>
        <v>0.39166666666666666</v>
      </c>
      <c r="AR9" s="3">
        <v>1800</v>
      </c>
      <c r="AS9" s="3">
        <v>456.92599999999999</v>
      </c>
      <c r="AT9" s="3">
        <f>VLOOKUP(C9,'[1]5月25-5月31日汇总'!$C:$I,7,0)</f>
        <v>0</v>
      </c>
      <c r="AU9" s="3">
        <f>VLOOKUP(C9,'[1]6月汇总'!$C:$I,7,0)</f>
        <v>43.4</v>
      </c>
      <c r="AV9" s="3">
        <f t="shared" si="10"/>
        <v>500.32599999999996</v>
      </c>
      <c r="AW9" s="5">
        <f>VLOOKUP(C9,[2]两年对比终版!$A:$X,23,0)</f>
        <v>0</v>
      </c>
      <c r="AX9" s="5"/>
      <c r="AY9" s="6">
        <f t="shared" si="11"/>
        <v>0.27795888888888887</v>
      </c>
      <c r="AZ9" s="3">
        <v>1710</v>
      </c>
      <c r="BA9" s="3">
        <v>419.48599999999999</v>
      </c>
      <c r="BB9" s="3"/>
      <c r="BC9" s="3"/>
      <c r="BD9" s="3">
        <f t="shared" si="12"/>
        <v>419.48599999999999</v>
      </c>
      <c r="BE9" s="5">
        <f>VLOOKUP(C9,[2]两年对比终版!$A:$AD,30,0)</f>
        <v>0</v>
      </c>
      <c r="BF9" s="6">
        <f t="shared" si="13"/>
        <v>0.24531345029239765</v>
      </c>
    </row>
    <row r="10" spans="1:58" hidden="1" x14ac:dyDescent="0.15">
      <c r="A10" s="2">
        <v>6</v>
      </c>
      <c r="B10" s="2" t="s">
        <v>25</v>
      </c>
      <c r="C10" s="2" t="s">
        <v>26</v>
      </c>
      <c r="D10" s="3">
        <v>245</v>
      </c>
      <c r="E10" s="3">
        <v>30</v>
      </c>
      <c r="F10" s="3">
        <f>VLOOKUP(C10,'[1]5月25-5月31日汇总'!$C:$D,2,0)</f>
        <v>28</v>
      </c>
      <c r="G10" s="3">
        <f>VLOOKUP(C10,'[1]6月汇总'!$C:$D,2,0)</f>
        <v>70</v>
      </c>
      <c r="H10" s="3">
        <f t="shared" si="0"/>
        <v>128</v>
      </c>
      <c r="I10" s="5">
        <f>VLOOKUP(C10,[2]两年对比终版!$A:$C,3,0)</f>
        <v>79</v>
      </c>
      <c r="J10" s="5"/>
      <c r="K10" s="6">
        <f t="shared" si="1"/>
        <v>0.52244897959183678</v>
      </c>
      <c r="L10" s="3">
        <v>4200</v>
      </c>
      <c r="M10" s="3">
        <v>329.38600000000002</v>
      </c>
      <c r="N10" s="3">
        <f>VLOOKUP(C10,'[1]5月25-5月31日汇总'!$C:$E,3,0)</f>
        <v>472.51</v>
      </c>
      <c r="O10" s="3">
        <f>VLOOKUP(C10,'[1]6月汇总'!$C:$E,3,0)</f>
        <v>900</v>
      </c>
      <c r="P10" s="3">
        <f t="shared" si="2"/>
        <v>1701.896</v>
      </c>
      <c r="Q10" s="5">
        <f>VLOOKUP(C10,[2]两年对比终版!$A:$F,6,0)</f>
        <v>1044.9259999999999</v>
      </c>
      <c r="R10" s="5"/>
      <c r="S10" s="6">
        <f t="shared" si="3"/>
        <v>0.40521333333333331</v>
      </c>
      <c r="T10" s="3">
        <v>100</v>
      </c>
      <c r="U10" s="3">
        <v>17</v>
      </c>
      <c r="V10" s="3">
        <f>VLOOKUP(C10,'[1]5月25-5月31日汇总'!$C:$F,4,0)</f>
        <v>4</v>
      </c>
      <c r="W10" s="3">
        <f>VLOOKUP(C10,'[1]6月汇总'!$C:$F,4,0)</f>
        <v>25</v>
      </c>
      <c r="X10" s="3">
        <f t="shared" si="4"/>
        <v>46</v>
      </c>
      <c r="Y10" s="5">
        <f>VLOOKUP(C10,[2]两年对比终版!$A:$N,14,0)</f>
        <v>30</v>
      </c>
      <c r="Z10" s="5"/>
      <c r="AA10" s="6">
        <f t="shared" si="5"/>
        <v>0.46</v>
      </c>
      <c r="AB10" s="3">
        <v>1778</v>
      </c>
      <c r="AC10" s="3">
        <v>174.65600000000001</v>
      </c>
      <c r="AD10" s="3">
        <f>VLOOKUP(C10,'[1]5月25-5月31日汇总'!$C:$G,5,0)</f>
        <v>74.599999999999994</v>
      </c>
      <c r="AE10" s="3">
        <f>VLOOKUP(C10,'[1]6月汇总'!$C:$G,5,0)</f>
        <v>300</v>
      </c>
      <c r="AF10" s="3">
        <f t="shared" si="6"/>
        <v>549.25599999999997</v>
      </c>
      <c r="AG10" s="5">
        <f>VLOOKUP(C10,[2]两年对比终版!$A:$Q,17,0)</f>
        <v>487.23200000000003</v>
      </c>
      <c r="AH10" s="5"/>
      <c r="AI10" s="6">
        <f t="shared" si="7"/>
        <v>0.30891788526434194</v>
      </c>
      <c r="AJ10" s="3">
        <v>100</v>
      </c>
      <c r="AK10" s="3">
        <v>12</v>
      </c>
      <c r="AL10" s="3">
        <f>VLOOKUP(C10,'[1]5月25-5月31日汇总'!$C:$H,6,0)</f>
        <v>3</v>
      </c>
      <c r="AM10" s="3">
        <f>VLOOKUP(C10,'[1]6月汇总'!$C:$I,6,0)</f>
        <v>31</v>
      </c>
      <c r="AN10" s="3">
        <f t="shared" si="8"/>
        <v>46</v>
      </c>
      <c r="AO10" s="5">
        <f>VLOOKUP(C10,[2]两年对比终版!$A:$T,20,0)</f>
        <v>36</v>
      </c>
      <c r="AP10" s="5"/>
      <c r="AQ10" s="6">
        <f t="shared" si="9"/>
        <v>0.46</v>
      </c>
      <c r="AR10" s="3">
        <v>1778</v>
      </c>
      <c r="AS10" s="3">
        <v>148.86000000000001</v>
      </c>
      <c r="AT10" s="3">
        <f>VLOOKUP(C10,'[1]5月25-5月31日汇总'!$C:$I,7,0)</f>
        <v>31.17</v>
      </c>
      <c r="AU10" s="3">
        <f>VLOOKUP(C10,'[1]6月汇总'!$C:$I,7,0)</f>
        <v>292.71660000000003</v>
      </c>
      <c r="AV10" s="3">
        <f t="shared" si="10"/>
        <v>472.74660000000006</v>
      </c>
      <c r="AW10" s="5">
        <f>VLOOKUP(C10,[2]两年对比终版!$A:$X,23,0)</f>
        <v>515.13199999999995</v>
      </c>
      <c r="AX10" s="5"/>
      <c r="AY10" s="6">
        <f t="shared" si="11"/>
        <v>0.26588672665916763</v>
      </c>
      <c r="AZ10" s="3">
        <v>1689</v>
      </c>
      <c r="BA10" s="3">
        <v>145.87</v>
      </c>
      <c r="BB10" s="3"/>
      <c r="BC10" s="3"/>
      <c r="BD10" s="3">
        <f t="shared" si="12"/>
        <v>145.87</v>
      </c>
      <c r="BE10" s="5">
        <f>VLOOKUP(C10,[2]两年对比终版!$A:$AD,30,0)</f>
        <v>545.38060764770501</v>
      </c>
      <c r="BF10" s="6">
        <f t="shared" si="13"/>
        <v>8.6364712847838962E-2</v>
      </c>
    </row>
    <row r="11" spans="1:58" hidden="1" x14ac:dyDescent="0.15">
      <c r="A11" s="2">
        <v>7</v>
      </c>
      <c r="B11" s="2" t="s">
        <v>25</v>
      </c>
      <c r="C11" s="2" t="s">
        <v>27</v>
      </c>
      <c r="D11" s="3">
        <v>489</v>
      </c>
      <c r="E11" s="3">
        <v>64</v>
      </c>
      <c r="F11" s="3">
        <f>VLOOKUP(C11,'[1]5月25-5月31日汇总'!$C:$D,2,0)</f>
        <v>10</v>
      </c>
      <c r="G11" s="3">
        <f>VLOOKUP(C11,'[1]6月汇总'!$C:$D,2,0)</f>
        <v>80</v>
      </c>
      <c r="H11" s="3">
        <f t="shared" si="0"/>
        <v>154</v>
      </c>
      <c r="I11" s="5">
        <f>VLOOKUP(C11,[2]两年对比终版!$A:$C,3,0)</f>
        <v>415</v>
      </c>
      <c r="J11" s="5"/>
      <c r="K11" s="6">
        <f t="shared" si="1"/>
        <v>0.31492842535787319</v>
      </c>
      <c r="L11" s="3">
        <v>7525.12</v>
      </c>
      <c r="M11" s="3">
        <v>1474.22</v>
      </c>
      <c r="N11" s="3">
        <f>VLOOKUP(C11,'[1]5月25-5月31日汇总'!$C:$E,3,0)</f>
        <v>130</v>
      </c>
      <c r="O11" s="3">
        <f>VLOOKUP(C11,'[1]6月汇总'!$C:$E,3,0)</f>
        <v>1600</v>
      </c>
      <c r="P11" s="3">
        <f t="shared" si="2"/>
        <v>3204.2200000000003</v>
      </c>
      <c r="Q11" s="5">
        <f>VLOOKUP(C11,[2]两年对比终版!$A:$F,6,0)</f>
        <v>7818.7330000000002</v>
      </c>
      <c r="R11" s="5"/>
      <c r="S11" s="6">
        <f t="shared" si="3"/>
        <v>0.4258031765606396</v>
      </c>
      <c r="T11" s="3">
        <v>210</v>
      </c>
      <c r="U11" s="3">
        <v>28</v>
      </c>
      <c r="V11" s="3">
        <f>VLOOKUP(C11,'[1]5月25-5月31日汇总'!$C:$F,4,0)</f>
        <v>0</v>
      </c>
      <c r="W11" s="3">
        <f>VLOOKUP(C11,'[1]6月汇总'!$C:$F,4,0)</f>
        <v>23</v>
      </c>
      <c r="X11" s="3">
        <f t="shared" si="4"/>
        <v>51</v>
      </c>
      <c r="Y11" s="5">
        <f>VLOOKUP(C11,[2]两年对比终版!$A:$N,14,0)</f>
        <v>156</v>
      </c>
      <c r="Z11" s="5"/>
      <c r="AA11" s="6">
        <f t="shared" si="5"/>
        <v>0.24285714285714285</v>
      </c>
      <c r="AB11" s="3">
        <v>2972</v>
      </c>
      <c r="AC11" s="3">
        <v>328.07299999999998</v>
      </c>
      <c r="AD11" s="3">
        <f>VLOOKUP(C11,'[1]5月25-5月31日汇总'!$C:$G,5,0)</f>
        <v>0</v>
      </c>
      <c r="AE11" s="3">
        <f>VLOOKUP(C11,'[1]6月汇总'!$C:$G,5,0)</f>
        <v>370</v>
      </c>
      <c r="AF11" s="3">
        <f t="shared" si="6"/>
        <v>698.07299999999998</v>
      </c>
      <c r="AG11" s="5">
        <f>VLOOKUP(C11,[2]两年对比终版!$A:$Q,17,0)</f>
        <v>2594.4504999999999</v>
      </c>
      <c r="AH11" s="5"/>
      <c r="AI11" s="6">
        <f t="shared" si="7"/>
        <v>0.23488324360699864</v>
      </c>
      <c r="AJ11" s="3">
        <v>210</v>
      </c>
      <c r="AK11" s="3">
        <v>24</v>
      </c>
      <c r="AL11" s="3">
        <f>VLOOKUP(C11,'[1]5月25-5月31日汇总'!$C:$H,6,0)</f>
        <v>0</v>
      </c>
      <c r="AM11" s="3">
        <f>VLOOKUP(C11,'[1]6月汇总'!$C:$I,6,0)</f>
        <v>4</v>
      </c>
      <c r="AN11" s="3">
        <f t="shared" si="8"/>
        <v>28</v>
      </c>
      <c r="AO11" s="5">
        <f>VLOOKUP(C11,[2]两年对比终版!$A:$T,20,0)</f>
        <v>108</v>
      </c>
      <c r="AP11" s="5"/>
      <c r="AQ11" s="6">
        <f t="shared" si="9"/>
        <v>0.13333333333333333</v>
      </c>
      <c r="AR11" s="3">
        <v>2972</v>
      </c>
      <c r="AS11" s="3">
        <v>276.233</v>
      </c>
      <c r="AT11" s="3">
        <f>VLOOKUP(C11,'[1]5月25-5月31日汇总'!$C:$I,7,0)</f>
        <v>0</v>
      </c>
      <c r="AU11" s="3">
        <f>VLOOKUP(C11,'[1]6月汇总'!$C:$I,7,0)</f>
        <v>53</v>
      </c>
      <c r="AV11" s="3">
        <f t="shared" si="10"/>
        <v>329.233</v>
      </c>
      <c r="AW11" s="5">
        <f>VLOOKUP(C11,[2]两年对比终版!$A:$X,23,0)</f>
        <v>1970.7394999999999</v>
      </c>
      <c r="AX11" s="5"/>
      <c r="AY11" s="6">
        <f t="shared" si="11"/>
        <v>0.11077826379542396</v>
      </c>
      <c r="AZ11" s="3">
        <v>2822</v>
      </c>
      <c r="BA11" s="3">
        <v>16.713000000000001</v>
      </c>
      <c r="BB11" s="3"/>
      <c r="BC11" s="3"/>
      <c r="BD11" s="3">
        <f t="shared" si="12"/>
        <v>16.713000000000001</v>
      </c>
      <c r="BE11" s="5">
        <f>VLOOKUP(C11,[2]两年对比终版!$A:$AD,30,0)</f>
        <v>2067.2918998657201</v>
      </c>
      <c r="BF11" s="6">
        <f t="shared" si="13"/>
        <v>5.9223954642097804E-3</v>
      </c>
    </row>
    <row r="12" spans="1:58" hidden="1" x14ac:dyDescent="0.15">
      <c r="A12" s="2">
        <v>8</v>
      </c>
      <c r="B12" s="2" t="s">
        <v>28</v>
      </c>
      <c r="C12" s="2" t="s">
        <v>29</v>
      </c>
      <c r="D12" s="3">
        <v>72</v>
      </c>
      <c r="E12" s="3">
        <v>2</v>
      </c>
      <c r="F12" s="3">
        <f>VLOOKUP(C12,'[1]5月25-5月31日汇总'!$C:$D,2,0)</f>
        <v>8</v>
      </c>
      <c r="G12" s="3">
        <f>VLOOKUP(C12,'[1]6月汇总'!$C:$D,2,0)</f>
        <v>14</v>
      </c>
      <c r="H12" s="3">
        <f t="shared" si="0"/>
        <v>24</v>
      </c>
      <c r="I12" s="5">
        <f>VLOOKUP(C12,[2]两年对比终版!$A:$C,3,0)</f>
        <v>0</v>
      </c>
      <c r="J12" s="5"/>
      <c r="K12" s="6">
        <f t="shared" si="1"/>
        <v>0.33333333333333331</v>
      </c>
      <c r="L12" s="3">
        <v>1085</v>
      </c>
      <c r="M12" s="3">
        <v>22.84</v>
      </c>
      <c r="N12" s="3">
        <f>VLOOKUP(C12,'[1]5月25-5月31日汇总'!$C:$E,3,0)</f>
        <v>100</v>
      </c>
      <c r="O12" s="3">
        <f>VLOOKUP(C12,'[1]6月汇总'!$C:$E,3,0)</f>
        <v>118</v>
      </c>
      <c r="P12" s="3">
        <f t="shared" si="2"/>
        <v>240.84</v>
      </c>
      <c r="Q12" s="5">
        <f>VLOOKUP(C12,[2]两年对比终版!$A:$F,6,0)</f>
        <v>0</v>
      </c>
      <c r="R12" s="5"/>
      <c r="S12" s="6">
        <f t="shared" si="3"/>
        <v>0.22197235023041476</v>
      </c>
      <c r="T12" s="3">
        <v>30</v>
      </c>
      <c r="U12" s="3">
        <v>2</v>
      </c>
      <c r="V12" s="3">
        <f>VLOOKUP(C12,'[1]5月25-5月31日汇总'!$C:$F,4,0)</f>
        <v>0</v>
      </c>
      <c r="W12" s="3">
        <f>VLOOKUP(C12,'[1]6月汇总'!$C:$F,4,0)</f>
        <v>6</v>
      </c>
      <c r="X12" s="3">
        <f t="shared" si="4"/>
        <v>8</v>
      </c>
      <c r="Y12" s="5">
        <f>VLOOKUP(C12,[2]两年对比终版!$A:$N,14,0)</f>
        <v>0</v>
      </c>
      <c r="Z12" s="5"/>
      <c r="AA12" s="6">
        <f t="shared" si="5"/>
        <v>0.26666666666666666</v>
      </c>
      <c r="AB12" s="3">
        <v>450</v>
      </c>
      <c r="AC12" s="3">
        <v>22.84</v>
      </c>
      <c r="AD12" s="3">
        <f>VLOOKUP(C12,'[1]5月25-5月31日汇总'!$C:$G,5,0)</f>
        <v>0</v>
      </c>
      <c r="AE12" s="3">
        <f>VLOOKUP(C12,'[1]6月汇总'!$C:$G,5,0)</f>
        <v>49</v>
      </c>
      <c r="AF12" s="3">
        <f t="shared" si="6"/>
        <v>71.84</v>
      </c>
      <c r="AG12" s="5">
        <f>VLOOKUP(C12,[2]两年对比终版!$A:$Q,17,0)</f>
        <v>0</v>
      </c>
      <c r="AH12" s="5"/>
      <c r="AI12" s="6">
        <f t="shared" si="7"/>
        <v>0.15964444444444445</v>
      </c>
      <c r="AJ12" s="3">
        <v>30</v>
      </c>
      <c r="AK12" s="3">
        <v>2</v>
      </c>
      <c r="AL12" s="3">
        <f>VLOOKUP(C12,'[1]5月25-5月31日汇总'!$C:$H,6,0)</f>
        <v>0</v>
      </c>
      <c r="AM12" s="3">
        <f>VLOOKUP(C12,'[1]6月汇总'!$C:$I,6,0)</f>
        <v>6</v>
      </c>
      <c r="AN12" s="3">
        <f t="shared" si="8"/>
        <v>8</v>
      </c>
      <c r="AO12" s="5">
        <f>VLOOKUP(C12,[2]两年对比终版!$A:$T,20,0)</f>
        <v>0</v>
      </c>
      <c r="AP12" s="5"/>
      <c r="AQ12" s="6">
        <f t="shared" si="9"/>
        <v>0.26666666666666666</v>
      </c>
      <c r="AR12" s="3">
        <v>450</v>
      </c>
      <c r="AS12" s="3">
        <v>22.84</v>
      </c>
      <c r="AT12" s="3">
        <f>VLOOKUP(C12,'[1]5月25-5月31日汇总'!$C:$I,7,0)</f>
        <v>0</v>
      </c>
      <c r="AU12" s="3">
        <f>VLOOKUP(C12,'[1]6月汇总'!$C:$I,7,0)</f>
        <v>49</v>
      </c>
      <c r="AV12" s="3">
        <f t="shared" si="10"/>
        <v>71.84</v>
      </c>
      <c r="AW12" s="5">
        <f>VLOOKUP(C12,[2]两年对比终版!$A:$X,23,0)</f>
        <v>0</v>
      </c>
      <c r="AX12" s="5"/>
      <c r="AY12" s="6">
        <f t="shared" si="11"/>
        <v>0.15964444444444445</v>
      </c>
      <c r="AZ12" s="3">
        <v>428</v>
      </c>
      <c r="BA12" s="3">
        <v>22.12</v>
      </c>
      <c r="BB12" s="3"/>
      <c r="BC12" s="3"/>
      <c r="BD12" s="3">
        <f t="shared" si="12"/>
        <v>22.12</v>
      </c>
      <c r="BE12" s="5">
        <f>VLOOKUP(C12,[2]两年对比终版!$A:$AD,30,0)</f>
        <v>0</v>
      </c>
      <c r="BF12" s="6">
        <f t="shared" si="13"/>
        <v>5.1682242990654208E-2</v>
      </c>
    </row>
    <row r="13" spans="1:58" hidden="1" x14ac:dyDescent="0.15">
      <c r="A13" s="2">
        <v>9</v>
      </c>
      <c r="B13" s="2" t="s">
        <v>28</v>
      </c>
      <c r="C13" s="2" t="s">
        <v>30</v>
      </c>
      <c r="D13" s="3">
        <v>72</v>
      </c>
      <c r="E13" s="3">
        <v>0</v>
      </c>
      <c r="F13" s="3">
        <f>VLOOKUP(C13,'[1]5月25-5月31日汇总'!$C:$D,2,0)</f>
        <v>0</v>
      </c>
      <c r="G13" s="3">
        <f>VLOOKUP(C13,'[1]6月汇总'!$C:$D,2,0)</f>
        <v>0</v>
      </c>
      <c r="H13" s="3">
        <f t="shared" si="0"/>
        <v>0</v>
      </c>
      <c r="I13" s="5">
        <f>VLOOKUP(C13,[2]两年对比终版!$A:$C,3,0)</f>
        <v>0</v>
      </c>
      <c r="J13" s="5"/>
      <c r="K13" s="6">
        <f t="shared" si="1"/>
        <v>0</v>
      </c>
      <c r="L13" s="3">
        <v>1085</v>
      </c>
      <c r="M13" s="3">
        <v>0</v>
      </c>
      <c r="N13" s="3">
        <f>VLOOKUP(C13,'[1]5月25-5月31日汇总'!$C:$E,3,0)</f>
        <v>0</v>
      </c>
      <c r="O13" s="3">
        <f>VLOOKUP(C13,'[1]6月汇总'!$C:$E,3,0)</f>
        <v>0</v>
      </c>
      <c r="P13" s="3">
        <f t="shared" si="2"/>
        <v>0</v>
      </c>
      <c r="Q13" s="5">
        <f>VLOOKUP(C13,[2]两年对比终版!$A:$F,6,0)</f>
        <v>0</v>
      </c>
      <c r="R13" s="5"/>
      <c r="S13" s="6">
        <f t="shared" si="3"/>
        <v>0</v>
      </c>
      <c r="T13" s="3">
        <v>30</v>
      </c>
      <c r="U13" s="3">
        <v>0</v>
      </c>
      <c r="V13" s="3">
        <f>VLOOKUP(C13,'[1]5月25-5月31日汇总'!$C:$F,4,0)</f>
        <v>0</v>
      </c>
      <c r="W13" s="3">
        <f>VLOOKUP(C13,'[1]6月汇总'!$C:$F,4,0)</f>
        <v>0</v>
      </c>
      <c r="X13" s="3">
        <f t="shared" si="4"/>
        <v>0</v>
      </c>
      <c r="Y13" s="5">
        <f>VLOOKUP(C13,[2]两年对比终版!$A:$N,14,0)</f>
        <v>0</v>
      </c>
      <c r="Z13" s="5"/>
      <c r="AA13" s="6">
        <f t="shared" si="5"/>
        <v>0</v>
      </c>
      <c r="AB13" s="3">
        <v>450</v>
      </c>
      <c r="AC13" s="3">
        <v>0</v>
      </c>
      <c r="AD13" s="3">
        <f>VLOOKUP(C13,'[1]5月25-5月31日汇总'!$C:$G,5,0)</f>
        <v>0</v>
      </c>
      <c r="AE13" s="3">
        <f>VLOOKUP(C13,'[1]6月汇总'!$C:$G,5,0)</f>
        <v>0</v>
      </c>
      <c r="AF13" s="3">
        <f t="shared" si="6"/>
        <v>0</v>
      </c>
      <c r="AG13" s="5">
        <f>VLOOKUP(C13,[2]两年对比终版!$A:$Q,17,0)</f>
        <v>0</v>
      </c>
      <c r="AH13" s="5"/>
      <c r="AI13" s="6">
        <f t="shared" si="7"/>
        <v>0</v>
      </c>
      <c r="AJ13" s="3">
        <v>30</v>
      </c>
      <c r="AK13" s="3">
        <v>0</v>
      </c>
      <c r="AL13" s="3">
        <f>VLOOKUP(C13,'[1]5月25-5月31日汇总'!$C:$H,6,0)</f>
        <v>0</v>
      </c>
      <c r="AM13" s="3">
        <f>VLOOKUP(C13,'[1]6月汇总'!$C:$I,6,0)</f>
        <v>0</v>
      </c>
      <c r="AN13" s="3">
        <f t="shared" si="8"/>
        <v>0</v>
      </c>
      <c r="AO13" s="5">
        <f>VLOOKUP(C13,[2]两年对比终版!$A:$T,20,0)</f>
        <v>0</v>
      </c>
      <c r="AP13" s="5"/>
      <c r="AQ13" s="6">
        <f t="shared" si="9"/>
        <v>0</v>
      </c>
      <c r="AR13" s="3">
        <v>450</v>
      </c>
      <c r="AS13" s="3">
        <v>0</v>
      </c>
      <c r="AT13" s="3">
        <f>VLOOKUP(C13,'[1]5月25-5月31日汇总'!$C:$I,7,0)</f>
        <v>0</v>
      </c>
      <c r="AU13" s="3">
        <f>VLOOKUP(C13,'[1]6月汇总'!$C:$I,7,0)</f>
        <v>0</v>
      </c>
      <c r="AV13" s="3">
        <f t="shared" si="10"/>
        <v>0</v>
      </c>
      <c r="AW13" s="5">
        <f>VLOOKUP(C13,[2]两年对比终版!$A:$X,23,0)</f>
        <v>0</v>
      </c>
      <c r="AX13" s="5"/>
      <c r="AY13" s="6">
        <f t="shared" si="11"/>
        <v>0</v>
      </c>
      <c r="AZ13" s="3">
        <v>428</v>
      </c>
      <c r="BA13" s="3">
        <v>0</v>
      </c>
      <c r="BB13" s="3"/>
      <c r="BC13" s="3"/>
      <c r="BD13" s="3">
        <f t="shared" si="12"/>
        <v>0</v>
      </c>
      <c r="BE13" s="5">
        <f>VLOOKUP(C13,[2]两年对比终版!$A:$AD,30,0)</f>
        <v>0</v>
      </c>
      <c r="BF13" s="6">
        <f t="shared" si="13"/>
        <v>0</v>
      </c>
    </row>
    <row r="14" spans="1:58" hidden="1" x14ac:dyDescent="0.15">
      <c r="A14" s="2">
        <v>10</v>
      </c>
      <c r="B14" s="2" t="s">
        <v>28</v>
      </c>
      <c r="C14" s="2" t="s">
        <v>31</v>
      </c>
      <c r="D14" s="3">
        <v>72</v>
      </c>
      <c r="E14" s="3">
        <v>0</v>
      </c>
      <c r="F14" s="3">
        <f>VLOOKUP(C14,'[1]5月25-5月31日汇总'!$C:$D,2,0)</f>
        <v>0</v>
      </c>
      <c r="G14" s="3">
        <f>VLOOKUP(C14,'[1]6月汇总'!$C:$D,2,0)</f>
        <v>0</v>
      </c>
      <c r="H14" s="3">
        <f t="shared" si="0"/>
        <v>0</v>
      </c>
      <c r="I14" s="5">
        <f>VLOOKUP(C14,[2]两年对比终版!$A:$C,3,0)</f>
        <v>0</v>
      </c>
      <c r="J14" s="5"/>
      <c r="K14" s="6">
        <f t="shared" si="1"/>
        <v>0</v>
      </c>
      <c r="L14" s="3">
        <v>1085</v>
      </c>
      <c r="M14" s="3">
        <v>0</v>
      </c>
      <c r="N14" s="3">
        <f>VLOOKUP(C14,'[1]5月25-5月31日汇总'!$C:$E,3,0)</f>
        <v>0</v>
      </c>
      <c r="O14" s="3">
        <f>VLOOKUP(C14,'[1]6月汇总'!$C:$E,3,0)</f>
        <v>0</v>
      </c>
      <c r="P14" s="3">
        <f t="shared" si="2"/>
        <v>0</v>
      </c>
      <c r="Q14" s="5">
        <f>VLOOKUP(C14,[2]两年对比终版!$A:$F,6,0)</f>
        <v>0</v>
      </c>
      <c r="R14" s="5"/>
      <c r="S14" s="6">
        <f t="shared" si="3"/>
        <v>0</v>
      </c>
      <c r="T14" s="3">
        <v>30</v>
      </c>
      <c r="U14" s="3">
        <v>0</v>
      </c>
      <c r="V14" s="3">
        <f>VLOOKUP(C14,'[1]5月25-5月31日汇总'!$C:$F,4,0)</f>
        <v>0</v>
      </c>
      <c r="W14" s="3">
        <f>VLOOKUP(C14,'[1]6月汇总'!$C:$F,4,0)</f>
        <v>0</v>
      </c>
      <c r="X14" s="3">
        <f t="shared" si="4"/>
        <v>0</v>
      </c>
      <c r="Y14" s="5">
        <f>VLOOKUP(C14,[2]两年对比终版!$A:$N,14,0)</f>
        <v>0</v>
      </c>
      <c r="Z14" s="5"/>
      <c r="AA14" s="6">
        <f t="shared" si="5"/>
        <v>0</v>
      </c>
      <c r="AB14" s="3">
        <v>450</v>
      </c>
      <c r="AC14" s="3">
        <v>0</v>
      </c>
      <c r="AD14" s="3">
        <f>VLOOKUP(C14,'[1]5月25-5月31日汇总'!$C:$G,5,0)</f>
        <v>0</v>
      </c>
      <c r="AE14" s="3">
        <f>VLOOKUP(C14,'[1]6月汇总'!$C:$G,5,0)</f>
        <v>0</v>
      </c>
      <c r="AF14" s="3">
        <f t="shared" si="6"/>
        <v>0</v>
      </c>
      <c r="AG14" s="5">
        <f>VLOOKUP(C14,[2]两年对比终版!$A:$Q,17,0)</f>
        <v>0</v>
      </c>
      <c r="AH14" s="5"/>
      <c r="AI14" s="6">
        <f t="shared" si="7"/>
        <v>0</v>
      </c>
      <c r="AJ14" s="3">
        <v>30</v>
      </c>
      <c r="AK14" s="3">
        <v>0</v>
      </c>
      <c r="AL14" s="3">
        <f>VLOOKUP(C14,'[1]5月25-5月31日汇总'!$C:$H,6,0)</f>
        <v>0</v>
      </c>
      <c r="AM14" s="3">
        <f>VLOOKUP(C14,'[1]6月汇总'!$C:$I,6,0)</f>
        <v>0</v>
      </c>
      <c r="AN14" s="3">
        <f t="shared" si="8"/>
        <v>0</v>
      </c>
      <c r="AO14" s="5">
        <f>VLOOKUP(C14,[2]两年对比终版!$A:$T,20,0)</f>
        <v>0</v>
      </c>
      <c r="AP14" s="5"/>
      <c r="AQ14" s="6">
        <f t="shared" si="9"/>
        <v>0</v>
      </c>
      <c r="AR14" s="3">
        <v>450</v>
      </c>
      <c r="AS14" s="3">
        <v>0</v>
      </c>
      <c r="AT14" s="3">
        <f>VLOOKUP(C14,'[1]5月25-5月31日汇总'!$C:$I,7,0)</f>
        <v>0</v>
      </c>
      <c r="AU14" s="3">
        <f>VLOOKUP(C14,'[1]6月汇总'!$C:$I,7,0)</f>
        <v>0</v>
      </c>
      <c r="AV14" s="3">
        <f t="shared" si="10"/>
        <v>0</v>
      </c>
      <c r="AW14" s="5">
        <f>VLOOKUP(C14,[2]两年对比终版!$A:$X,23,0)</f>
        <v>0</v>
      </c>
      <c r="AX14" s="5"/>
      <c r="AY14" s="6">
        <f t="shared" si="11"/>
        <v>0</v>
      </c>
      <c r="AZ14" s="3">
        <v>428</v>
      </c>
      <c r="BA14" s="3">
        <v>0</v>
      </c>
      <c r="BB14" s="3"/>
      <c r="BC14" s="3"/>
      <c r="BD14" s="3">
        <f t="shared" si="12"/>
        <v>0</v>
      </c>
      <c r="BE14" s="5">
        <f>VLOOKUP(C14,[2]两年对比终版!$A:$AD,30,0)</f>
        <v>0</v>
      </c>
      <c r="BF14" s="6">
        <f t="shared" si="13"/>
        <v>0</v>
      </c>
    </row>
    <row r="15" spans="1:58" x14ac:dyDescent="0.15">
      <c r="A15" s="16" t="s">
        <v>32</v>
      </c>
      <c r="B15" s="12"/>
      <c r="C15" s="17"/>
      <c r="D15" s="4">
        <f t="shared" ref="D15:I15" si="14">SUM(D5:D14)</f>
        <v>5256</v>
      </c>
      <c r="E15" s="4">
        <f t="shared" si="14"/>
        <v>1400</v>
      </c>
      <c r="F15" s="4">
        <f t="shared" si="14"/>
        <v>59</v>
      </c>
      <c r="G15" s="4">
        <f t="shared" si="14"/>
        <v>365</v>
      </c>
      <c r="H15" s="4">
        <f t="shared" si="14"/>
        <v>1824</v>
      </c>
      <c r="I15" s="7">
        <f t="shared" si="14"/>
        <v>2154</v>
      </c>
      <c r="J15" s="10">
        <f>(H15-I15)/I15</f>
        <v>-0.15320334261838439</v>
      </c>
      <c r="K15" s="8">
        <f t="shared" si="1"/>
        <v>0.34703196347031962</v>
      </c>
      <c r="L15" s="4">
        <f t="shared" ref="L15:P15" si="15">SUM(L5:L14)</f>
        <v>101740.12</v>
      </c>
      <c r="M15" s="4">
        <f t="shared" si="15"/>
        <v>26780.175999999999</v>
      </c>
      <c r="N15" s="4">
        <f t="shared" si="15"/>
        <v>1046.1100000000001</v>
      </c>
      <c r="O15" s="4">
        <f t="shared" si="15"/>
        <v>5720.1</v>
      </c>
      <c r="P15" s="4">
        <f t="shared" si="15"/>
        <v>33546.385999999999</v>
      </c>
      <c r="Q15" s="7">
        <f>SUM(Q5:Q14)</f>
        <v>37379.965299999996</v>
      </c>
      <c r="R15" s="10">
        <f>(P15-Q15)/Q15</f>
        <v>-0.10255705882102566</v>
      </c>
      <c r="S15" s="8">
        <f t="shared" si="3"/>
        <v>0.32972622796198786</v>
      </c>
      <c r="T15" s="4">
        <f t="shared" ref="T15:X15" si="16">SUM(T5:T14)</f>
        <v>2300</v>
      </c>
      <c r="U15" s="4">
        <f t="shared" si="16"/>
        <v>819</v>
      </c>
      <c r="V15" s="4">
        <f t="shared" si="16"/>
        <v>53</v>
      </c>
      <c r="W15" s="4">
        <f t="shared" si="16"/>
        <v>152</v>
      </c>
      <c r="X15" s="4">
        <f t="shared" si="16"/>
        <v>1024</v>
      </c>
      <c r="Y15" s="7">
        <f>SUM(Y5:Y14)</f>
        <v>890</v>
      </c>
      <c r="Z15" s="10">
        <f>(X15-Y15)/Y15</f>
        <v>0.15056179775280898</v>
      </c>
      <c r="AA15" s="8">
        <f t="shared" si="5"/>
        <v>0.44521739130434784</v>
      </c>
      <c r="AB15" s="4">
        <f t="shared" ref="AB15:AF15" si="17">SUM(AB5:AB14)</f>
        <v>41357</v>
      </c>
      <c r="AC15" s="4">
        <f t="shared" si="17"/>
        <v>13022.025000000001</v>
      </c>
      <c r="AD15" s="4">
        <f t="shared" si="17"/>
        <v>786.1</v>
      </c>
      <c r="AE15" s="4">
        <f t="shared" si="17"/>
        <v>2144.3000000000002</v>
      </c>
      <c r="AF15" s="4">
        <f t="shared" si="17"/>
        <v>15952.425000000001</v>
      </c>
      <c r="AG15" s="7">
        <f>SUM(AG5:AG14)</f>
        <v>15906.592359999999</v>
      </c>
      <c r="AH15" s="10">
        <f>(AF15-AG15)/AG15</f>
        <v>2.8813613225706853E-3</v>
      </c>
      <c r="AI15" s="8">
        <f t="shared" si="7"/>
        <v>0.38572490751263394</v>
      </c>
      <c r="AJ15" s="4">
        <f t="shared" ref="AJ15:AN15" si="18">SUM(AJ5:AJ14)</f>
        <v>2300</v>
      </c>
      <c r="AK15" s="4">
        <f t="shared" si="18"/>
        <v>591</v>
      </c>
      <c r="AL15" s="4">
        <f t="shared" si="18"/>
        <v>7</v>
      </c>
      <c r="AM15" s="4">
        <f t="shared" si="18"/>
        <v>258</v>
      </c>
      <c r="AN15" s="4">
        <f t="shared" si="18"/>
        <v>856</v>
      </c>
      <c r="AO15" s="7">
        <f>SUM(AO5:AO14)</f>
        <v>613</v>
      </c>
      <c r="AP15" s="10">
        <f>(AN15-AO15)/AO15</f>
        <v>0.39641109298531813</v>
      </c>
      <c r="AQ15" s="8">
        <f t="shared" si="9"/>
        <v>0.37217391304347824</v>
      </c>
      <c r="AR15" s="4">
        <f t="shared" ref="AR15:AV15" si="19">SUM(AR5:AR14)</f>
        <v>41357</v>
      </c>
      <c r="AS15" s="4">
        <f t="shared" si="19"/>
        <v>10909.888999999999</v>
      </c>
      <c r="AT15" s="4">
        <f t="shared" si="19"/>
        <v>103.17</v>
      </c>
      <c r="AU15" s="4">
        <f t="shared" si="19"/>
        <v>3786.1166000000003</v>
      </c>
      <c r="AV15" s="4">
        <f t="shared" si="19"/>
        <v>14799.1756</v>
      </c>
      <c r="AW15" s="7">
        <f>SUM(AW5:AW14)</f>
        <v>11385.117099999999</v>
      </c>
      <c r="AX15" s="10">
        <f>(AV15-AW15)/AW15</f>
        <v>0.29987030172926382</v>
      </c>
      <c r="AY15" s="8">
        <f t="shared" si="11"/>
        <v>0.35783967889353679</v>
      </c>
      <c r="AZ15" s="4">
        <f t="shared" ref="AZ15:BD15" si="20">SUM(AZ5:AZ14)</f>
        <v>39289</v>
      </c>
      <c r="BA15" s="4">
        <f t="shared" si="20"/>
        <v>7429.6059999999998</v>
      </c>
      <c r="BB15" s="4">
        <f t="shared" si="20"/>
        <v>0</v>
      </c>
      <c r="BC15" s="4">
        <f t="shared" si="20"/>
        <v>0</v>
      </c>
      <c r="BD15" s="4">
        <f t="shared" si="20"/>
        <v>7429.6059999999998</v>
      </c>
      <c r="BE15" s="7">
        <f>SUM(BE5:BE14)</f>
        <v>13115.431748138415</v>
      </c>
      <c r="BF15" s="8">
        <f t="shared" si="13"/>
        <v>0.18910142788057727</v>
      </c>
    </row>
    <row r="16" spans="1:58" hidden="1" x14ac:dyDescent="0.15">
      <c r="A16" s="2">
        <v>11</v>
      </c>
      <c r="B16" s="2" t="s">
        <v>33</v>
      </c>
      <c r="C16" s="2" t="s">
        <v>34</v>
      </c>
      <c r="D16" s="3">
        <v>54</v>
      </c>
      <c r="E16" s="3">
        <v>34</v>
      </c>
      <c r="F16" s="3">
        <f>VLOOKUP(C16,'[1]5月25-5月31日汇总'!$C:$D,2,0)</f>
        <v>0</v>
      </c>
      <c r="G16" s="3">
        <f>VLOOKUP(C16,'[1]6月汇总'!$C:$D,2,0)</f>
        <v>10</v>
      </c>
      <c r="H16" s="3">
        <f t="shared" si="0"/>
        <v>44</v>
      </c>
      <c r="I16" s="5">
        <f>VLOOKUP(C16,[2]两年对比终版!$A:$C,3,0)</f>
        <v>35</v>
      </c>
      <c r="J16" s="5"/>
      <c r="K16" s="6">
        <f t="shared" si="1"/>
        <v>0.81481481481481477</v>
      </c>
      <c r="L16" s="3">
        <v>540</v>
      </c>
      <c r="M16" s="3">
        <v>293.5</v>
      </c>
      <c r="N16" s="3">
        <f>VLOOKUP(C16,'[1]5月25-5月31日汇总'!$C:$E,3,0)</f>
        <v>0</v>
      </c>
      <c r="O16" s="3">
        <f>VLOOKUP(C16,'[1]6月汇总'!$C:$E,3,0)</f>
        <v>8</v>
      </c>
      <c r="P16" s="3">
        <f t="shared" si="2"/>
        <v>301.5</v>
      </c>
      <c r="Q16" s="5">
        <f>VLOOKUP(C16,[2]两年对比终版!$A:$F,6,0)</f>
        <v>287.19</v>
      </c>
      <c r="R16" s="5"/>
      <c r="S16" s="6">
        <f t="shared" si="3"/>
        <v>0.55833333333333335</v>
      </c>
      <c r="T16" s="3">
        <v>32</v>
      </c>
      <c r="U16" s="3">
        <v>4</v>
      </c>
      <c r="V16" s="3">
        <f>VLOOKUP(C16,'[1]5月25-5月31日汇总'!$C:$F,4,0)</f>
        <v>0</v>
      </c>
      <c r="W16" s="3">
        <f>VLOOKUP(C16,'[1]6月汇总'!$C:$F,4,0)</f>
        <v>8</v>
      </c>
      <c r="X16" s="3">
        <f t="shared" si="4"/>
        <v>12</v>
      </c>
      <c r="Y16" s="5">
        <f>VLOOKUP(C16,[2]两年对比终版!$A:$N,14,0)</f>
        <v>1</v>
      </c>
      <c r="Z16" s="5"/>
      <c r="AA16" s="6">
        <f t="shared" si="5"/>
        <v>0.375</v>
      </c>
      <c r="AB16" s="3">
        <v>264.16300000000001</v>
      </c>
      <c r="AC16" s="3">
        <v>36.200000000000003</v>
      </c>
      <c r="AD16" s="3">
        <f>VLOOKUP(C16,'[1]5月25-5月31日汇总'!$C:$G,5,0)</f>
        <v>0</v>
      </c>
      <c r="AE16" s="3">
        <f>VLOOKUP(C16,'[1]6月汇总'!$C:$G,5,0)</f>
        <v>48</v>
      </c>
      <c r="AF16" s="3">
        <f t="shared" si="6"/>
        <v>84.2</v>
      </c>
      <c r="AG16" s="5">
        <f>VLOOKUP(C16,[2]两年对比终版!$A:$Q,17,0)</f>
        <v>7.6</v>
      </c>
      <c r="AH16" s="5"/>
      <c r="AI16" s="6">
        <f t="shared" si="7"/>
        <v>0.31874259453443515</v>
      </c>
      <c r="AJ16" s="3">
        <v>32</v>
      </c>
      <c r="AK16" s="3">
        <v>6</v>
      </c>
      <c r="AL16" s="3">
        <f>VLOOKUP(C16,'[1]5月25-5月31日汇总'!$C:$H,6,0)</f>
        <v>0</v>
      </c>
      <c r="AM16" s="3">
        <f>VLOOKUP(C16,'[1]6月汇总'!$C:$I,6,0)</f>
        <v>6</v>
      </c>
      <c r="AN16" s="3">
        <f t="shared" si="8"/>
        <v>12</v>
      </c>
      <c r="AO16" s="5">
        <f>VLOOKUP(C16,[2]两年对比终版!$A:$T,20,0)</f>
        <v>1</v>
      </c>
      <c r="AP16" s="5"/>
      <c r="AQ16" s="6">
        <f t="shared" si="9"/>
        <v>0.375</v>
      </c>
      <c r="AR16" s="3">
        <v>264.16300000000001</v>
      </c>
      <c r="AS16" s="3">
        <v>55.487099999999998</v>
      </c>
      <c r="AT16" s="3">
        <f>VLOOKUP(C16,'[1]5月25-5月31日汇总'!$C:$I,7,0)</f>
        <v>0</v>
      </c>
      <c r="AU16" s="3">
        <f>VLOOKUP(C16,'[1]6月汇总'!$C:$I,7,0)</f>
        <v>60</v>
      </c>
      <c r="AV16" s="3">
        <f t="shared" si="10"/>
        <v>115.4871</v>
      </c>
      <c r="AW16" s="5">
        <f>VLOOKUP(C16,[2]两年对比终版!$A:$X,23,0)</f>
        <v>7.6</v>
      </c>
      <c r="AX16" s="5"/>
      <c r="AY16" s="6">
        <f t="shared" si="11"/>
        <v>0.43718121008619676</v>
      </c>
      <c r="AZ16" s="3">
        <v>251</v>
      </c>
      <c r="BA16" s="3">
        <v>4.8</v>
      </c>
      <c r="BB16" s="3"/>
      <c r="BC16" s="3"/>
      <c r="BD16" s="3">
        <f t="shared" si="12"/>
        <v>4.8</v>
      </c>
      <c r="BE16" s="5">
        <f>VLOOKUP(C16,[2]两年对比终版!$A:$AD,30,0)</f>
        <v>7.6</v>
      </c>
      <c r="BF16" s="6">
        <f t="shared" si="13"/>
        <v>1.9123505976095617E-2</v>
      </c>
    </row>
    <row r="17" spans="1:58" hidden="1" x14ac:dyDescent="0.15">
      <c r="A17" s="2">
        <v>12</v>
      </c>
      <c r="B17" s="2" t="s">
        <v>19</v>
      </c>
      <c r="C17" s="2" t="s">
        <v>35</v>
      </c>
      <c r="D17" s="3">
        <v>277</v>
      </c>
      <c r="E17" s="3">
        <v>67</v>
      </c>
      <c r="F17" s="3">
        <f>VLOOKUP(C17,'[1]5月25-5月31日汇总'!$C:$D,2,0)</f>
        <v>20</v>
      </c>
      <c r="G17" s="3">
        <f>VLOOKUP(C17,'[1]6月汇总'!$C:$D,2,0)</f>
        <v>47</v>
      </c>
      <c r="H17" s="3">
        <f t="shared" si="0"/>
        <v>134</v>
      </c>
      <c r="I17" s="5">
        <f>VLOOKUP(C17,[2]两年对比终版!$A:$C,3,0)</f>
        <v>196</v>
      </c>
      <c r="J17" s="5"/>
      <c r="K17" s="6">
        <f t="shared" si="1"/>
        <v>0.48375451263537905</v>
      </c>
      <c r="L17" s="3">
        <v>6100</v>
      </c>
      <c r="M17" s="3">
        <v>1640.06</v>
      </c>
      <c r="N17" s="3">
        <f>VLOOKUP(C17,'[1]5月25-5月31日汇总'!$C:$E,3,0)</f>
        <v>1000</v>
      </c>
      <c r="O17" s="3">
        <f>VLOOKUP(C17,'[1]6月汇总'!$C:$E,3,0)</f>
        <v>1000</v>
      </c>
      <c r="P17" s="3">
        <f t="shared" si="2"/>
        <v>3640.06</v>
      </c>
      <c r="Q17" s="5">
        <f>VLOOKUP(C17,[2]两年对比终版!$A:$F,6,0)</f>
        <v>4135.4804710000099</v>
      </c>
      <c r="R17" s="5"/>
      <c r="S17" s="6">
        <f t="shared" si="3"/>
        <v>0.59673114754098355</v>
      </c>
      <c r="T17" s="3">
        <v>101</v>
      </c>
      <c r="U17" s="3">
        <v>4</v>
      </c>
      <c r="V17" s="3">
        <f>VLOOKUP(C17,'[1]5月25-5月31日汇总'!$C:$F,4,0)</f>
        <v>0</v>
      </c>
      <c r="W17" s="3">
        <f>VLOOKUP(C17,'[1]6月汇总'!$C:$F,4,0)</f>
        <v>0</v>
      </c>
      <c r="X17" s="3">
        <f t="shared" si="4"/>
        <v>4</v>
      </c>
      <c r="Y17" s="5">
        <f>VLOOKUP(C17,[2]两年对比终版!$A:$N,14,0)</f>
        <v>77</v>
      </c>
      <c r="Z17" s="5"/>
      <c r="AA17" s="6">
        <f t="shared" si="5"/>
        <v>3.9603960396039604E-2</v>
      </c>
      <c r="AB17" s="3">
        <v>2153</v>
      </c>
      <c r="AC17" s="3">
        <v>74.276200000000003</v>
      </c>
      <c r="AD17" s="3">
        <f>VLOOKUP(C17,'[1]5月25-5月31日汇总'!$C:$G,5,0)</f>
        <v>0</v>
      </c>
      <c r="AE17" s="3">
        <f>VLOOKUP(C17,'[1]6月汇总'!$C:$G,5,0)</f>
        <v>0</v>
      </c>
      <c r="AF17" s="3">
        <f t="shared" si="6"/>
        <v>74.276200000000003</v>
      </c>
      <c r="AG17" s="5">
        <f>VLOOKUP(C17,[2]两年对比终版!$A:$Q,17,0)</f>
        <v>1734.6186439999999</v>
      </c>
      <c r="AH17" s="5"/>
      <c r="AI17" s="6">
        <f t="shared" si="7"/>
        <v>3.4498931723176966E-2</v>
      </c>
      <c r="AJ17" s="3">
        <v>101</v>
      </c>
      <c r="AK17" s="3">
        <v>28</v>
      </c>
      <c r="AL17" s="3">
        <f>VLOOKUP(C17,'[1]5月25-5月31日汇总'!$C:$H,6,0)</f>
        <v>4</v>
      </c>
      <c r="AM17" s="3">
        <f>VLOOKUP(C17,'[1]6月汇总'!$C:$I,6,0)</f>
        <v>9</v>
      </c>
      <c r="AN17" s="3">
        <f t="shared" si="8"/>
        <v>41</v>
      </c>
      <c r="AO17" s="5">
        <f>VLOOKUP(C17,[2]两年对比终版!$A:$T,20,0)</f>
        <v>25</v>
      </c>
      <c r="AP17" s="5"/>
      <c r="AQ17" s="6">
        <f t="shared" si="9"/>
        <v>0.40594059405940597</v>
      </c>
      <c r="AR17" s="3">
        <v>2153</v>
      </c>
      <c r="AS17" s="3">
        <v>530.43799999999999</v>
      </c>
      <c r="AT17" s="3">
        <f>VLOOKUP(C17,'[1]5月25-5月31日汇总'!$C:$I,7,0)</f>
        <v>80</v>
      </c>
      <c r="AU17" s="3">
        <f>VLOOKUP(C17,'[1]6月汇总'!$C:$I,7,0)</f>
        <v>180</v>
      </c>
      <c r="AV17" s="3">
        <f t="shared" si="10"/>
        <v>790.43799999999999</v>
      </c>
      <c r="AW17" s="5">
        <f>VLOOKUP(C17,[2]两年对比终版!$A:$X,23,0)</f>
        <v>619.60194100000001</v>
      </c>
      <c r="AX17" s="5"/>
      <c r="AY17" s="6">
        <f t="shared" si="11"/>
        <v>0.36713330236878772</v>
      </c>
      <c r="AZ17" s="3">
        <v>2045</v>
      </c>
      <c r="BA17" s="3">
        <v>478.41</v>
      </c>
      <c r="BB17" s="3"/>
      <c r="BC17" s="3"/>
      <c r="BD17" s="3">
        <f t="shared" si="12"/>
        <v>478.41</v>
      </c>
      <c r="BE17" s="5">
        <f>VLOOKUP(C17,[2]两年对比终版!$A:$AD,30,0)</f>
        <v>1226.4742136985001</v>
      </c>
      <c r="BF17" s="6">
        <f t="shared" si="13"/>
        <v>0.23394132029339854</v>
      </c>
    </row>
    <row r="18" spans="1:58" hidden="1" x14ac:dyDescent="0.15">
      <c r="A18" s="2">
        <v>13</v>
      </c>
      <c r="B18" s="2" t="s">
        <v>19</v>
      </c>
      <c r="C18" s="2" t="s">
        <v>36</v>
      </c>
      <c r="D18" s="3">
        <v>566</v>
      </c>
      <c r="E18" s="3">
        <v>243</v>
      </c>
      <c r="F18" s="3">
        <f>VLOOKUP(C18,'[1]5月25-5月31日汇总'!$C:$D,2,0)</f>
        <v>75</v>
      </c>
      <c r="G18" s="3">
        <f>VLOOKUP(C18,'[1]6月汇总'!$C:$D,2,0)</f>
        <v>49</v>
      </c>
      <c r="H18" s="3">
        <f t="shared" si="0"/>
        <v>367</v>
      </c>
      <c r="I18" s="5">
        <f>VLOOKUP(C18,[2]两年对比终版!$A:$C,3,0)</f>
        <v>260</v>
      </c>
      <c r="J18" s="5"/>
      <c r="K18" s="6">
        <f t="shared" si="1"/>
        <v>0.64840989399293292</v>
      </c>
      <c r="L18" s="3">
        <v>20400</v>
      </c>
      <c r="M18" s="3">
        <v>5502.59</v>
      </c>
      <c r="N18" s="3">
        <f>VLOOKUP(C18,'[1]5月25-5月31日汇总'!$C:$E,3,0)</f>
        <v>2600</v>
      </c>
      <c r="O18" s="3">
        <f>VLOOKUP(C18,'[1]6月汇总'!$C:$E,3,0)</f>
        <v>1010</v>
      </c>
      <c r="P18" s="3">
        <f t="shared" si="2"/>
        <v>9112.59</v>
      </c>
      <c r="Q18" s="5">
        <f>VLOOKUP(C18,[2]两年对比终版!$A:$F,6,0)</f>
        <v>5925.60401799999</v>
      </c>
      <c r="R18" s="5"/>
      <c r="S18" s="6">
        <f t="shared" si="3"/>
        <v>0.44669558823529415</v>
      </c>
      <c r="T18" s="3">
        <v>260</v>
      </c>
      <c r="U18" s="3">
        <v>140</v>
      </c>
      <c r="V18" s="3">
        <f>VLOOKUP(C18,'[1]5月25-5月31日汇总'!$C:$F,4,0)</f>
        <v>0</v>
      </c>
      <c r="W18" s="3">
        <f>VLOOKUP(C18,'[1]6月汇总'!$C:$F,4,0)</f>
        <v>10</v>
      </c>
      <c r="X18" s="3">
        <f t="shared" si="4"/>
        <v>150</v>
      </c>
      <c r="Y18" s="5">
        <f>VLOOKUP(C18,[2]两年对比终版!$A:$N,14,0)</f>
        <v>106</v>
      </c>
      <c r="Z18" s="5"/>
      <c r="AA18" s="6">
        <f t="shared" si="5"/>
        <v>0.57692307692307687</v>
      </c>
      <c r="AB18" s="3">
        <v>8500</v>
      </c>
      <c r="AC18" s="3">
        <v>6203.39</v>
      </c>
      <c r="AD18" s="3">
        <f>VLOOKUP(C18,'[1]5月25-5月31日汇总'!$C:$G,5,0)</f>
        <v>0</v>
      </c>
      <c r="AE18" s="3">
        <f>VLOOKUP(C18,'[1]6月汇总'!$C:$G,5,0)</f>
        <v>400</v>
      </c>
      <c r="AF18" s="3">
        <f t="shared" si="6"/>
        <v>6603.39</v>
      </c>
      <c r="AG18" s="5">
        <f>VLOOKUP(C18,[2]两年对比终版!$A:$Q,17,0)</f>
        <v>3966.071629</v>
      </c>
      <c r="AH18" s="5"/>
      <c r="AI18" s="6">
        <f t="shared" si="7"/>
        <v>0.77686941176470592</v>
      </c>
      <c r="AJ18" s="3">
        <v>260</v>
      </c>
      <c r="AK18" s="3">
        <v>155</v>
      </c>
      <c r="AL18" s="3">
        <f>VLOOKUP(C18,'[1]5月25-5月31日汇总'!$C:$H,6,0)</f>
        <v>3</v>
      </c>
      <c r="AM18" s="3">
        <f>VLOOKUP(C18,'[1]6月汇总'!$C:$I,6,0)</f>
        <v>13</v>
      </c>
      <c r="AN18" s="3">
        <f t="shared" si="8"/>
        <v>171</v>
      </c>
      <c r="AO18" s="5">
        <f>VLOOKUP(C18,[2]两年对比终版!$A:$T,20,0)</f>
        <v>10</v>
      </c>
      <c r="AP18" s="5"/>
      <c r="AQ18" s="6">
        <f t="shared" si="9"/>
        <v>0.65769230769230769</v>
      </c>
      <c r="AR18" s="3">
        <v>8500</v>
      </c>
      <c r="AS18" s="3">
        <v>6707.44</v>
      </c>
      <c r="AT18" s="3">
        <f>VLOOKUP(C18,'[1]5月25-5月31日汇总'!$C:$I,7,0)</f>
        <v>100</v>
      </c>
      <c r="AU18" s="3">
        <f>VLOOKUP(C18,'[1]6月汇总'!$C:$I,7,0)</f>
        <v>470</v>
      </c>
      <c r="AV18" s="3">
        <f t="shared" si="10"/>
        <v>7277.44</v>
      </c>
      <c r="AW18" s="5">
        <f>VLOOKUP(C18,[2]两年对比终版!$A:$X,23,0)</f>
        <v>374.14792599999998</v>
      </c>
      <c r="AX18" s="5"/>
      <c r="AY18" s="6">
        <f t="shared" si="11"/>
        <v>0.85616941176470585</v>
      </c>
      <c r="AZ18" s="3">
        <v>8075</v>
      </c>
      <c r="BA18" s="3">
        <v>23.422599999999999</v>
      </c>
      <c r="BB18" s="3"/>
      <c r="BC18" s="3"/>
      <c r="BD18" s="3">
        <f t="shared" si="12"/>
        <v>23.422599999999999</v>
      </c>
      <c r="BE18" s="5">
        <f>VLOOKUP(C18,[2]两年对比终版!$A:$AD,30,0)</f>
        <v>15.197813281249999</v>
      </c>
      <c r="BF18" s="6">
        <f t="shared" si="13"/>
        <v>2.9006315789473682E-3</v>
      </c>
    </row>
    <row r="19" spans="1:58" hidden="1" x14ac:dyDescent="0.15">
      <c r="A19" s="2">
        <v>14</v>
      </c>
      <c r="B19" s="2" t="s">
        <v>33</v>
      </c>
      <c r="C19" s="2" t="s">
        <v>37</v>
      </c>
      <c r="D19" s="3">
        <v>90</v>
      </c>
      <c r="E19" s="3">
        <v>25</v>
      </c>
      <c r="F19" s="3">
        <f>VLOOKUP(C19,'[1]5月25-5月31日汇总'!$C:$D,2,0)</f>
        <v>3</v>
      </c>
      <c r="G19" s="3">
        <f>VLOOKUP(C19,'[1]6月汇总'!$C:$D,2,0)</f>
        <v>10</v>
      </c>
      <c r="H19" s="3">
        <f t="shared" si="0"/>
        <v>38</v>
      </c>
      <c r="I19" s="5">
        <f>VLOOKUP(C19,[2]两年对比终版!$A:$C,3,0)</f>
        <v>52</v>
      </c>
      <c r="J19" s="5"/>
      <c r="K19" s="6">
        <f t="shared" si="1"/>
        <v>0.42222222222222222</v>
      </c>
      <c r="L19" s="3">
        <v>840</v>
      </c>
      <c r="M19" s="3">
        <v>336.43900000000002</v>
      </c>
      <c r="N19" s="3">
        <f>VLOOKUP(C19,'[1]5月25-5月31日汇总'!$C:$E,3,0)</f>
        <v>24</v>
      </c>
      <c r="O19" s="3">
        <f>VLOOKUP(C19,'[1]6月汇总'!$C:$E,3,0)</f>
        <v>80</v>
      </c>
      <c r="P19" s="3">
        <f t="shared" si="2"/>
        <v>440.43900000000002</v>
      </c>
      <c r="Q19" s="5">
        <f>VLOOKUP(C19,[2]两年对比终版!$A:$F,6,0)</f>
        <v>517.46812299999999</v>
      </c>
      <c r="R19" s="5"/>
      <c r="S19" s="6">
        <f t="shared" si="3"/>
        <v>0.52433214285714291</v>
      </c>
      <c r="T19" s="3">
        <v>25</v>
      </c>
      <c r="U19" s="3">
        <v>5</v>
      </c>
      <c r="V19" s="3">
        <f>VLOOKUP(C19,'[1]5月25-5月31日汇总'!$C:$F,4,0)</f>
        <v>1</v>
      </c>
      <c r="W19" s="3">
        <f>VLOOKUP(C19,'[1]6月汇总'!$C:$F,4,0)</f>
        <v>2</v>
      </c>
      <c r="X19" s="3">
        <f t="shared" si="4"/>
        <v>8</v>
      </c>
      <c r="Y19" s="5">
        <f>VLOOKUP(C19,[2]两年对比终版!$A:$N,14,0)</f>
        <v>26</v>
      </c>
      <c r="Z19" s="5"/>
      <c r="AA19" s="6">
        <f t="shared" si="5"/>
        <v>0.32</v>
      </c>
      <c r="AB19" s="3">
        <v>200</v>
      </c>
      <c r="AC19" s="3">
        <v>58.990299999999998</v>
      </c>
      <c r="AD19" s="3">
        <f>VLOOKUP(C19,'[1]5月25-5月31日汇总'!$C:$G,5,0)</f>
        <v>15.54</v>
      </c>
      <c r="AE19" s="3">
        <f>VLOOKUP(C19,'[1]6月汇总'!$C:$G,5,0)</f>
        <v>18.34</v>
      </c>
      <c r="AF19" s="3">
        <f t="shared" si="6"/>
        <v>92.8703</v>
      </c>
      <c r="AG19" s="5">
        <f>VLOOKUP(C19,[2]两年对比终版!$A:$Q,17,0)</f>
        <v>239.82782900000001</v>
      </c>
      <c r="AH19" s="5"/>
      <c r="AI19" s="6">
        <f t="shared" si="7"/>
        <v>0.46435150000000003</v>
      </c>
      <c r="AJ19" s="3">
        <v>25</v>
      </c>
      <c r="AK19" s="3">
        <v>5</v>
      </c>
      <c r="AL19" s="3">
        <f>VLOOKUP(C19,'[1]5月25-5月31日汇总'!$C:$H,6,0)</f>
        <v>0</v>
      </c>
      <c r="AM19" s="3">
        <f>VLOOKUP(C19,'[1]6月汇总'!$C:$I,6,0)</f>
        <v>3</v>
      </c>
      <c r="AN19" s="3">
        <f t="shared" si="8"/>
        <v>8</v>
      </c>
      <c r="AO19" s="5">
        <f>VLOOKUP(C19,[2]两年对比终版!$A:$T,20,0)</f>
        <v>25</v>
      </c>
      <c r="AP19" s="5"/>
      <c r="AQ19" s="6">
        <f t="shared" si="9"/>
        <v>0.32</v>
      </c>
      <c r="AR19" s="3">
        <v>200</v>
      </c>
      <c r="AS19" s="3">
        <v>56.312100000000001</v>
      </c>
      <c r="AT19" s="3">
        <f>VLOOKUP(C19,'[1]5月25-5月31日汇总'!$C:$I,7,0)</f>
        <v>0</v>
      </c>
      <c r="AU19" s="3">
        <f>VLOOKUP(C19,'[1]6月汇总'!$C:$I,7,0)</f>
        <v>37.729999999999997</v>
      </c>
      <c r="AV19" s="3">
        <f t="shared" si="10"/>
        <v>94.042100000000005</v>
      </c>
      <c r="AW19" s="5">
        <f>VLOOKUP(C19,[2]两年对比终版!$A:$X,23,0)</f>
        <v>233.58912900000001</v>
      </c>
      <c r="AX19" s="5"/>
      <c r="AY19" s="6">
        <f t="shared" si="11"/>
        <v>0.47021050000000003</v>
      </c>
      <c r="AZ19" s="3">
        <v>190</v>
      </c>
      <c r="BA19" s="3">
        <v>22.531500000000001</v>
      </c>
      <c r="BB19" s="3"/>
      <c r="BC19" s="3"/>
      <c r="BD19" s="3">
        <f t="shared" si="12"/>
        <v>22.531500000000001</v>
      </c>
      <c r="BE19" s="5">
        <f>VLOOKUP(C19,[2]两年对比终版!$A:$AD,30,0)</f>
        <v>283.50055184783901</v>
      </c>
      <c r="BF19" s="6">
        <f t="shared" si="13"/>
        <v>0.11858684210526317</v>
      </c>
    </row>
    <row r="20" spans="1:58" hidden="1" x14ac:dyDescent="0.15">
      <c r="A20" s="2">
        <v>15</v>
      </c>
      <c r="B20" s="2" t="s">
        <v>33</v>
      </c>
      <c r="C20" s="2" t="s">
        <v>38</v>
      </c>
      <c r="D20" s="3">
        <v>136</v>
      </c>
      <c r="E20" s="3">
        <v>49</v>
      </c>
      <c r="F20" s="3">
        <f>VLOOKUP(C20,'[1]5月25-5月31日汇总'!$C:$D,2,0)</f>
        <v>2</v>
      </c>
      <c r="G20" s="3">
        <f>VLOOKUP(C20,'[1]6月汇总'!$C:$D,2,0)</f>
        <v>20</v>
      </c>
      <c r="H20" s="3">
        <f t="shared" si="0"/>
        <v>71</v>
      </c>
      <c r="I20" s="5">
        <f>VLOOKUP(C20,[2]两年对比终版!$A:$C,3,0)</f>
        <v>0</v>
      </c>
      <c r="J20" s="5"/>
      <c r="K20" s="6">
        <f t="shared" si="1"/>
        <v>0.5220588235294118</v>
      </c>
      <c r="L20" s="3">
        <v>1200</v>
      </c>
      <c r="M20" s="3">
        <v>429.24</v>
      </c>
      <c r="N20" s="3">
        <f>VLOOKUP(C20,'[1]5月25-5月31日汇总'!$C:$E,3,0)</f>
        <v>13</v>
      </c>
      <c r="O20" s="3">
        <f>VLOOKUP(C20,'[1]6月汇总'!$C:$E,3,0)</f>
        <v>160</v>
      </c>
      <c r="P20" s="3">
        <f t="shared" si="2"/>
        <v>602.24</v>
      </c>
      <c r="Q20" s="5">
        <f>VLOOKUP(C20,[2]两年对比终版!$A:$F,6,0)</f>
        <v>0</v>
      </c>
      <c r="R20" s="5"/>
      <c r="S20" s="6">
        <f t="shared" si="3"/>
        <v>0.50186666666666668</v>
      </c>
      <c r="T20" s="3">
        <v>36</v>
      </c>
      <c r="U20" s="3">
        <v>12</v>
      </c>
      <c r="V20" s="3">
        <f>VLOOKUP(C20,'[1]5月25-5月31日汇总'!$C:$F,4,0)</f>
        <v>0</v>
      </c>
      <c r="W20" s="3">
        <f>VLOOKUP(C20,'[1]6月汇总'!$C:$F,4,0)</f>
        <v>10</v>
      </c>
      <c r="X20" s="3">
        <f t="shared" si="4"/>
        <v>22</v>
      </c>
      <c r="Y20" s="5">
        <f>VLOOKUP(C20,[2]两年对比终版!$A:$N,14,0)</f>
        <v>0</v>
      </c>
      <c r="Z20" s="5"/>
      <c r="AA20" s="6">
        <f t="shared" si="5"/>
        <v>0.61111111111111116</v>
      </c>
      <c r="AB20" s="3">
        <v>300</v>
      </c>
      <c r="AC20" s="3">
        <v>100.68</v>
      </c>
      <c r="AD20" s="3">
        <f>VLOOKUP(C20,'[1]5月25-5月31日汇总'!$C:$G,5,0)</f>
        <v>0</v>
      </c>
      <c r="AE20" s="3">
        <f>VLOOKUP(C20,'[1]6月汇总'!$C:$G,5,0)</f>
        <v>100</v>
      </c>
      <c r="AF20" s="3">
        <f t="shared" si="6"/>
        <v>200.68</v>
      </c>
      <c r="AG20" s="5">
        <f>VLOOKUP(C20,[2]两年对比终版!$A:$Q,17,0)</f>
        <v>0</v>
      </c>
      <c r="AH20" s="5"/>
      <c r="AI20" s="6">
        <f t="shared" si="7"/>
        <v>0.66893333333333338</v>
      </c>
      <c r="AJ20" s="3">
        <v>36</v>
      </c>
      <c r="AK20" s="3">
        <v>9</v>
      </c>
      <c r="AL20" s="3">
        <f>VLOOKUP(C20,'[1]5月25-5月31日汇总'!$C:$H,6,0)</f>
        <v>0</v>
      </c>
      <c r="AM20" s="3">
        <f>VLOOKUP(C20,'[1]6月汇总'!$C:$I,6,0)</f>
        <v>5</v>
      </c>
      <c r="AN20" s="3">
        <f t="shared" si="8"/>
        <v>14</v>
      </c>
      <c r="AO20" s="5">
        <f>VLOOKUP(C20,[2]两年对比终版!$A:$T,20,0)</f>
        <v>0</v>
      </c>
      <c r="AP20" s="5"/>
      <c r="AQ20" s="6">
        <f t="shared" si="9"/>
        <v>0.3888888888888889</v>
      </c>
      <c r="AR20" s="3">
        <v>300</v>
      </c>
      <c r="AS20" s="3">
        <v>74.13</v>
      </c>
      <c r="AT20" s="3">
        <f>VLOOKUP(C20,'[1]5月25-5月31日汇总'!$C:$I,7,0)</f>
        <v>0</v>
      </c>
      <c r="AU20" s="3">
        <f>VLOOKUP(C20,'[1]6月汇总'!$C:$I,7,0)</f>
        <v>40</v>
      </c>
      <c r="AV20" s="3">
        <f t="shared" si="10"/>
        <v>114.13</v>
      </c>
      <c r="AW20" s="5">
        <f>VLOOKUP(C20,[2]两年对比终版!$A:$X,23,0)</f>
        <v>0</v>
      </c>
      <c r="AX20" s="5"/>
      <c r="AY20" s="6">
        <f t="shared" si="11"/>
        <v>0.38043333333333335</v>
      </c>
      <c r="AZ20" s="3">
        <v>285</v>
      </c>
      <c r="BA20" s="3">
        <v>106.129</v>
      </c>
      <c r="BB20" s="3"/>
      <c r="BC20" s="3"/>
      <c r="BD20" s="3">
        <f t="shared" si="12"/>
        <v>106.129</v>
      </c>
      <c r="BE20" s="5">
        <f>VLOOKUP(C20,[2]两年对比终版!$A:$AD,30,0)</f>
        <v>0</v>
      </c>
      <c r="BF20" s="6">
        <f t="shared" si="13"/>
        <v>0.37238245614035087</v>
      </c>
    </row>
    <row r="21" spans="1:58" hidden="1" x14ac:dyDescent="0.15">
      <c r="A21" s="2">
        <v>16</v>
      </c>
      <c r="B21" s="2" t="s">
        <v>33</v>
      </c>
      <c r="C21" s="2" t="s">
        <v>39</v>
      </c>
      <c r="D21" s="3">
        <v>40</v>
      </c>
      <c r="E21" s="3">
        <v>5</v>
      </c>
      <c r="F21" s="3">
        <f>VLOOKUP(C21,'[1]5月25-5月31日汇总'!$C:$D,2,0)</f>
        <v>0</v>
      </c>
      <c r="G21" s="3">
        <f>VLOOKUP(C21,'[1]6月汇总'!$C:$D,2,0)</f>
        <v>6</v>
      </c>
      <c r="H21" s="3">
        <f t="shared" si="0"/>
        <v>11</v>
      </c>
      <c r="I21" s="5">
        <f>VLOOKUP(C21,[2]两年对比终版!$A:$C,3,0)</f>
        <v>94</v>
      </c>
      <c r="J21" s="5"/>
      <c r="K21" s="6">
        <f t="shared" si="1"/>
        <v>0.27500000000000002</v>
      </c>
      <c r="L21" s="3">
        <v>200</v>
      </c>
      <c r="M21" s="3">
        <v>40.681399999999996</v>
      </c>
      <c r="N21" s="3">
        <f>VLOOKUP(C21,'[1]5月25-5月31日汇总'!$C:$E,3,0)</f>
        <v>0</v>
      </c>
      <c r="O21" s="3">
        <f>VLOOKUP(C21,'[1]6月汇总'!$C:$E,3,0)</f>
        <v>30</v>
      </c>
      <c r="P21" s="3">
        <f t="shared" si="2"/>
        <v>70.681399999999996</v>
      </c>
      <c r="Q21" s="5">
        <f>VLOOKUP(C21,[2]两年对比终版!$A:$F,6,0)</f>
        <v>1146.336677</v>
      </c>
      <c r="R21" s="5"/>
      <c r="S21" s="6">
        <f t="shared" si="3"/>
        <v>0.35340699999999997</v>
      </c>
      <c r="T21" s="3">
        <v>36</v>
      </c>
      <c r="U21" s="3">
        <v>0</v>
      </c>
      <c r="V21" s="3">
        <f>VLOOKUP(C21,'[1]5月25-5月31日汇总'!$C:$F,4,0)</f>
        <v>0</v>
      </c>
      <c r="W21" s="3">
        <f>VLOOKUP(C21,'[1]6月汇总'!$C:$F,4,0)</f>
        <v>0</v>
      </c>
      <c r="X21" s="3">
        <f t="shared" si="4"/>
        <v>0</v>
      </c>
      <c r="Y21" s="5">
        <f>VLOOKUP(C21,[2]两年对比终版!$A:$N,14,0)</f>
        <v>0</v>
      </c>
      <c r="Z21" s="5"/>
      <c r="AA21" s="6">
        <f t="shared" si="5"/>
        <v>0</v>
      </c>
      <c r="AB21" s="3">
        <v>200</v>
      </c>
      <c r="AC21" s="3">
        <v>0</v>
      </c>
      <c r="AD21" s="3">
        <f>VLOOKUP(C21,'[1]5月25-5月31日汇总'!$C:$G,5,0)</f>
        <v>0</v>
      </c>
      <c r="AE21" s="3">
        <f>VLOOKUP(C21,'[1]6月汇总'!$C:$G,5,0)</f>
        <v>0</v>
      </c>
      <c r="AF21" s="3">
        <f t="shared" si="6"/>
        <v>0</v>
      </c>
      <c r="AG21" s="5">
        <f>VLOOKUP(C21,[2]两年对比终版!$A:$Q,17,0)</f>
        <v>0</v>
      </c>
      <c r="AH21" s="5"/>
      <c r="AI21" s="6">
        <f t="shared" si="7"/>
        <v>0</v>
      </c>
      <c r="AJ21" s="3">
        <v>36</v>
      </c>
      <c r="AK21" s="3">
        <v>0</v>
      </c>
      <c r="AL21" s="3">
        <f>VLOOKUP(C21,'[1]5月25-5月31日汇总'!$C:$H,6,0)</f>
        <v>0</v>
      </c>
      <c r="AM21" s="3">
        <f>VLOOKUP(C21,'[1]6月汇总'!$C:$I,6,0)</f>
        <v>0</v>
      </c>
      <c r="AN21" s="3">
        <f t="shared" si="8"/>
        <v>0</v>
      </c>
      <c r="AO21" s="5">
        <f>VLOOKUP(C21,[2]两年对比终版!$A:$T,20,0)</f>
        <v>0</v>
      </c>
      <c r="AP21" s="5"/>
      <c r="AQ21" s="6">
        <f t="shared" si="9"/>
        <v>0</v>
      </c>
      <c r="AR21" s="3">
        <v>200</v>
      </c>
      <c r="AS21" s="3">
        <v>0</v>
      </c>
      <c r="AT21" s="3">
        <f>VLOOKUP(C21,'[1]5月25-5月31日汇总'!$C:$I,7,0)</f>
        <v>0</v>
      </c>
      <c r="AU21" s="3">
        <f>VLOOKUP(C21,'[1]6月汇总'!$C:$I,7,0)</f>
        <v>0</v>
      </c>
      <c r="AV21" s="3">
        <f t="shared" si="10"/>
        <v>0</v>
      </c>
      <c r="AW21" s="5">
        <f>VLOOKUP(C21,[2]两年对比终版!$A:$X,23,0)</f>
        <v>0</v>
      </c>
      <c r="AX21" s="5"/>
      <c r="AY21" s="6">
        <f t="shared" si="11"/>
        <v>0</v>
      </c>
      <c r="AZ21" s="3">
        <v>190</v>
      </c>
      <c r="BA21" s="3">
        <v>0</v>
      </c>
      <c r="BB21" s="3"/>
      <c r="BC21" s="3"/>
      <c r="BD21" s="3">
        <f t="shared" si="12"/>
        <v>0</v>
      </c>
      <c r="BE21" s="5">
        <f>VLOOKUP(C21,[2]两年对比终版!$A:$AD,30,0)</f>
        <v>0</v>
      </c>
      <c r="BF21" s="6">
        <f t="shared" si="13"/>
        <v>0</v>
      </c>
    </row>
    <row r="22" spans="1:58" hidden="1" x14ac:dyDescent="0.15">
      <c r="A22" s="2">
        <v>17</v>
      </c>
      <c r="B22" s="2" t="s">
        <v>25</v>
      </c>
      <c r="C22" s="2" t="s">
        <v>40</v>
      </c>
      <c r="D22" s="3">
        <v>109</v>
      </c>
      <c r="E22" s="3">
        <v>48</v>
      </c>
      <c r="F22" s="3">
        <f>VLOOKUP(C22,'[1]5月25-5月31日汇总'!$C:$D,2,0)</f>
        <v>0</v>
      </c>
      <c r="G22" s="3">
        <f>VLOOKUP(C22,'[1]6月汇总'!$C:$D,2,0)</f>
        <v>2</v>
      </c>
      <c r="H22" s="3">
        <f t="shared" si="0"/>
        <v>50</v>
      </c>
      <c r="I22" s="5">
        <f>VLOOKUP(C22,[2]两年对比终版!$A:$C,3,0)</f>
        <v>66</v>
      </c>
      <c r="J22" s="5"/>
      <c r="K22" s="6">
        <f t="shared" si="1"/>
        <v>0.45871559633027525</v>
      </c>
      <c r="L22" s="3">
        <v>900</v>
      </c>
      <c r="M22" s="3">
        <v>788.548</v>
      </c>
      <c r="N22" s="3">
        <f>VLOOKUP(C22,'[1]5月25-5月31日汇总'!$C:$E,3,0)</f>
        <v>0</v>
      </c>
      <c r="O22" s="3">
        <f>VLOOKUP(C22,'[1]6月汇总'!$C:$E,3,0)</f>
        <v>47</v>
      </c>
      <c r="P22" s="3">
        <f t="shared" si="2"/>
        <v>835.548</v>
      </c>
      <c r="Q22" s="5">
        <f>VLOOKUP(C22,[2]两年对比终版!$A:$F,6,0)</f>
        <v>1463.75</v>
      </c>
      <c r="R22" s="5"/>
      <c r="S22" s="6">
        <f t="shared" si="3"/>
        <v>0.92838666666666669</v>
      </c>
      <c r="T22" s="3">
        <v>61</v>
      </c>
      <c r="U22" s="3">
        <v>19</v>
      </c>
      <c r="V22" s="3">
        <f>VLOOKUP(C22,'[1]5月25-5月31日汇总'!$C:$F,4,0)</f>
        <v>0</v>
      </c>
      <c r="W22" s="3">
        <f>VLOOKUP(C22,'[1]6月汇总'!$C:$F,4,0)</f>
        <v>9</v>
      </c>
      <c r="X22" s="3">
        <f t="shared" si="4"/>
        <v>28</v>
      </c>
      <c r="Y22" s="5">
        <f>VLOOKUP(C22,[2]两年对比终版!$A:$N,14,0)</f>
        <v>16</v>
      </c>
      <c r="Z22" s="5"/>
      <c r="AA22" s="6">
        <f t="shared" si="5"/>
        <v>0.45901639344262296</v>
      </c>
      <c r="AB22" s="3">
        <v>521</v>
      </c>
      <c r="AC22" s="3">
        <v>403.57</v>
      </c>
      <c r="AD22" s="3">
        <f>VLOOKUP(C22,'[1]5月25-5月31日汇总'!$C:$G,5,0)</f>
        <v>0</v>
      </c>
      <c r="AE22" s="3">
        <f>VLOOKUP(C22,'[1]6月汇总'!$C:$G,5,0)</f>
        <v>200</v>
      </c>
      <c r="AF22" s="3">
        <f t="shared" si="6"/>
        <v>603.56999999999994</v>
      </c>
      <c r="AG22" s="5">
        <f>VLOOKUP(C22,[2]两年对比终版!$A:$Q,17,0)</f>
        <v>132.08500000000001</v>
      </c>
      <c r="AH22" s="5"/>
      <c r="AI22" s="6">
        <f t="shared" si="7"/>
        <v>1.1584836852207292</v>
      </c>
      <c r="AJ22" s="3">
        <v>61</v>
      </c>
      <c r="AK22" s="3">
        <v>16</v>
      </c>
      <c r="AL22" s="3">
        <f>VLOOKUP(C22,'[1]5月25-5月31日汇总'!$C:$H,6,0)</f>
        <v>0</v>
      </c>
      <c r="AM22" s="3">
        <f>VLOOKUP(C22,'[1]6月汇总'!$C:$I,6,0)</f>
        <v>12</v>
      </c>
      <c r="AN22" s="3">
        <f t="shared" si="8"/>
        <v>28</v>
      </c>
      <c r="AO22" s="5">
        <f>VLOOKUP(C22,[2]两年对比终版!$A:$T,20,0)</f>
        <v>17</v>
      </c>
      <c r="AP22" s="5"/>
      <c r="AQ22" s="6">
        <f t="shared" si="9"/>
        <v>0.45901639344262296</v>
      </c>
      <c r="AR22" s="3">
        <v>521</v>
      </c>
      <c r="AS22" s="3">
        <v>246.33</v>
      </c>
      <c r="AT22" s="3">
        <f>VLOOKUP(C22,'[1]5月25-5月31日汇总'!$C:$I,7,0)</f>
        <v>0</v>
      </c>
      <c r="AU22" s="3">
        <f>VLOOKUP(C22,'[1]6月汇总'!$C:$I,7,0)</f>
        <v>260</v>
      </c>
      <c r="AV22" s="3">
        <f t="shared" si="10"/>
        <v>506.33000000000004</v>
      </c>
      <c r="AW22" s="5">
        <f>VLOOKUP(C22,[2]两年对比终版!$A:$X,23,0)</f>
        <v>140.47499999999999</v>
      </c>
      <c r="AX22" s="5"/>
      <c r="AY22" s="6">
        <f t="shared" si="11"/>
        <v>0.97184261036468333</v>
      </c>
      <c r="AZ22" s="3">
        <v>495</v>
      </c>
      <c r="BA22" s="3">
        <v>71.587100000000007</v>
      </c>
      <c r="BB22" s="3"/>
      <c r="BC22" s="3"/>
      <c r="BD22" s="3">
        <f t="shared" si="12"/>
        <v>71.587100000000007</v>
      </c>
      <c r="BE22" s="5">
        <f>VLOOKUP(C22,[2]两年对比终版!$A:$AD,30,0)</f>
        <v>225.573031640625</v>
      </c>
      <c r="BF22" s="6">
        <f t="shared" si="13"/>
        <v>0.14462040404040405</v>
      </c>
    </row>
    <row r="23" spans="1:58" hidden="1" x14ac:dyDescent="0.15">
      <c r="A23" s="2">
        <v>18</v>
      </c>
      <c r="B23" s="2" t="s">
        <v>33</v>
      </c>
      <c r="C23" s="2" t="s">
        <v>41</v>
      </c>
      <c r="D23" s="3">
        <v>36</v>
      </c>
      <c r="E23" s="3">
        <v>29</v>
      </c>
      <c r="F23" s="3">
        <f>VLOOKUP(C23,'[1]5月25-5月31日汇总'!$C:$D,2,0)</f>
        <v>0</v>
      </c>
      <c r="G23" s="3">
        <f>VLOOKUP(C23,'[1]6月汇总'!$C:$D,2,0)</f>
        <v>4</v>
      </c>
      <c r="H23" s="3">
        <f t="shared" si="0"/>
        <v>33</v>
      </c>
      <c r="I23" s="5">
        <f>VLOOKUP(C23,[2]两年对比终版!$A:$C,3,0)</f>
        <v>37</v>
      </c>
      <c r="J23" s="5"/>
      <c r="K23" s="6">
        <f t="shared" si="1"/>
        <v>0.91666666666666663</v>
      </c>
      <c r="L23" s="3">
        <v>630</v>
      </c>
      <c r="M23" s="3">
        <v>334.05399999999997</v>
      </c>
      <c r="N23" s="3">
        <f>VLOOKUP(C23,'[1]5月25-5月31日汇总'!$C:$E,3,0)</f>
        <v>0</v>
      </c>
      <c r="O23" s="3">
        <f>VLOOKUP(C23,'[1]6月汇总'!$C:$E,3,0)</f>
        <v>40</v>
      </c>
      <c r="P23" s="3">
        <f t="shared" si="2"/>
        <v>374.05399999999997</v>
      </c>
      <c r="Q23" s="5">
        <f>VLOOKUP(C23,[2]两年对比终版!$A:$F,6,0)</f>
        <v>543.86292400000002</v>
      </c>
      <c r="R23" s="5"/>
      <c r="S23" s="6">
        <f t="shared" si="3"/>
        <v>0.5937365079365079</v>
      </c>
      <c r="T23" s="3">
        <v>17</v>
      </c>
      <c r="U23" s="3">
        <v>6</v>
      </c>
      <c r="V23" s="3">
        <f>VLOOKUP(C23,'[1]5月25-5月31日汇总'!$C:$F,4,0)</f>
        <v>0</v>
      </c>
      <c r="W23" s="3">
        <f>VLOOKUP(C23,'[1]6月汇总'!$C:$F,4,0)</f>
        <v>2</v>
      </c>
      <c r="X23" s="3">
        <f t="shared" si="4"/>
        <v>8</v>
      </c>
      <c r="Y23" s="5">
        <f>VLOOKUP(C23,[2]两年对比终版!$A:$N,14,0)</f>
        <v>7</v>
      </c>
      <c r="Z23" s="5"/>
      <c r="AA23" s="6">
        <f t="shared" si="5"/>
        <v>0.47058823529411764</v>
      </c>
      <c r="AB23" s="3">
        <v>264.16300000000001</v>
      </c>
      <c r="AC23" s="3">
        <v>61.235399999999998</v>
      </c>
      <c r="AD23" s="3">
        <f>VLOOKUP(C23,'[1]5月25-5月31日汇总'!$C:$G,5,0)</f>
        <v>0</v>
      </c>
      <c r="AE23" s="3">
        <f>VLOOKUP(C23,'[1]6月汇总'!$C:$G,5,0)</f>
        <v>20</v>
      </c>
      <c r="AF23" s="3">
        <f t="shared" si="6"/>
        <v>81.235399999999998</v>
      </c>
      <c r="AG23" s="5">
        <f>VLOOKUP(C23,[2]两年对比终版!$A:$Q,17,0)</f>
        <v>96.411316999999997</v>
      </c>
      <c r="AH23" s="5"/>
      <c r="AI23" s="6">
        <f t="shared" si="7"/>
        <v>0.30751997819528093</v>
      </c>
      <c r="AJ23" s="3">
        <v>17</v>
      </c>
      <c r="AK23" s="3">
        <v>3</v>
      </c>
      <c r="AL23" s="3">
        <f>VLOOKUP(C23,'[1]5月25-5月31日汇总'!$C:$H,6,0)</f>
        <v>1</v>
      </c>
      <c r="AM23" s="3">
        <f>VLOOKUP(C23,'[1]6月汇总'!$C:$I,6,0)</f>
        <v>4</v>
      </c>
      <c r="AN23" s="3">
        <f t="shared" si="8"/>
        <v>8</v>
      </c>
      <c r="AO23" s="5">
        <f>VLOOKUP(C23,[2]两年对比终版!$A:$T,20,0)</f>
        <v>16</v>
      </c>
      <c r="AP23" s="5"/>
      <c r="AQ23" s="6">
        <f t="shared" si="9"/>
        <v>0.47058823529411764</v>
      </c>
      <c r="AR23" s="3">
        <v>264.16300000000001</v>
      </c>
      <c r="AS23" s="3">
        <v>30.5291</v>
      </c>
      <c r="AT23" s="3">
        <f>VLOOKUP(C23,'[1]5月25-5月31日汇总'!$C:$I,7,0)</f>
        <v>12</v>
      </c>
      <c r="AU23" s="3">
        <f>VLOOKUP(C23,'[1]6月汇总'!$C:$I,7,0)</f>
        <v>30</v>
      </c>
      <c r="AV23" s="3">
        <f t="shared" si="10"/>
        <v>72.5291</v>
      </c>
      <c r="AW23" s="5">
        <f>VLOOKUP(C23,[2]两年对比终版!$A:$X,23,0)</f>
        <v>3354.1559590000002</v>
      </c>
      <c r="AX23" s="5"/>
      <c r="AY23" s="6">
        <f t="shared" si="11"/>
        <v>0.27456191820959031</v>
      </c>
      <c r="AZ23" s="3">
        <v>251</v>
      </c>
      <c r="BA23" s="3">
        <v>38.246000000000002</v>
      </c>
      <c r="BB23" s="3"/>
      <c r="BC23" s="3"/>
      <c r="BD23" s="3">
        <f t="shared" si="12"/>
        <v>38.246000000000002</v>
      </c>
      <c r="BE23" s="5">
        <f>VLOOKUP(C23,[2]两年对比终版!$A:$AD,30,0)</f>
        <v>3983.1595076976701</v>
      </c>
      <c r="BF23" s="6">
        <f t="shared" si="13"/>
        <v>0.15237450199203187</v>
      </c>
    </row>
    <row r="24" spans="1:58" hidden="1" x14ac:dyDescent="0.15">
      <c r="A24" s="2">
        <v>19</v>
      </c>
      <c r="B24" s="2" t="s">
        <v>33</v>
      </c>
      <c r="C24" s="2" t="s">
        <v>42</v>
      </c>
      <c r="D24" s="3">
        <v>20</v>
      </c>
      <c r="E24" s="3">
        <v>8</v>
      </c>
      <c r="F24" s="3">
        <f>VLOOKUP(C24,'[1]5月25-5月31日汇总'!$C:$D,2,0)</f>
        <v>0</v>
      </c>
      <c r="G24" s="3">
        <f>VLOOKUP(C24,'[1]6月汇总'!$C:$D,2,0)</f>
        <v>10</v>
      </c>
      <c r="H24" s="3">
        <f t="shared" si="0"/>
        <v>18</v>
      </c>
      <c r="I24" s="5">
        <f>VLOOKUP(C24,[2]两年对比终版!$A:$C,3,0)</f>
        <v>0</v>
      </c>
      <c r="J24" s="5"/>
      <c r="K24" s="6">
        <f t="shared" si="1"/>
        <v>0.9</v>
      </c>
      <c r="L24" s="3">
        <v>200</v>
      </c>
      <c r="M24" s="3">
        <v>50.38</v>
      </c>
      <c r="N24" s="3">
        <f>VLOOKUP(C24,'[1]5月25-5月31日汇总'!$C:$E,3,0)</f>
        <v>0</v>
      </c>
      <c r="O24" s="3">
        <f>VLOOKUP(C24,'[1]6月汇总'!$C:$E,3,0)</f>
        <v>50</v>
      </c>
      <c r="P24" s="3">
        <f t="shared" si="2"/>
        <v>100.38</v>
      </c>
      <c r="Q24" s="5">
        <f>VLOOKUP(C24,[2]两年对比终版!$A:$F,6,0)</f>
        <v>0</v>
      </c>
      <c r="R24" s="5"/>
      <c r="S24" s="6">
        <f t="shared" si="3"/>
        <v>0.50190000000000001</v>
      </c>
      <c r="T24" s="3">
        <v>15</v>
      </c>
      <c r="U24" s="3">
        <v>0</v>
      </c>
      <c r="V24" s="3">
        <f>VLOOKUP(C24,'[1]5月25-5月31日汇总'!$C:$F,4,0)</f>
        <v>0</v>
      </c>
      <c r="W24" s="3">
        <f>VLOOKUP(C24,'[1]6月汇总'!$C:$F,4,0)</f>
        <v>0</v>
      </c>
      <c r="X24" s="3">
        <f t="shared" si="4"/>
        <v>0</v>
      </c>
      <c r="Y24" s="5">
        <f>VLOOKUP(C24,[2]两年对比终版!$A:$N,14,0)</f>
        <v>0</v>
      </c>
      <c r="Z24" s="5"/>
      <c r="AA24" s="6">
        <f t="shared" si="5"/>
        <v>0</v>
      </c>
      <c r="AB24" s="3">
        <v>200</v>
      </c>
      <c r="AC24" s="3">
        <v>0</v>
      </c>
      <c r="AD24" s="3">
        <f>VLOOKUP(C24,'[1]5月25-5月31日汇总'!$C:$G,5,0)</f>
        <v>0</v>
      </c>
      <c r="AE24" s="3">
        <f>VLOOKUP(C24,'[1]6月汇总'!$C:$G,5,0)</f>
        <v>0</v>
      </c>
      <c r="AF24" s="3">
        <f t="shared" si="6"/>
        <v>0</v>
      </c>
      <c r="AG24" s="5">
        <f>VLOOKUP(C24,[2]两年对比终版!$A:$Q,17,0)</f>
        <v>0</v>
      </c>
      <c r="AH24" s="5"/>
      <c r="AI24" s="6">
        <f t="shared" si="7"/>
        <v>0</v>
      </c>
      <c r="AJ24" s="3">
        <v>15</v>
      </c>
      <c r="AK24" s="3">
        <v>0</v>
      </c>
      <c r="AL24" s="3">
        <f>VLOOKUP(C24,'[1]5月25-5月31日汇总'!$C:$H,6,0)</f>
        <v>0</v>
      </c>
      <c r="AM24" s="3">
        <f>VLOOKUP(C24,'[1]6月汇总'!$C:$I,6,0)</f>
        <v>0</v>
      </c>
      <c r="AN24" s="3">
        <f t="shared" si="8"/>
        <v>0</v>
      </c>
      <c r="AO24" s="5">
        <f>VLOOKUP(C24,[2]两年对比终版!$A:$T,20,0)</f>
        <v>0</v>
      </c>
      <c r="AP24" s="5"/>
      <c r="AQ24" s="6">
        <f t="shared" si="9"/>
        <v>0</v>
      </c>
      <c r="AR24" s="3">
        <v>200</v>
      </c>
      <c r="AS24" s="3">
        <v>0</v>
      </c>
      <c r="AT24" s="3">
        <f>VLOOKUP(C24,'[1]5月25-5月31日汇总'!$C:$I,7,0)</f>
        <v>0</v>
      </c>
      <c r="AU24" s="3">
        <f>VLOOKUP(C24,'[1]6月汇总'!$C:$I,7,0)</f>
        <v>0</v>
      </c>
      <c r="AV24" s="3">
        <f t="shared" si="10"/>
        <v>0</v>
      </c>
      <c r="AW24" s="5">
        <f>VLOOKUP(C24,[2]两年对比终版!$A:$X,23,0)</f>
        <v>0</v>
      </c>
      <c r="AX24" s="5"/>
      <c r="AY24" s="6">
        <f t="shared" si="11"/>
        <v>0</v>
      </c>
      <c r="AZ24" s="3">
        <v>190</v>
      </c>
      <c r="BA24" s="3">
        <v>0</v>
      </c>
      <c r="BB24" s="3"/>
      <c r="BC24" s="3"/>
      <c r="BD24" s="3">
        <f t="shared" si="12"/>
        <v>0</v>
      </c>
      <c r="BE24" s="5">
        <f>VLOOKUP(C24,[2]两年对比终版!$A:$AD,30,0)</f>
        <v>0</v>
      </c>
      <c r="BF24" s="6">
        <f t="shared" si="13"/>
        <v>0</v>
      </c>
    </row>
    <row r="25" spans="1:58" x14ac:dyDescent="0.15">
      <c r="A25" s="16" t="s">
        <v>43</v>
      </c>
      <c r="B25" s="12"/>
      <c r="C25" s="17"/>
      <c r="D25" s="4">
        <f>SUM(D16:D24)</f>
        <v>1328</v>
      </c>
      <c r="E25" s="4">
        <f>SUM(E16:E24)</f>
        <v>508</v>
      </c>
      <c r="F25" s="4">
        <f>SUM(F16:F24)</f>
        <v>100</v>
      </c>
      <c r="G25" s="4">
        <f>SUM(G16:G24)</f>
        <v>158</v>
      </c>
      <c r="H25" s="4">
        <f>SUM(H16:H24)</f>
        <v>766</v>
      </c>
      <c r="I25" s="7">
        <f t="shared" ref="I25:BE25" si="21">SUM(I16:I24)</f>
        <v>740</v>
      </c>
      <c r="J25" s="10">
        <f>(H25-I25)/I25</f>
        <v>3.5135135135135137E-2</v>
      </c>
      <c r="K25" s="8">
        <f>H25/D25</f>
        <v>0.57680722891566261</v>
      </c>
      <c r="L25" s="4">
        <f t="shared" si="21"/>
        <v>31010</v>
      </c>
      <c r="M25" s="4">
        <f t="shared" si="21"/>
        <v>9415.4923999999992</v>
      </c>
      <c r="N25" s="4">
        <f t="shared" si="21"/>
        <v>3637</v>
      </c>
      <c r="O25" s="4">
        <f t="shared" si="21"/>
        <v>2425</v>
      </c>
      <c r="P25" s="4">
        <f t="shared" si="21"/>
        <v>15477.492399999999</v>
      </c>
      <c r="Q25" s="7">
        <f>SUM(Q16:Q24)</f>
        <v>14019.692212999998</v>
      </c>
      <c r="R25" s="10">
        <f>(P25-Q25)/Q25</f>
        <v>0.10398232463678701</v>
      </c>
      <c r="S25" s="8">
        <f>P25/L25</f>
        <v>0.49911294421154462</v>
      </c>
      <c r="T25" s="4">
        <f t="shared" si="21"/>
        <v>583</v>
      </c>
      <c r="U25" s="4">
        <f t="shared" si="21"/>
        <v>190</v>
      </c>
      <c r="V25" s="4">
        <f t="shared" si="21"/>
        <v>1</v>
      </c>
      <c r="W25" s="4">
        <f t="shared" si="21"/>
        <v>41</v>
      </c>
      <c r="X25" s="4">
        <f t="shared" si="21"/>
        <v>232</v>
      </c>
      <c r="Y25" s="7">
        <f t="shared" si="21"/>
        <v>233</v>
      </c>
      <c r="Z25" s="10">
        <f>(X25-Y25)/Y25</f>
        <v>-4.2918454935622317E-3</v>
      </c>
      <c r="AA25" s="8">
        <f>X25/T25</f>
        <v>0.39794168096054888</v>
      </c>
      <c r="AB25" s="4">
        <f t="shared" si="21"/>
        <v>12602.326000000001</v>
      </c>
      <c r="AC25" s="4">
        <f t="shared" si="21"/>
        <v>6938.3419000000004</v>
      </c>
      <c r="AD25" s="4">
        <f t="shared" si="21"/>
        <v>15.54</v>
      </c>
      <c r="AE25" s="4">
        <f t="shared" si="21"/>
        <v>786.33999999999992</v>
      </c>
      <c r="AF25" s="4">
        <f t="shared" si="21"/>
        <v>7740.2218999999996</v>
      </c>
      <c r="AG25" s="7">
        <f t="shared" si="21"/>
        <v>6176.6144189999995</v>
      </c>
      <c r="AH25" s="10">
        <f>(AF25-AG25)/AG25</f>
        <v>0.25314960185796248</v>
      </c>
      <c r="AI25" s="8">
        <f>AF25/AB25</f>
        <v>0.61418994398335669</v>
      </c>
      <c r="AJ25" s="4">
        <f t="shared" si="21"/>
        <v>583</v>
      </c>
      <c r="AK25" s="4">
        <f t="shared" si="21"/>
        <v>222</v>
      </c>
      <c r="AL25" s="4">
        <f t="shared" si="21"/>
        <v>8</v>
      </c>
      <c r="AM25" s="4">
        <f t="shared" si="21"/>
        <v>52</v>
      </c>
      <c r="AN25" s="4">
        <f t="shared" si="21"/>
        <v>282</v>
      </c>
      <c r="AO25" s="7">
        <f t="shared" si="21"/>
        <v>94</v>
      </c>
      <c r="AP25" s="10">
        <f>(AN25-AO25)/AO25</f>
        <v>2</v>
      </c>
      <c r="AQ25" s="8">
        <f>AN25/AJ25</f>
        <v>0.483704974271012</v>
      </c>
      <c r="AR25" s="4">
        <f t="shared" si="21"/>
        <v>12602.326000000001</v>
      </c>
      <c r="AS25" s="4">
        <f t="shared" si="21"/>
        <v>7700.666299999999</v>
      </c>
      <c r="AT25" s="4">
        <f t="shared" si="21"/>
        <v>192</v>
      </c>
      <c r="AU25" s="4">
        <f t="shared" si="21"/>
        <v>1077.73</v>
      </c>
      <c r="AV25" s="4">
        <f t="shared" si="21"/>
        <v>8970.3962999999985</v>
      </c>
      <c r="AW25" s="7">
        <f t="shared" si="21"/>
        <v>4729.5699549999999</v>
      </c>
      <c r="AX25" s="10">
        <f>(AV25-AW25)/AW25</f>
        <v>0.89666214589271231</v>
      </c>
      <c r="AY25" s="8">
        <f>AV25/AR25</f>
        <v>0.71180481285756281</v>
      </c>
      <c r="AZ25" s="4">
        <f t="shared" si="21"/>
        <v>11972</v>
      </c>
      <c r="BA25" s="4">
        <f t="shared" si="21"/>
        <v>745.12620000000004</v>
      </c>
      <c r="BB25" s="4">
        <f t="shared" si="21"/>
        <v>0</v>
      </c>
      <c r="BC25" s="4">
        <f t="shared" si="21"/>
        <v>0</v>
      </c>
      <c r="BD25" s="4">
        <f t="shared" si="21"/>
        <v>745.12620000000004</v>
      </c>
      <c r="BE25" s="7">
        <f t="shared" si="21"/>
        <v>5741.5051181658837</v>
      </c>
      <c r="BF25" s="8">
        <f>BD25/AZ25</f>
        <v>6.2239074507183433E-2</v>
      </c>
    </row>
    <row r="26" spans="1:58" hidden="1" x14ac:dyDescent="0.15">
      <c r="A26" s="2">
        <v>20</v>
      </c>
      <c r="B26" s="2" t="s">
        <v>28</v>
      </c>
      <c r="C26" s="2" t="s">
        <v>44</v>
      </c>
      <c r="D26" s="3">
        <v>235</v>
      </c>
      <c r="E26" s="3">
        <v>76</v>
      </c>
      <c r="F26" s="3">
        <f>VLOOKUP(C26,'[1]5月25-5月31日汇总'!$C:$D,2,0)</f>
        <v>0</v>
      </c>
      <c r="G26" s="3">
        <f>VLOOKUP(C26,'[1]6月汇总'!$C:$D,2,0)</f>
        <v>12</v>
      </c>
      <c r="H26" s="3">
        <f t="shared" si="0"/>
        <v>88</v>
      </c>
      <c r="I26" s="5">
        <f>VLOOKUP(C26,[2]两年对比终版!$A:$C,3,0)</f>
        <v>52</v>
      </c>
      <c r="J26" s="5"/>
      <c r="K26" s="6">
        <f t="shared" si="1"/>
        <v>0.37446808510638296</v>
      </c>
      <c r="L26" s="3">
        <v>1673.35</v>
      </c>
      <c r="M26" s="3">
        <v>520.72900000000004</v>
      </c>
      <c r="N26" s="3">
        <f>VLOOKUP(C26,'[1]5月25-5月31日汇总'!$C:$E,3,0)</f>
        <v>0</v>
      </c>
      <c r="O26" s="3">
        <f>VLOOKUP(C26,'[1]6月汇总'!$C:$E,3,0)</f>
        <v>60</v>
      </c>
      <c r="P26" s="3">
        <f t="shared" si="2"/>
        <v>580.72900000000004</v>
      </c>
      <c r="Q26" s="5">
        <f>VLOOKUP(C26,[2]两年对比终版!$A:$F,6,0)</f>
        <v>393.58625000000001</v>
      </c>
      <c r="R26" s="5"/>
      <c r="S26" s="6">
        <f t="shared" si="3"/>
        <v>0.34704574655630926</v>
      </c>
      <c r="T26" s="3">
        <v>63</v>
      </c>
      <c r="U26" s="3">
        <v>12</v>
      </c>
      <c r="V26" s="3">
        <f>VLOOKUP(C26,'[1]5月25-5月31日汇总'!$C:$F,4,0)</f>
        <v>0</v>
      </c>
      <c r="W26" s="3">
        <f>VLOOKUP(C26,'[1]6月汇总'!$C:$F,4,0)</f>
        <v>6</v>
      </c>
      <c r="X26" s="3">
        <f t="shared" si="4"/>
        <v>18</v>
      </c>
      <c r="Y26" s="5">
        <f>VLOOKUP(C26,[2]两年对比终版!$A:$N,14,0)</f>
        <v>22</v>
      </c>
      <c r="Z26" s="5"/>
      <c r="AA26" s="6">
        <f t="shared" si="5"/>
        <v>0.2857142857142857</v>
      </c>
      <c r="AB26" s="3">
        <v>683</v>
      </c>
      <c r="AC26" s="3">
        <v>65.700999999999993</v>
      </c>
      <c r="AD26" s="3">
        <f>VLOOKUP(C26,'[1]5月25-5月31日汇总'!$C:$G,5,0)</f>
        <v>0</v>
      </c>
      <c r="AE26" s="3">
        <f>VLOOKUP(C26,'[1]6月汇总'!$C:$G,5,0)</f>
        <v>30</v>
      </c>
      <c r="AF26" s="3">
        <f t="shared" si="6"/>
        <v>95.700999999999993</v>
      </c>
      <c r="AG26" s="5">
        <f>VLOOKUP(C26,[2]两年对比终版!$A:$Q,17,0)</f>
        <v>178.457292</v>
      </c>
      <c r="AH26" s="5"/>
      <c r="AI26" s="6">
        <f t="shared" si="7"/>
        <v>0.14011859443631039</v>
      </c>
      <c r="AJ26" s="3">
        <v>63</v>
      </c>
      <c r="AK26" s="3">
        <v>14</v>
      </c>
      <c r="AL26" s="3">
        <f>VLOOKUP(C26,'[1]5月25-5月31日汇总'!$C:$H,6,0)</f>
        <v>2</v>
      </c>
      <c r="AM26" s="3">
        <f>VLOOKUP(C26,'[1]6月汇总'!$C:$I,6,0)</f>
        <v>2</v>
      </c>
      <c r="AN26" s="3">
        <f t="shared" si="8"/>
        <v>18</v>
      </c>
      <c r="AO26" s="5">
        <f>VLOOKUP(C26,[2]两年对比终版!$A:$T,20,0)</f>
        <v>29</v>
      </c>
      <c r="AP26" s="5"/>
      <c r="AQ26" s="6">
        <f t="shared" si="9"/>
        <v>0.2857142857142857</v>
      </c>
      <c r="AR26" s="3">
        <v>683</v>
      </c>
      <c r="AS26" s="3">
        <v>90.605699999999999</v>
      </c>
      <c r="AT26" s="3">
        <f>VLOOKUP(C26,'[1]5月25-5月31日汇总'!$C:$I,7,0)</f>
        <v>12.24</v>
      </c>
      <c r="AU26" s="3">
        <f>VLOOKUP(C26,'[1]6月汇总'!$C:$I,7,0)</f>
        <v>10</v>
      </c>
      <c r="AV26" s="3">
        <f t="shared" si="10"/>
        <v>112.84569999999999</v>
      </c>
      <c r="AW26" s="5">
        <f>VLOOKUP(C26,[2]两年对比终版!$A:$X,23,0)</f>
        <v>228.72333399999999</v>
      </c>
      <c r="AX26" s="5"/>
      <c r="AY26" s="6">
        <f t="shared" si="11"/>
        <v>0.16522064421669105</v>
      </c>
      <c r="AZ26" s="3">
        <v>649</v>
      </c>
      <c r="BA26" s="3">
        <v>53.012999999999998</v>
      </c>
      <c r="BB26" s="3"/>
      <c r="BC26" s="3"/>
      <c r="BD26" s="3">
        <f t="shared" si="12"/>
        <v>53.012999999999998</v>
      </c>
      <c r="BE26" s="5">
        <f>VLOOKUP(C26,[2]两年对比终版!$A:$AD,30,0)</f>
        <v>218.19091026496901</v>
      </c>
      <c r="BF26" s="6">
        <f t="shared" si="13"/>
        <v>8.1684129429892144E-2</v>
      </c>
    </row>
    <row r="27" spans="1:58" hidden="1" x14ac:dyDescent="0.15">
      <c r="A27" s="2">
        <v>21</v>
      </c>
      <c r="B27" s="2" t="s">
        <v>25</v>
      </c>
      <c r="C27" s="2" t="s">
        <v>45</v>
      </c>
      <c r="D27" s="3">
        <v>66</v>
      </c>
      <c r="E27" s="3">
        <v>14</v>
      </c>
      <c r="F27" s="3">
        <f>VLOOKUP(C27,'[1]5月25-5月31日汇总'!$C:$D,2,0)</f>
        <v>2</v>
      </c>
      <c r="G27" s="3">
        <f>VLOOKUP(C27,'[1]6月汇总'!$C:$D,2,0)</f>
        <v>3</v>
      </c>
      <c r="H27" s="3">
        <f t="shared" si="0"/>
        <v>19</v>
      </c>
      <c r="I27" s="5">
        <f>VLOOKUP(C27,[2]两年对比终版!$A:$C,3,0)</f>
        <v>23</v>
      </c>
      <c r="J27" s="5"/>
      <c r="K27" s="6">
        <f t="shared" si="1"/>
        <v>0.2878787878787879</v>
      </c>
      <c r="L27" s="3">
        <v>930</v>
      </c>
      <c r="M27" s="3">
        <v>287.01299999999998</v>
      </c>
      <c r="N27" s="3">
        <f>VLOOKUP(C27,'[1]5月25-5月31日汇总'!$C:$E,3,0)</f>
        <v>26.96</v>
      </c>
      <c r="O27" s="3">
        <f>VLOOKUP(C27,'[1]6月汇总'!$C:$E,3,0)</f>
        <v>80.88</v>
      </c>
      <c r="P27" s="3">
        <f t="shared" si="2"/>
        <v>394.85299999999995</v>
      </c>
      <c r="Q27" s="5">
        <f>VLOOKUP(C27,[2]两年对比终版!$A:$F,6,0)</f>
        <v>773.87896499999999</v>
      </c>
      <c r="R27" s="5"/>
      <c r="S27" s="6">
        <f t="shared" si="3"/>
        <v>0.42457311827956984</v>
      </c>
      <c r="T27" s="3">
        <v>27</v>
      </c>
      <c r="U27" s="3">
        <v>6</v>
      </c>
      <c r="V27" s="3">
        <f>VLOOKUP(C27,'[1]5月25-5月31日汇总'!$C:$F,4,0)</f>
        <v>1</v>
      </c>
      <c r="W27" s="3">
        <f>VLOOKUP(C27,'[1]6月汇总'!$C:$F,4,0)</f>
        <v>2</v>
      </c>
      <c r="X27" s="3">
        <f t="shared" si="4"/>
        <v>9</v>
      </c>
      <c r="Y27" s="5">
        <f>VLOOKUP(C27,[2]两年对比终版!$A:$N,14,0)</f>
        <v>3</v>
      </c>
      <c r="Z27" s="5"/>
      <c r="AA27" s="6">
        <f t="shared" si="5"/>
        <v>0.33333333333333331</v>
      </c>
      <c r="AB27" s="3">
        <v>396.245</v>
      </c>
      <c r="AC27" s="3">
        <v>68.513599999999997</v>
      </c>
      <c r="AD27" s="3">
        <f>VLOOKUP(C27,'[1]5月25-5月31日汇总'!$C:$G,5,0)</f>
        <v>31.5</v>
      </c>
      <c r="AE27" s="3">
        <f>VLOOKUP(C27,'[1]6月汇总'!$C:$G,5,0)</f>
        <v>26.86</v>
      </c>
      <c r="AF27" s="3">
        <f t="shared" si="6"/>
        <v>126.8736</v>
      </c>
      <c r="AG27" s="5">
        <f>VLOOKUP(C27,[2]两年对比终版!$A:$Q,17,0)</f>
        <v>44.012006999999997</v>
      </c>
      <c r="AH27" s="5"/>
      <c r="AI27" s="6">
        <f t="shared" si="7"/>
        <v>0.32018978157453087</v>
      </c>
      <c r="AJ27" s="3">
        <v>27</v>
      </c>
      <c r="AK27" s="3">
        <v>5</v>
      </c>
      <c r="AL27" s="3">
        <f>VLOOKUP(C27,'[1]5月25-5月31日汇总'!$C:$H,6,0)</f>
        <v>0</v>
      </c>
      <c r="AM27" s="3">
        <f>VLOOKUP(C27,'[1]6月汇总'!$C:$I,6,0)</f>
        <v>5</v>
      </c>
      <c r="AN27" s="3">
        <f t="shared" si="8"/>
        <v>10</v>
      </c>
      <c r="AO27" s="5">
        <f>VLOOKUP(C27,[2]两年对比终版!$A:$T,20,0)</f>
        <v>0</v>
      </c>
      <c r="AP27" s="5"/>
      <c r="AQ27" s="6">
        <f t="shared" si="9"/>
        <v>0.37037037037037035</v>
      </c>
      <c r="AR27" s="3">
        <v>396.245</v>
      </c>
      <c r="AS27" s="3">
        <v>78.485399999999998</v>
      </c>
      <c r="AT27" s="3">
        <f>VLOOKUP(C27,'[1]5月25-5月31日汇总'!$C:$I,7,0)</f>
        <v>0</v>
      </c>
      <c r="AU27" s="3">
        <f>VLOOKUP(C27,'[1]6月汇总'!$C:$I,7,0)</f>
        <v>90.1707064</v>
      </c>
      <c r="AV27" s="3">
        <f t="shared" si="10"/>
        <v>168.6561064</v>
      </c>
      <c r="AW27" s="5">
        <f>VLOOKUP(C27,[2]两年对比终版!$A:$X,23,0)</f>
        <v>0</v>
      </c>
      <c r="AX27" s="5"/>
      <c r="AY27" s="6">
        <f t="shared" si="11"/>
        <v>0.42563592322931521</v>
      </c>
      <c r="AZ27" s="3">
        <v>376</v>
      </c>
      <c r="BA27" s="3">
        <v>6.9568500000000002</v>
      </c>
      <c r="BB27" s="3"/>
      <c r="BC27" s="3"/>
      <c r="BD27" s="3">
        <f t="shared" si="12"/>
        <v>6.9568500000000002</v>
      </c>
      <c r="BE27" s="5">
        <f>VLOOKUP(C27,[2]两年对比终版!$A:$AD,30,0)</f>
        <v>1159.21745472875</v>
      </c>
      <c r="BF27" s="6">
        <f t="shared" si="13"/>
        <v>1.8502260638297872E-2</v>
      </c>
    </row>
    <row r="28" spans="1:58" hidden="1" x14ac:dyDescent="0.15">
      <c r="A28" s="2">
        <v>22</v>
      </c>
      <c r="B28" s="2" t="s">
        <v>33</v>
      </c>
      <c r="C28" s="2" t="s">
        <v>46</v>
      </c>
      <c r="D28" s="3">
        <v>87</v>
      </c>
      <c r="E28" s="3">
        <v>32</v>
      </c>
      <c r="F28" s="3">
        <f>VLOOKUP(C28,'[1]5月25-5月31日汇总'!$C:$D,2,0)</f>
        <v>0</v>
      </c>
      <c r="G28" s="3">
        <f>VLOOKUP(C28,'[1]6月汇总'!$C:$D,2,0)</f>
        <v>6</v>
      </c>
      <c r="H28" s="3">
        <f t="shared" si="0"/>
        <v>38</v>
      </c>
      <c r="I28" s="5">
        <f>VLOOKUP(C28,[2]两年对比终版!$A:$C,3,0)</f>
        <v>8</v>
      </c>
      <c r="J28" s="5"/>
      <c r="K28" s="6">
        <f t="shared" si="1"/>
        <v>0.43678160919540232</v>
      </c>
      <c r="L28" s="3">
        <v>688</v>
      </c>
      <c r="M28" s="3">
        <v>255.136</v>
      </c>
      <c r="N28" s="3">
        <f>VLOOKUP(C28,'[1]5月25-5月31日汇总'!$C:$E,3,0)</f>
        <v>0</v>
      </c>
      <c r="O28" s="3">
        <f>VLOOKUP(C28,'[1]6月汇总'!$C:$E,3,0)</f>
        <v>44.88</v>
      </c>
      <c r="P28" s="3">
        <f t="shared" si="2"/>
        <v>300.01600000000002</v>
      </c>
      <c r="Q28" s="5">
        <f>VLOOKUP(C28,[2]两年对比终版!$A:$F,6,0)</f>
        <v>74.024224000000004</v>
      </c>
      <c r="R28" s="5"/>
      <c r="S28" s="6">
        <f t="shared" si="3"/>
        <v>0.43606976744186049</v>
      </c>
      <c r="T28" s="3">
        <v>32</v>
      </c>
      <c r="U28" s="3">
        <v>4</v>
      </c>
      <c r="V28" s="3">
        <f>VLOOKUP(C28,'[1]5月25-5月31日汇总'!$C:$F,4,0)</f>
        <v>0</v>
      </c>
      <c r="W28" s="3">
        <f>VLOOKUP(C28,'[1]6月汇总'!$C:$F,4,0)</f>
        <v>2</v>
      </c>
      <c r="X28" s="3">
        <f t="shared" si="4"/>
        <v>6</v>
      </c>
      <c r="Y28" s="5">
        <f>VLOOKUP(C28,[2]两年对比终版!$A:$N,14,0)</f>
        <v>2</v>
      </c>
      <c r="Z28" s="5"/>
      <c r="AA28" s="6">
        <f t="shared" si="5"/>
        <v>0.1875</v>
      </c>
      <c r="AB28" s="3">
        <v>265</v>
      </c>
      <c r="AC28" s="3">
        <v>23.250399999999999</v>
      </c>
      <c r="AD28" s="3">
        <f>VLOOKUP(C28,'[1]5月25-5月31日汇总'!$C:$G,5,0)</f>
        <v>0</v>
      </c>
      <c r="AE28" s="3">
        <f>VLOOKUP(C28,'[1]6月汇总'!$C:$G,5,0)</f>
        <v>14.96</v>
      </c>
      <c r="AF28" s="3">
        <f t="shared" si="6"/>
        <v>38.2104</v>
      </c>
      <c r="AG28" s="5">
        <f>VLOOKUP(C28,[2]两年对比终版!$A:$Q,17,0)</f>
        <v>6.9127679999999998</v>
      </c>
      <c r="AH28" s="5"/>
      <c r="AI28" s="6">
        <f t="shared" si="7"/>
        <v>0.1441901886792453</v>
      </c>
      <c r="AJ28" s="3">
        <v>32</v>
      </c>
      <c r="AK28" s="3">
        <v>6</v>
      </c>
      <c r="AL28" s="3">
        <f>VLOOKUP(C28,'[1]5月25-5月31日汇总'!$C:$H,6,0)</f>
        <v>1</v>
      </c>
      <c r="AM28" s="3">
        <f>VLOOKUP(C28,'[1]6月汇总'!$C:$I,6,0)</f>
        <v>2</v>
      </c>
      <c r="AN28" s="3">
        <f t="shared" si="8"/>
        <v>9</v>
      </c>
      <c r="AO28" s="5">
        <f>VLOOKUP(C28,[2]两年对比终版!$A:$T,20,0)</f>
        <v>0</v>
      </c>
      <c r="AP28" s="5"/>
      <c r="AQ28" s="6">
        <f t="shared" si="9"/>
        <v>0.28125</v>
      </c>
      <c r="AR28" s="3">
        <v>265</v>
      </c>
      <c r="AS28" s="3">
        <v>45.716900000000003</v>
      </c>
      <c r="AT28" s="3">
        <f>VLOOKUP(C28,'[1]5月25-5月31日汇总'!$C:$I,7,0)</f>
        <v>7.75</v>
      </c>
      <c r="AU28" s="3">
        <f>VLOOKUP(C28,'[1]6月汇总'!$C:$I,7,0)</f>
        <v>14.96</v>
      </c>
      <c r="AV28" s="3">
        <f t="shared" si="10"/>
        <v>68.426900000000003</v>
      </c>
      <c r="AW28" s="5">
        <f>VLOOKUP(C28,[2]两年对比终版!$A:$X,23,0)</f>
        <v>0</v>
      </c>
      <c r="AX28" s="5"/>
      <c r="AY28" s="6">
        <f t="shared" si="11"/>
        <v>0.25821471698113208</v>
      </c>
      <c r="AZ28" s="3">
        <v>252</v>
      </c>
      <c r="BA28" s="3">
        <v>21.362400000000001</v>
      </c>
      <c r="BB28" s="3"/>
      <c r="BC28" s="3"/>
      <c r="BD28" s="3">
        <f t="shared" si="12"/>
        <v>21.362400000000001</v>
      </c>
      <c r="BE28" s="5">
        <f>VLOOKUP(C28,[2]两年对比终版!$A:$AD,30,0)</f>
        <v>0</v>
      </c>
      <c r="BF28" s="6">
        <f t="shared" si="13"/>
        <v>8.4771428571428581E-2</v>
      </c>
    </row>
    <row r="29" spans="1:58" hidden="1" x14ac:dyDescent="0.15">
      <c r="A29" s="2">
        <v>23</v>
      </c>
      <c r="B29" s="2" t="s">
        <v>25</v>
      </c>
      <c r="C29" s="2" t="s">
        <v>47</v>
      </c>
      <c r="D29" s="3">
        <v>238</v>
      </c>
      <c r="E29" s="3">
        <v>43</v>
      </c>
      <c r="F29" s="3">
        <f>VLOOKUP(C29,'[1]5月25-5月31日汇总'!$C:$D,2,0)</f>
        <v>17</v>
      </c>
      <c r="G29" s="3">
        <f>VLOOKUP(C29,'[1]6月汇总'!$C:$D,2,0)</f>
        <v>35</v>
      </c>
      <c r="H29" s="3">
        <f t="shared" si="0"/>
        <v>95</v>
      </c>
      <c r="I29" s="5">
        <f>VLOOKUP(C29,[2]两年对比终版!$A:$C,3,0)</f>
        <v>128</v>
      </c>
      <c r="J29" s="5"/>
      <c r="K29" s="6">
        <f t="shared" si="1"/>
        <v>0.39915966386554624</v>
      </c>
      <c r="L29" s="3">
        <v>1768.9</v>
      </c>
      <c r="M29" s="3">
        <v>443.52800000000002</v>
      </c>
      <c r="N29" s="3">
        <f>VLOOKUP(C29,'[1]5月25-5月31日汇总'!$C:$E,3,0)</f>
        <v>136.68</v>
      </c>
      <c r="O29" s="3">
        <f>VLOOKUP(C29,'[1]6月汇总'!$C:$E,3,0)</f>
        <v>293.12</v>
      </c>
      <c r="P29" s="3">
        <f t="shared" si="2"/>
        <v>873.32800000000009</v>
      </c>
      <c r="Q29" s="5">
        <f>VLOOKUP(C29,[2]两年对比终版!$A:$F,6,0)</f>
        <v>1268.9124690000001</v>
      </c>
      <c r="R29" s="5"/>
      <c r="S29" s="6">
        <f t="shared" si="3"/>
        <v>0.4937124766804229</v>
      </c>
      <c r="T29" s="3">
        <v>73</v>
      </c>
      <c r="U29" s="3">
        <v>16</v>
      </c>
      <c r="V29" s="3">
        <f>VLOOKUP(C29,'[1]5月25-5月31日汇总'!$C:$F,4,0)</f>
        <v>4</v>
      </c>
      <c r="W29" s="3">
        <f>VLOOKUP(C29,'[1]6月汇总'!$C:$F,4,0)</f>
        <v>5</v>
      </c>
      <c r="X29" s="3">
        <f t="shared" si="4"/>
        <v>25</v>
      </c>
      <c r="Y29" s="5">
        <f>VLOOKUP(C29,[2]两年对比终版!$A:$N,14,0)</f>
        <v>27</v>
      </c>
      <c r="Z29" s="5"/>
      <c r="AA29" s="6">
        <f t="shared" si="5"/>
        <v>0.34246575342465752</v>
      </c>
      <c r="AB29" s="3">
        <v>722</v>
      </c>
      <c r="AC29" s="3">
        <v>129.64599999999999</v>
      </c>
      <c r="AD29" s="3">
        <f>VLOOKUP(C29,'[1]5月25-5月31日汇总'!$C:$G,5,0)</f>
        <v>29.07</v>
      </c>
      <c r="AE29" s="3">
        <f>VLOOKUP(C29,'[1]6月汇总'!$C:$G,5,0)</f>
        <v>36.85</v>
      </c>
      <c r="AF29" s="3">
        <f t="shared" si="6"/>
        <v>195.56599999999997</v>
      </c>
      <c r="AG29" s="5">
        <f>VLOOKUP(C29,[2]两年对比终版!$A:$Q,17,0)</f>
        <v>224.145533</v>
      </c>
      <c r="AH29" s="5"/>
      <c r="AI29" s="6">
        <f t="shared" si="7"/>
        <v>0.27086703601108031</v>
      </c>
      <c r="AJ29" s="3">
        <v>73</v>
      </c>
      <c r="AK29" s="3">
        <v>16</v>
      </c>
      <c r="AL29" s="3">
        <f>VLOOKUP(C29,'[1]5月25-5月31日汇总'!$C:$H,6,0)</f>
        <v>1</v>
      </c>
      <c r="AM29" s="3">
        <f>VLOOKUP(C29,'[1]6月汇总'!$C:$I,6,0)</f>
        <v>4</v>
      </c>
      <c r="AN29" s="3">
        <f t="shared" si="8"/>
        <v>21</v>
      </c>
      <c r="AO29" s="5">
        <f>VLOOKUP(C29,[2]两年对比终版!$A:$T,20,0)</f>
        <v>20</v>
      </c>
      <c r="AP29" s="5"/>
      <c r="AQ29" s="6">
        <f t="shared" si="9"/>
        <v>0.28767123287671231</v>
      </c>
      <c r="AR29" s="3">
        <v>722</v>
      </c>
      <c r="AS29" s="3">
        <v>129.68799999999999</v>
      </c>
      <c r="AT29" s="3">
        <f>VLOOKUP(C29,'[1]5月25-5月31日汇总'!$C:$I,7,0)</f>
        <v>7.16</v>
      </c>
      <c r="AU29" s="3">
        <f>VLOOKUP(C29,'[1]6月汇总'!$C:$I,7,0)</f>
        <v>29.07</v>
      </c>
      <c r="AV29" s="3">
        <f t="shared" si="10"/>
        <v>165.91799999999998</v>
      </c>
      <c r="AW29" s="5">
        <f>VLOOKUP(C29,[2]两年对比终版!$A:$X,23,0)</f>
        <v>167.86765299999999</v>
      </c>
      <c r="AX29" s="5"/>
      <c r="AY29" s="6">
        <f t="shared" si="11"/>
        <v>0.22980332409972296</v>
      </c>
      <c r="AZ29" s="3">
        <v>686</v>
      </c>
      <c r="BA29" s="3">
        <v>29.645399999999999</v>
      </c>
      <c r="BB29" s="3"/>
      <c r="BC29" s="3"/>
      <c r="BD29" s="3">
        <f t="shared" si="12"/>
        <v>29.645399999999999</v>
      </c>
      <c r="BE29" s="5">
        <f>VLOOKUP(C29,[2]两年对比终版!$A:$AD,30,0)</f>
        <v>153.926020207405</v>
      </c>
      <c r="BF29" s="6">
        <f t="shared" si="13"/>
        <v>4.321486880466472E-2</v>
      </c>
    </row>
    <row r="30" spans="1:58" hidden="1" x14ac:dyDescent="0.15">
      <c r="A30" s="2">
        <v>24</v>
      </c>
      <c r="B30" s="2" t="s">
        <v>28</v>
      </c>
      <c r="C30" s="2" t="s">
        <v>48</v>
      </c>
      <c r="D30" s="3">
        <v>136</v>
      </c>
      <c r="E30" s="3">
        <v>23</v>
      </c>
      <c r="F30" s="3">
        <f>VLOOKUP(C30,'[1]5月25-5月31日汇总'!$C:$D,2,0)</f>
        <v>1</v>
      </c>
      <c r="G30" s="3">
        <f>VLOOKUP(C30,'[1]6月汇总'!$C:$D,2,0)</f>
        <v>5</v>
      </c>
      <c r="H30" s="3">
        <f t="shared" si="0"/>
        <v>29</v>
      </c>
      <c r="I30" s="5">
        <f>VLOOKUP(C30,[2]两年对比终版!$A:$C,3,0)</f>
        <v>39</v>
      </c>
      <c r="J30" s="5"/>
      <c r="K30" s="6">
        <f t="shared" si="1"/>
        <v>0.21323529411764705</v>
      </c>
      <c r="L30" s="3">
        <v>964</v>
      </c>
      <c r="M30" s="3">
        <v>320.911</v>
      </c>
      <c r="N30" s="3">
        <f>VLOOKUP(C30,'[1]5月25-5月31日汇总'!$C:$E,3,0)</f>
        <v>11.42</v>
      </c>
      <c r="O30" s="3">
        <f>VLOOKUP(C30,'[1]6月汇总'!$C:$E,3,0)</f>
        <v>80</v>
      </c>
      <c r="P30" s="3">
        <f t="shared" si="2"/>
        <v>412.33100000000002</v>
      </c>
      <c r="Q30" s="5">
        <f>VLOOKUP(C30,[2]两年对比终版!$A:$F,6,0)</f>
        <v>592.24855300000002</v>
      </c>
      <c r="R30" s="5"/>
      <c r="S30" s="6">
        <f t="shared" si="3"/>
        <v>0.42772925311203319</v>
      </c>
      <c r="T30" s="3">
        <v>32</v>
      </c>
      <c r="U30" s="3">
        <v>8</v>
      </c>
      <c r="V30" s="3">
        <f>VLOOKUP(C30,'[1]5月25-5月31日汇总'!$C:$F,4,0)</f>
        <v>1</v>
      </c>
      <c r="W30" s="3">
        <f>VLOOKUP(C30,'[1]6月汇总'!$C:$F,4,0)</f>
        <v>3</v>
      </c>
      <c r="X30" s="3">
        <f t="shared" si="4"/>
        <v>12</v>
      </c>
      <c r="Y30" s="5">
        <f>VLOOKUP(C30,[2]两年对比终版!$A:$N,14,0)</f>
        <v>2</v>
      </c>
      <c r="Z30" s="5"/>
      <c r="AA30" s="6">
        <f t="shared" si="5"/>
        <v>0.375</v>
      </c>
      <c r="AB30" s="3">
        <v>380</v>
      </c>
      <c r="AC30" s="3">
        <v>88.302300000000002</v>
      </c>
      <c r="AD30" s="3">
        <f>VLOOKUP(C30,'[1]5月25-5月31日汇总'!$C:$G,5,0)</f>
        <v>11.42</v>
      </c>
      <c r="AE30" s="3">
        <f>VLOOKUP(C30,'[1]6月汇总'!$C:$G,5,0)</f>
        <v>30</v>
      </c>
      <c r="AF30" s="3">
        <f t="shared" si="6"/>
        <v>129.72230000000002</v>
      </c>
      <c r="AG30" s="5">
        <f>VLOOKUP(C30,[2]两年对比终版!$A:$Q,17,0)</f>
        <v>29.534538999999999</v>
      </c>
      <c r="AH30" s="5"/>
      <c r="AI30" s="6">
        <f t="shared" si="7"/>
        <v>0.34137447368421059</v>
      </c>
      <c r="AJ30" s="3">
        <v>32</v>
      </c>
      <c r="AK30" s="3">
        <v>3</v>
      </c>
      <c r="AL30" s="3">
        <f>VLOOKUP(C30,'[1]5月25-5月31日汇总'!$C:$H,6,0)</f>
        <v>4</v>
      </c>
      <c r="AM30" s="3">
        <f>VLOOKUP(C30,'[1]6月汇总'!$C:$I,6,0)</f>
        <v>4</v>
      </c>
      <c r="AN30" s="3">
        <f t="shared" si="8"/>
        <v>11</v>
      </c>
      <c r="AO30" s="5">
        <f>VLOOKUP(C30,[2]两年对比终版!$A:$T,20,0)</f>
        <v>9</v>
      </c>
      <c r="AP30" s="5"/>
      <c r="AQ30" s="6">
        <f t="shared" si="9"/>
        <v>0.34375</v>
      </c>
      <c r="AR30" s="3">
        <v>380</v>
      </c>
      <c r="AS30" s="3">
        <v>53.710099999999997</v>
      </c>
      <c r="AT30" s="3">
        <f>VLOOKUP(C30,'[1]5月25-5月31日汇总'!$C:$I,7,0)</f>
        <v>24.43</v>
      </c>
      <c r="AU30" s="3">
        <f>VLOOKUP(C30,'[1]6月汇总'!$C:$I,7,0)</f>
        <v>40</v>
      </c>
      <c r="AV30" s="3">
        <f t="shared" si="10"/>
        <v>118.14009999999999</v>
      </c>
      <c r="AW30" s="5">
        <f>VLOOKUP(C30,[2]两年对比终版!$A:$X,23,0)</f>
        <v>179.53971200000001</v>
      </c>
      <c r="AX30" s="5"/>
      <c r="AY30" s="6">
        <f t="shared" si="11"/>
        <v>0.31089499999999998</v>
      </c>
      <c r="AZ30" s="3">
        <v>360</v>
      </c>
      <c r="BA30" s="3">
        <v>28.294699999999999</v>
      </c>
      <c r="BB30" s="3"/>
      <c r="BC30" s="3"/>
      <c r="BD30" s="3">
        <f t="shared" si="12"/>
        <v>28.294699999999999</v>
      </c>
      <c r="BE30" s="5">
        <f>VLOOKUP(C30,[2]两年对比终版!$A:$AD,30,0)</f>
        <v>245.62005533142101</v>
      </c>
      <c r="BF30" s="6">
        <f t="shared" si="13"/>
        <v>7.8596388888888882E-2</v>
      </c>
    </row>
    <row r="31" spans="1:58" hidden="1" x14ac:dyDescent="0.15">
      <c r="A31" s="2">
        <v>25</v>
      </c>
      <c r="B31" s="2" t="s">
        <v>28</v>
      </c>
      <c r="C31" s="2" t="s">
        <v>49</v>
      </c>
      <c r="D31" s="3">
        <v>69</v>
      </c>
      <c r="E31" s="3">
        <v>26</v>
      </c>
      <c r="F31" s="3">
        <f>VLOOKUP(C31,'[1]5月25-5月31日汇总'!$C:$D,2,0)</f>
        <v>0</v>
      </c>
      <c r="G31" s="3">
        <f>VLOOKUP(C31,'[1]6月汇总'!$C:$D,2,0)</f>
        <v>9</v>
      </c>
      <c r="H31" s="3">
        <f t="shared" si="0"/>
        <v>35</v>
      </c>
      <c r="I31" s="5">
        <f>VLOOKUP(C31,[2]两年对比终版!$A:$C,3,0)</f>
        <v>0</v>
      </c>
      <c r="J31" s="5"/>
      <c r="K31" s="6">
        <f t="shared" si="1"/>
        <v>0.50724637681159424</v>
      </c>
      <c r="L31" s="3">
        <v>710</v>
      </c>
      <c r="M31" s="3">
        <v>214.36</v>
      </c>
      <c r="N31" s="3">
        <f>VLOOKUP(C31,'[1]5月25-5月31日汇总'!$C:$E,3,0)</f>
        <v>0</v>
      </c>
      <c r="O31" s="3">
        <f>VLOOKUP(C31,'[1]6月汇总'!$C:$E,3,0)</f>
        <v>100</v>
      </c>
      <c r="P31" s="3">
        <f t="shared" si="2"/>
        <v>314.36</v>
      </c>
      <c r="Q31" s="5">
        <f>VLOOKUP(C31,[2]两年对比终版!$A:$F,6,0)</f>
        <v>0</v>
      </c>
      <c r="R31" s="5"/>
      <c r="S31" s="6">
        <f t="shared" si="3"/>
        <v>0.44276056338028169</v>
      </c>
      <c r="T31" s="3">
        <v>27</v>
      </c>
      <c r="U31" s="3">
        <v>0</v>
      </c>
      <c r="V31" s="3">
        <f>VLOOKUP(C31,'[1]5月25-5月31日汇总'!$C:$F,4,0)</f>
        <v>0</v>
      </c>
      <c r="W31" s="3">
        <f>VLOOKUP(C31,'[1]6月汇总'!$C:$F,4,0)</f>
        <v>0</v>
      </c>
      <c r="X31" s="3">
        <f t="shared" si="4"/>
        <v>0</v>
      </c>
      <c r="Y31" s="5">
        <f>VLOOKUP(C31,[2]两年对比终版!$A:$N,14,0)</f>
        <v>0</v>
      </c>
      <c r="Z31" s="5"/>
      <c r="AA31" s="6">
        <f t="shared" si="5"/>
        <v>0</v>
      </c>
      <c r="AB31" s="3">
        <v>350</v>
      </c>
      <c r="AC31" s="3">
        <v>0</v>
      </c>
      <c r="AD31" s="3">
        <f>VLOOKUP(C31,'[1]5月25-5月31日汇总'!$C:$G,5,0)</f>
        <v>0</v>
      </c>
      <c r="AE31" s="3">
        <f>VLOOKUP(C31,'[1]6月汇总'!$C:$G,5,0)</f>
        <v>0</v>
      </c>
      <c r="AF31" s="3">
        <f t="shared" si="6"/>
        <v>0</v>
      </c>
      <c r="AG31" s="5">
        <f>VLOOKUP(C31,[2]两年对比终版!$A:$Q,17,0)</f>
        <v>0</v>
      </c>
      <c r="AH31" s="5"/>
      <c r="AI31" s="6">
        <f t="shared" si="7"/>
        <v>0</v>
      </c>
      <c r="AJ31" s="3">
        <v>27</v>
      </c>
      <c r="AK31" s="3">
        <v>0</v>
      </c>
      <c r="AL31" s="3">
        <f>VLOOKUP(C31,'[1]5月25-5月31日汇总'!$C:$H,6,0)</f>
        <v>0</v>
      </c>
      <c r="AM31" s="3">
        <f>VLOOKUP(C31,'[1]6月汇总'!$C:$I,6,0)</f>
        <v>0</v>
      </c>
      <c r="AN31" s="3">
        <f t="shared" si="8"/>
        <v>0</v>
      </c>
      <c r="AO31" s="5">
        <f>VLOOKUP(C31,[2]两年对比终版!$A:$T,20,0)</f>
        <v>0</v>
      </c>
      <c r="AP31" s="5"/>
      <c r="AQ31" s="6">
        <f t="shared" si="9"/>
        <v>0</v>
      </c>
      <c r="AR31" s="3">
        <v>350</v>
      </c>
      <c r="AS31" s="3">
        <v>0</v>
      </c>
      <c r="AT31" s="3">
        <f>VLOOKUP(C31,'[1]5月25-5月31日汇总'!$C:$I,7,0)</f>
        <v>0</v>
      </c>
      <c r="AU31" s="3">
        <f>VLOOKUP(C31,'[1]6月汇总'!$C:$I,7,0)</f>
        <v>0</v>
      </c>
      <c r="AV31" s="3">
        <f t="shared" si="10"/>
        <v>0</v>
      </c>
      <c r="AW31" s="5">
        <f>VLOOKUP(C31,[2]两年对比终版!$A:$X,23,0)</f>
        <v>0</v>
      </c>
      <c r="AX31" s="5"/>
      <c r="AY31" s="6">
        <f t="shared" si="11"/>
        <v>0</v>
      </c>
      <c r="AZ31" s="3">
        <v>333</v>
      </c>
      <c r="BA31" s="3">
        <v>0</v>
      </c>
      <c r="BB31" s="3"/>
      <c r="BC31" s="3"/>
      <c r="BD31" s="3">
        <f t="shared" si="12"/>
        <v>0</v>
      </c>
      <c r="BE31" s="5">
        <f>VLOOKUP(C31,[2]两年对比终版!$A:$AD,30,0)</f>
        <v>0</v>
      </c>
      <c r="BF31" s="6">
        <f t="shared" si="13"/>
        <v>0</v>
      </c>
    </row>
    <row r="32" spans="1:58" hidden="1" x14ac:dyDescent="0.15">
      <c r="A32" s="2">
        <v>26</v>
      </c>
      <c r="B32" s="2" t="s">
        <v>28</v>
      </c>
      <c r="C32" s="2" t="s">
        <v>50</v>
      </c>
      <c r="D32" s="3">
        <v>263</v>
      </c>
      <c r="E32" s="3">
        <v>48</v>
      </c>
      <c r="F32" s="3">
        <f>VLOOKUP(C32,'[1]5月25-5月31日汇总'!$C:$D,2,0)</f>
        <v>0</v>
      </c>
      <c r="G32" s="3">
        <f>VLOOKUP(C32,'[1]6月汇总'!$C:$D,2,0)</f>
        <v>11</v>
      </c>
      <c r="H32" s="3">
        <f t="shared" si="0"/>
        <v>59</v>
      </c>
      <c r="I32" s="5">
        <f>VLOOKUP(C32,[2]两年对比终版!$A:$C,3,0)</f>
        <v>97</v>
      </c>
      <c r="J32" s="5"/>
      <c r="K32" s="6">
        <f t="shared" si="1"/>
        <v>0.22433460076045628</v>
      </c>
      <c r="L32" s="3">
        <v>1640</v>
      </c>
      <c r="M32" s="3">
        <v>499.416</v>
      </c>
      <c r="N32" s="3">
        <f>VLOOKUP(C32,'[1]5月25-5月31日汇总'!$C:$E,3,0)</f>
        <v>0</v>
      </c>
      <c r="O32" s="3">
        <f>VLOOKUP(C32,'[1]6月汇总'!$C:$E,3,0)</f>
        <v>160</v>
      </c>
      <c r="P32" s="3">
        <f t="shared" si="2"/>
        <v>659.41599999999994</v>
      </c>
      <c r="Q32" s="5">
        <f>VLOOKUP(C32,[2]两年对比终版!$A:$F,6,0)</f>
        <v>1049.8086599999999</v>
      </c>
      <c r="R32" s="5"/>
      <c r="S32" s="6">
        <f t="shared" si="3"/>
        <v>0.40208292682926827</v>
      </c>
      <c r="T32" s="3">
        <v>42</v>
      </c>
      <c r="U32" s="3">
        <v>8</v>
      </c>
      <c r="V32" s="3">
        <f>VLOOKUP(C32,'[1]5月25-5月31日汇总'!$C:$F,4,0)</f>
        <v>0</v>
      </c>
      <c r="W32" s="3">
        <f>VLOOKUP(C32,'[1]6月汇总'!$C:$F,4,0)</f>
        <v>3</v>
      </c>
      <c r="X32" s="3">
        <f t="shared" si="4"/>
        <v>11</v>
      </c>
      <c r="Y32" s="5">
        <f>VLOOKUP(C32,[2]两年对比终版!$A:$N,14,0)</f>
        <v>1</v>
      </c>
      <c r="Z32" s="5"/>
      <c r="AA32" s="6">
        <f t="shared" si="5"/>
        <v>0.26190476190476192</v>
      </c>
      <c r="AB32" s="3">
        <v>400</v>
      </c>
      <c r="AC32" s="3">
        <v>77.599699999999999</v>
      </c>
      <c r="AD32" s="3">
        <f>VLOOKUP(C32,'[1]5月25-5月31日汇总'!$C:$G,5,0)</f>
        <v>0</v>
      </c>
      <c r="AE32" s="3">
        <f>VLOOKUP(C32,'[1]6月汇总'!$C:$G,5,0)</f>
        <v>32</v>
      </c>
      <c r="AF32" s="3">
        <f t="shared" si="6"/>
        <v>109.5997</v>
      </c>
      <c r="AG32" s="5">
        <f>VLOOKUP(C32,[2]两年对比终版!$A:$Q,17,0)</f>
        <v>7.43</v>
      </c>
      <c r="AH32" s="5"/>
      <c r="AI32" s="6">
        <f t="shared" si="7"/>
        <v>0.27399924999999997</v>
      </c>
      <c r="AJ32" s="3">
        <v>42</v>
      </c>
      <c r="AK32" s="3">
        <v>8</v>
      </c>
      <c r="AL32" s="3">
        <f>VLOOKUP(C32,'[1]5月25-5月31日汇总'!$C:$H,6,0)</f>
        <v>0</v>
      </c>
      <c r="AM32" s="3">
        <f>VLOOKUP(C32,'[1]6月汇总'!$C:$I,6,0)</f>
        <v>3</v>
      </c>
      <c r="AN32" s="3">
        <f t="shared" si="8"/>
        <v>11</v>
      </c>
      <c r="AO32" s="5">
        <f>VLOOKUP(C32,[2]两年对比终版!$A:$T,20,0)</f>
        <v>1</v>
      </c>
      <c r="AP32" s="5"/>
      <c r="AQ32" s="6">
        <f t="shared" si="9"/>
        <v>0.26190476190476192</v>
      </c>
      <c r="AR32" s="3">
        <v>400</v>
      </c>
      <c r="AS32" s="3">
        <v>77.599699999999999</v>
      </c>
      <c r="AT32" s="3">
        <f>VLOOKUP(C32,'[1]5月25-5月31日汇总'!$C:$I,7,0)</f>
        <v>0</v>
      </c>
      <c r="AU32" s="3">
        <f>VLOOKUP(C32,'[1]6月汇总'!$C:$I,7,0)</f>
        <v>16</v>
      </c>
      <c r="AV32" s="3">
        <f t="shared" si="10"/>
        <v>93.599699999999999</v>
      </c>
      <c r="AW32" s="5">
        <f>VLOOKUP(C32,[2]两年对比终版!$A:$X,23,0)</f>
        <v>7.43</v>
      </c>
      <c r="AX32" s="5"/>
      <c r="AY32" s="6">
        <f t="shared" si="11"/>
        <v>0.23399924999999999</v>
      </c>
      <c r="AZ32" s="3">
        <v>380</v>
      </c>
      <c r="BA32" s="3">
        <v>6.1614800000000001</v>
      </c>
      <c r="BB32" s="3"/>
      <c r="BC32" s="3"/>
      <c r="BD32" s="3">
        <f t="shared" si="12"/>
        <v>6.1614800000000001</v>
      </c>
      <c r="BE32" s="5">
        <f>VLOOKUP(C32,[2]两年对比终版!$A:$AD,30,0)</f>
        <v>15.433404296875</v>
      </c>
      <c r="BF32" s="6">
        <f t="shared" si="13"/>
        <v>1.6214421052631579E-2</v>
      </c>
    </row>
    <row r="33" spans="1:58" hidden="1" x14ac:dyDescent="0.15">
      <c r="A33" s="2">
        <v>27</v>
      </c>
      <c r="B33" s="2" t="s">
        <v>25</v>
      </c>
      <c r="C33" s="2" t="s">
        <v>51</v>
      </c>
      <c r="D33" s="3">
        <v>148</v>
      </c>
      <c r="E33" s="3">
        <v>24</v>
      </c>
      <c r="F33" s="3">
        <f>VLOOKUP(C33,'[1]5月25-5月31日汇总'!$C:$D,2,0)</f>
        <v>2</v>
      </c>
      <c r="G33" s="3">
        <f>VLOOKUP(C33,'[1]6月汇总'!$C:$D,2,0)</f>
        <v>2</v>
      </c>
      <c r="H33" s="3">
        <f t="shared" si="0"/>
        <v>28</v>
      </c>
      <c r="I33" s="5">
        <f>VLOOKUP(C33,[2]两年对比终版!$A:$C,3,0)</f>
        <v>10</v>
      </c>
      <c r="J33" s="5"/>
      <c r="K33" s="6">
        <f t="shared" si="1"/>
        <v>0.1891891891891892</v>
      </c>
      <c r="L33" s="3">
        <v>1470</v>
      </c>
      <c r="M33" s="3">
        <v>317.60000000000002</v>
      </c>
      <c r="N33" s="3">
        <f>VLOOKUP(C33,'[1]5月25-5月31日汇总'!$C:$E,3,0)</f>
        <v>22.8</v>
      </c>
      <c r="O33" s="3">
        <f>VLOOKUP(C33,'[1]6月汇总'!$C:$E,3,0)</f>
        <v>14</v>
      </c>
      <c r="P33" s="3">
        <f t="shared" si="2"/>
        <v>354.40000000000003</v>
      </c>
      <c r="Q33" s="5">
        <f>VLOOKUP(C33,[2]两年对比终版!$A:$F,6,0)</f>
        <v>106.425487</v>
      </c>
      <c r="R33" s="5"/>
      <c r="S33" s="6">
        <f t="shared" si="3"/>
        <v>0.24108843537414967</v>
      </c>
      <c r="T33" s="3">
        <v>55</v>
      </c>
      <c r="U33" s="3">
        <v>11</v>
      </c>
      <c r="V33" s="3">
        <f>VLOOKUP(C33,'[1]5月25-5月31日汇总'!$C:$F,4,0)</f>
        <v>2</v>
      </c>
      <c r="W33" s="3">
        <f>VLOOKUP(C33,'[1]6月汇总'!$C:$F,4,0)</f>
        <v>2</v>
      </c>
      <c r="X33" s="3">
        <f t="shared" si="4"/>
        <v>15</v>
      </c>
      <c r="Y33" s="5">
        <f>VLOOKUP(C33,[2]两年对比终版!$A:$N,14,0)</f>
        <v>1</v>
      </c>
      <c r="Z33" s="5"/>
      <c r="AA33" s="6">
        <f t="shared" si="5"/>
        <v>0.27272727272727271</v>
      </c>
      <c r="AB33" s="3">
        <v>600</v>
      </c>
      <c r="AC33" s="3">
        <v>80.661600000000007</v>
      </c>
      <c r="AD33" s="3">
        <f>VLOOKUP(C33,'[1]5月25-5月31日汇总'!$C:$G,5,0)</f>
        <v>22.8</v>
      </c>
      <c r="AE33" s="3">
        <f>VLOOKUP(C33,'[1]6月汇总'!$C:$G,5,0)</f>
        <v>14</v>
      </c>
      <c r="AF33" s="3">
        <f t="shared" si="6"/>
        <v>117.4616</v>
      </c>
      <c r="AG33" s="5">
        <f>VLOOKUP(C33,[2]两年对比终版!$A:$Q,17,0)</f>
        <v>7.5608399999999998</v>
      </c>
      <c r="AH33" s="5"/>
      <c r="AI33" s="6">
        <f t="shared" si="7"/>
        <v>0.19576933333333335</v>
      </c>
      <c r="AJ33" s="3">
        <v>55</v>
      </c>
      <c r="AK33" s="3">
        <v>10</v>
      </c>
      <c r="AL33" s="3">
        <f>VLOOKUP(C33,'[1]5月25-5月31日汇总'!$C:$H,6,0)</f>
        <v>0</v>
      </c>
      <c r="AM33" s="3">
        <f>VLOOKUP(C33,'[1]6月汇总'!$C:$I,6,0)</f>
        <v>1</v>
      </c>
      <c r="AN33" s="3">
        <f t="shared" si="8"/>
        <v>11</v>
      </c>
      <c r="AO33" s="5">
        <f>VLOOKUP(C33,[2]两年对比终版!$A:$T,20,0)</f>
        <v>0</v>
      </c>
      <c r="AP33" s="5"/>
      <c r="AQ33" s="6">
        <f t="shared" si="9"/>
        <v>0.2</v>
      </c>
      <c r="AR33" s="3">
        <v>600</v>
      </c>
      <c r="AS33" s="3">
        <v>74.216800000000006</v>
      </c>
      <c r="AT33" s="3">
        <f>VLOOKUP(C33,'[1]5月25-5月31日汇总'!$C:$I,7,0)</f>
        <v>0</v>
      </c>
      <c r="AU33" s="3">
        <f>VLOOKUP(C33,'[1]6月汇总'!$C:$I,7,0)</f>
        <v>7.21</v>
      </c>
      <c r="AV33" s="3">
        <f t="shared" si="10"/>
        <v>81.4268</v>
      </c>
      <c r="AW33" s="5">
        <f>VLOOKUP(C33,[2]两年对比终版!$A:$X,23,0)</f>
        <v>0</v>
      </c>
      <c r="AX33" s="5"/>
      <c r="AY33" s="6">
        <f t="shared" si="11"/>
        <v>0.13571133333333332</v>
      </c>
      <c r="AZ33" s="3">
        <v>570</v>
      </c>
      <c r="BA33" s="3">
        <v>63.672400000000003</v>
      </c>
      <c r="BB33" s="3"/>
      <c r="BC33" s="3"/>
      <c r="BD33" s="3">
        <f t="shared" si="12"/>
        <v>63.672400000000003</v>
      </c>
      <c r="BE33" s="5">
        <f>VLOOKUP(C33,[2]两年对比终版!$A:$AD,30,0)</f>
        <v>2.1891039062500002</v>
      </c>
      <c r="BF33" s="6">
        <f t="shared" si="13"/>
        <v>0.11170596491228071</v>
      </c>
    </row>
    <row r="34" spans="1:58" hidden="1" x14ac:dyDescent="0.15">
      <c r="A34" s="2">
        <v>28</v>
      </c>
      <c r="B34" s="2" t="s">
        <v>19</v>
      </c>
      <c r="C34" s="2" t="s">
        <v>52</v>
      </c>
      <c r="D34" s="3">
        <v>246</v>
      </c>
      <c r="E34" s="3">
        <v>88</v>
      </c>
      <c r="F34" s="3">
        <f>VLOOKUP(C34,'[1]5月25-5月31日汇总'!$C:$D,2,0)</f>
        <v>3</v>
      </c>
      <c r="G34" s="3">
        <f>VLOOKUP(C34,'[1]6月汇总'!$C:$D,2,0)</f>
        <v>16</v>
      </c>
      <c r="H34" s="3">
        <f t="shared" si="0"/>
        <v>107</v>
      </c>
      <c r="I34" s="5">
        <f>VLOOKUP(C34,[2]两年对比终版!$A:$C,3,0)</f>
        <v>110</v>
      </c>
      <c r="J34" s="5"/>
      <c r="K34" s="6">
        <f t="shared" si="1"/>
        <v>0.43495934959349591</v>
      </c>
      <c r="L34" s="3">
        <v>2934</v>
      </c>
      <c r="M34" s="3">
        <v>1103.6400000000001</v>
      </c>
      <c r="N34" s="3">
        <f>VLOOKUP(C34,'[1]5月25-5月31日汇总'!$C:$E,3,0)</f>
        <v>34</v>
      </c>
      <c r="O34" s="3">
        <f>VLOOKUP(C34,'[1]6月汇总'!$C:$E,3,0)</f>
        <v>204.55</v>
      </c>
      <c r="P34" s="3">
        <f t="shared" si="2"/>
        <v>1342.19</v>
      </c>
      <c r="Q34" s="5">
        <f>VLOOKUP(C34,[2]两年对比终版!$A:$F,6,0)</f>
        <v>1592.6827720000001</v>
      </c>
      <c r="R34" s="5"/>
      <c r="S34" s="6">
        <f t="shared" si="3"/>
        <v>0.45746080436264486</v>
      </c>
      <c r="T34" s="3">
        <v>81</v>
      </c>
      <c r="U34" s="3">
        <v>24</v>
      </c>
      <c r="V34" s="3">
        <f>VLOOKUP(C34,'[1]5月25-5月31日汇总'!$C:$F,4,0)</f>
        <v>1</v>
      </c>
      <c r="W34" s="3">
        <f>VLOOKUP(C34,'[1]6月汇总'!$C:$F,4,0)</f>
        <v>16</v>
      </c>
      <c r="X34" s="3">
        <f t="shared" si="4"/>
        <v>41</v>
      </c>
      <c r="Y34" s="5">
        <f>VLOOKUP(C34,[2]两年对比终版!$A:$N,14,0)</f>
        <v>30</v>
      </c>
      <c r="Z34" s="5"/>
      <c r="AA34" s="6">
        <f t="shared" si="5"/>
        <v>0.50617283950617287</v>
      </c>
      <c r="AB34" s="3">
        <v>1600</v>
      </c>
      <c r="AC34" s="3">
        <v>274.69299999999998</v>
      </c>
      <c r="AD34" s="3">
        <f>VLOOKUP(C34,'[1]5月25-5月31日汇总'!$C:$G,5,0)</f>
        <v>37.81</v>
      </c>
      <c r="AE34" s="3">
        <f>VLOOKUP(C34,'[1]6月汇总'!$C:$G,5,0)</f>
        <v>204.55</v>
      </c>
      <c r="AF34" s="3">
        <f t="shared" si="6"/>
        <v>517.053</v>
      </c>
      <c r="AG34" s="5">
        <f>VLOOKUP(C34,[2]两年对比终版!$A:$Q,17,0)</f>
        <v>723.49246400000004</v>
      </c>
      <c r="AH34" s="5"/>
      <c r="AI34" s="6">
        <f t="shared" si="7"/>
        <v>0.32315812500000002</v>
      </c>
      <c r="AJ34" s="3">
        <v>81</v>
      </c>
      <c r="AK34" s="3">
        <v>6</v>
      </c>
      <c r="AL34" s="3">
        <f>VLOOKUP(C34,'[1]5月25-5月31日汇总'!$C:$H,6,0)</f>
        <v>4</v>
      </c>
      <c r="AM34" s="3">
        <f>VLOOKUP(C34,'[1]6月汇总'!$C:$I,6,0)</f>
        <v>9</v>
      </c>
      <c r="AN34" s="3">
        <f t="shared" si="8"/>
        <v>19</v>
      </c>
      <c r="AO34" s="5">
        <f>VLOOKUP(C34,[2]两年对比终版!$A:$T,20,0)</f>
        <v>19</v>
      </c>
      <c r="AP34" s="5"/>
      <c r="AQ34" s="6">
        <f t="shared" si="9"/>
        <v>0.23456790123456789</v>
      </c>
      <c r="AR34" s="3">
        <v>1600</v>
      </c>
      <c r="AS34" s="3">
        <v>78.962000000000003</v>
      </c>
      <c r="AT34" s="3">
        <f>VLOOKUP(C34,'[1]5月25-5月31日汇总'!$C:$I,7,0)</f>
        <v>25.91</v>
      </c>
      <c r="AU34" s="3">
        <f>VLOOKUP(C34,'[1]6月汇总'!$C:$I,7,0)</f>
        <v>82.28</v>
      </c>
      <c r="AV34" s="3">
        <f t="shared" si="10"/>
        <v>187.15199999999999</v>
      </c>
      <c r="AW34" s="5">
        <f>VLOOKUP(C34,[2]两年对比终版!$A:$X,23,0)</f>
        <v>329.72867100000002</v>
      </c>
      <c r="AX34" s="5"/>
      <c r="AY34" s="6">
        <f t="shared" si="11"/>
        <v>0.11696999999999999</v>
      </c>
      <c r="AZ34" s="3">
        <v>1520</v>
      </c>
      <c r="BA34" s="3">
        <v>11.9345</v>
      </c>
      <c r="BB34" s="3"/>
      <c r="BC34" s="3"/>
      <c r="BD34" s="3">
        <f t="shared" si="12"/>
        <v>11.9345</v>
      </c>
      <c r="BE34" s="5">
        <f>VLOOKUP(C34,[2]两年对比终版!$A:$AD,30,0)</f>
        <v>534.08012208099399</v>
      </c>
      <c r="BF34" s="6">
        <f t="shared" si="13"/>
        <v>7.8516447368421043E-3</v>
      </c>
    </row>
    <row r="35" spans="1:58" hidden="1" x14ac:dyDescent="0.15">
      <c r="A35" s="2">
        <v>29</v>
      </c>
      <c r="B35" s="2" t="s">
        <v>28</v>
      </c>
      <c r="C35" s="2" t="s">
        <v>53</v>
      </c>
      <c r="D35" s="3">
        <v>85</v>
      </c>
      <c r="E35" s="3">
        <v>29</v>
      </c>
      <c r="F35" s="3">
        <f>VLOOKUP(C35,'[1]5月25-5月31日汇总'!$C:$D,2,0)</f>
        <v>0</v>
      </c>
      <c r="G35" s="3">
        <f>VLOOKUP(C35,'[1]6月汇总'!$C:$D,2,0)</f>
        <v>8</v>
      </c>
      <c r="H35" s="3">
        <f t="shared" si="0"/>
        <v>37</v>
      </c>
      <c r="I35" s="5">
        <f>VLOOKUP(C35,[2]两年对比终版!$A:$C,3,0)</f>
        <v>0</v>
      </c>
      <c r="J35" s="5"/>
      <c r="K35" s="6">
        <f t="shared" si="1"/>
        <v>0.43529411764705883</v>
      </c>
      <c r="L35" s="3">
        <v>650</v>
      </c>
      <c r="M35" s="3">
        <v>214.149</v>
      </c>
      <c r="N35" s="3">
        <f>VLOOKUP(C35,'[1]5月25-5月31日汇总'!$C:$E,3,0)</f>
        <v>0</v>
      </c>
      <c r="O35" s="3">
        <f>VLOOKUP(C35,'[1]6月汇总'!$C:$E,3,0)</f>
        <v>70</v>
      </c>
      <c r="P35" s="3">
        <f t="shared" si="2"/>
        <v>284.149</v>
      </c>
      <c r="Q35" s="5">
        <f>VLOOKUP(C35,[2]两年对比终版!$A:$F,6,0)</f>
        <v>0</v>
      </c>
      <c r="R35" s="5"/>
      <c r="S35" s="6">
        <f t="shared" si="3"/>
        <v>0.43715230769230767</v>
      </c>
      <c r="T35" s="3">
        <v>27</v>
      </c>
      <c r="U35" s="3">
        <v>1</v>
      </c>
      <c r="V35" s="3">
        <f>VLOOKUP(C35,'[1]5月25-5月31日汇总'!$C:$F,4,0)</f>
        <v>0</v>
      </c>
      <c r="W35" s="3">
        <f>VLOOKUP(C35,'[1]6月汇总'!$C:$F,4,0)</f>
        <v>0</v>
      </c>
      <c r="X35" s="3">
        <f t="shared" si="4"/>
        <v>1</v>
      </c>
      <c r="Y35" s="5">
        <f>VLOOKUP(C35,[2]两年对比终版!$A:$N,14,0)</f>
        <v>0</v>
      </c>
      <c r="Z35" s="5"/>
      <c r="AA35" s="6">
        <f t="shared" si="5"/>
        <v>3.7037037037037035E-2</v>
      </c>
      <c r="AB35" s="3">
        <v>350</v>
      </c>
      <c r="AC35" s="3">
        <v>15.5997</v>
      </c>
      <c r="AD35" s="3">
        <f>VLOOKUP(C35,'[1]5月25-5月31日汇总'!$C:$G,5,0)</f>
        <v>0</v>
      </c>
      <c r="AE35" s="3">
        <f>VLOOKUP(C35,'[1]6月汇总'!$C:$G,5,0)</f>
        <v>0</v>
      </c>
      <c r="AF35" s="3">
        <f t="shared" si="6"/>
        <v>15.5997</v>
      </c>
      <c r="AG35" s="5">
        <f>VLOOKUP(C35,[2]两年对比终版!$A:$Q,17,0)</f>
        <v>0</v>
      </c>
      <c r="AH35" s="5"/>
      <c r="AI35" s="6">
        <f t="shared" si="7"/>
        <v>4.4570571428571432E-2</v>
      </c>
      <c r="AJ35" s="3">
        <v>27</v>
      </c>
      <c r="AK35" s="3">
        <v>0</v>
      </c>
      <c r="AL35" s="3">
        <f>VLOOKUP(C35,'[1]5月25-5月31日汇总'!$C:$H,6,0)</f>
        <v>0</v>
      </c>
      <c r="AM35" s="3">
        <f>VLOOKUP(C35,'[1]6月汇总'!$C:$I,6,0)</f>
        <v>0</v>
      </c>
      <c r="AN35" s="3">
        <f t="shared" si="8"/>
        <v>0</v>
      </c>
      <c r="AO35" s="5">
        <f>VLOOKUP(C35,[2]两年对比终版!$A:$T,20,0)</f>
        <v>0</v>
      </c>
      <c r="AP35" s="5"/>
      <c r="AQ35" s="6">
        <f t="shared" si="9"/>
        <v>0</v>
      </c>
      <c r="AR35" s="3">
        <v>350</v>
      </c>
      <c r="AS35" s="3">
        <v>0</v>
      </c>
      <c r="AT35" s="3">
        <f>VLOOKUP(C35,'[1]5月25-5月31日汇总'!$C:$I,7,0)</f>
        <v>0</v>
      </c>
      <c r="AU35" s="3">
        <f>VLOOKUP(C35,'[1]6月汇总'!$C:$I,7,0)</f>
        <v>0</v>
      </c>
      <c r="AV35" s="3">
        <f t="shared" si="10"/>
        <v>0</v>
      </c>
      <c r="AW35" s="5">
        <f>VLOOKUP(C35,[2]两年对比终版!$A:$X,23,0)</f>
        <v>0</v>
      </c>
      <c r="AX35" s="5"/>
      <c r="AY35" s="6">
        <f t="shared" si="11"/>
        <v>0</v>
      </c>
      <c r="AZ35" s="3">
        <v>333</v>
      </c>
      <c r="BA35" s="3">
        <v>4.7464000000000004</v>
      </c>
      <c r="BB35" s="3"/>
      <c r="BC35" s="3"/>
      <c r="BD35" s="3">
        <f t="shared" si="12"/>
        <v>4.7464000000000004</v>
      </c>
      <c r="BE35" s="5">
        <f>VLOOKUP(C35,[2]两年对比终版!$A:$AD,30,0)</f>
        <v>0</v>
      </c>
      <c r="BF35" s="6">
        <f t="shared" si="13"/>
        <v>1.4253453453453455E-2</v>
      </c>
    </row>
    <row r="36" spans="1:58" hidden="1" x14ac:dyDescent="0.15">
      <c r="A36" s="2">
        <v>30</v>
      </c>
      <c r="B36" s="2" t="s">
        <v>28</v>
      </c>
      <c r="C36" s="2" t="s">
        <v>54</v>
      </c>
      <c r="D36" s="3">
        <v>250</v>
      </c>
      <c r="E36" s="3">
        <v>51</v>
      </c>
      <c r="F36" s="3">
        <f>VLOOKUP(C36,'[1]5月25-5月31日汇总'!$C:$D,2,0)</f>
        <v>0</v>
      </c>
      <c r="G36" s="3">
        <f>VLOOKUP(C36,'[1]6月汇总'!$C:$D,2,0)</f>
        <v>19</v>
      </c>
      <c r="H36" s="3">
        <f t="shared" si="0"/>
        <v>70</v>
      </c>
      <c r="I36" s="5">
        <f>VLOOKUP(C36,[2]两年对比终版!$A:$C,3,0)</f>
        <v>0</v>
      </c>
      <c r="J36" s="5"/>
      <c r="K36" s="6">
        <f t="shared" si="1"/>
        <v>0.28000000000000003</v>
      </c>
      <c r="L36" s="3">
        <v>1700</v>
      </c>
      <c r="M36" s="3">
        <v>530.63199999999995</v>
      </c>
      <c r="N36" s="3">
        <f>VLOOKUP(C36,'[1]5月25-5月31日汇总'!$C:$E,3,0)</f>
        <v>0</v>
      </c>
      <c r="O36" s="3">
        <f>VLOOKUP(C36,'[1]6月汇总'!$C:$E,3,0)</f>
        <v>170</v>
      </c>
      <c r="P36" s="3">
        <f t="shared" si="2"/>
        <v>700.63199999999995</v>
      </c>
      <c r="Q36" s="5">
        <f>VLOOKUP(C36,[2]两年对比终版!$A:$F,6,0)</f>
        <v>0</v>
      </c>
      <c r="R36" s="5"/>
      <c r="S36" s="6">
        <f t="shared" si="3"/>
        <v>0.41213647058823527</v>
      </c>
      <c r="T36" s="3">
        <v>42</v>
      </c>
      <c r="U36" s="3">
        <v>0</v>
      </c>
      <c r="V36" s="3">
        <f>VLOOKUP(C36,'[1]5月25-5月31日汇总'!$C:$F,4,0)</f>
        <v>0</v>
      </c>
      <c r="W36" s="3">
        <f>VLOOKUP(C36,'[1]6月汇总'!$C:$F,4,0)</f>
        <v>0</v>
      </c>
      <c r="X36" s="3">
        <f t="shared" si="4"/>
        <v>0</v>
      </c>
      <c r="Y36" s="5">
        <f>VLOOKUP(C36,[2]两年对比终版!$A:$N,14,0)</f>
        <v>0</v>
      </c>
      <c r="Z36" s="5"/>
      <c r="AA36" s="6">
        <f t="shared" si="5"/>
        <v>0</v>
      </c>
      <c r="AB36" s="3">
        <v>400</v>
      </c>
      <c r="AC36" s="3">
        <v>0</v>
      </c>
      <c r="AD36" s="3">
        <f>VLOOKUP(C36,'[1]5月25-5月31日汇总'!$C:$G,5,0)</f>
        <v>0</v>
      </c>
      <c r="AE36" s="3">
        <f>VLOOKUP(C36,'[1]6月汇总'!$C:$G,5,0)</f>
        <v>0</v>
      </c>
      <c r="AF36" s="3">
        <f t="shared" si="6"/>
        <v>0</v>
      </c>
      <c r="AG36" s="5">
        <f>VLOOKUP(C36,[2]两年对比终版!$A:$Q,17,0)</f>
        <v>0</v>
      </c>
      <c r="AH36" s="5"/>
      <c r="AI36" s="6">
        <f t="shared" si="7"/>
        <v>0</v>
      </c>
      <c r="AJ36" s="3">
        <v>42</v>
      </c>
      <c r="AK36" s="3">
        <v>0</v>
      </c>
      <c r="AL36" s="3">
        <f>VLOOKUP(C36,'[1]5月25-5月31日汇总'!$C:$H,6,0)</f>
        <v>0</v>
      </c>
      <c r="AM36" s="3">
        <f>VLOOKUP(C36,'[1]6月汇总'!$C:$I,6,0)</f>
        <v>0</v>
      </c>
      <c r="AN36" s="3">
        <f t="shared" si="8"/>
        <v>0</v>
      </c>
      <c r="AO36" s="5">
        <f>VLOOKUP(C36,[2]两年对比终版!$A:$T,20,0)</f>
        <v>0</v>
      </c>
      <c r="AP36" s="5"/>
      <c r="AQ36" s="6">
        <f t="shared" si="9"/>
        <v>0</v>
      </c>
      <c r="AR36" s="3">
        <v>400</v>
      </c>
      <c r="AS36" s="3">
        <v>0</v>
      </c>
      <c r="AT36" s="3">
        <f>VLOOKUP(C36,'[1]5月25-5月31日汇总'!$C:$I,7,0)</f>
        <v>0</v>
      </c>
      <c r="AU36" s="3">
        <f>VLOOKUP(C36,'[1]6月汇总'!$C:$I,7,0)</f>
        <v>0</v>
      </c>
      <c r="AV36" s="3">
        <f t="shared" si="10"/>
        <v>0</v>
      </c>
      <c r="AW36" s="5">
        <f>VLOOKUP(C36,[2]两年对比终版!$A:$X,23,0)</f>
        <v>0</v>
      </c>
      <c r="AX36" s="5"/>
      <c r="AY36" s="6">
        <f t="shared" si="11"/>
        <v>0</v>
      </c>
      <c r="AZ36" s="3">
        <v>380</v>
      </c>
      <c r="BA36" s="3">
        <v>0</v>
      </c>
      <c r="BB36" s="3"/>
      <c r="BC36" s="3"/>
      <c r="BD36" s="3">
        <f t="shared" si="12"/>
        <v>0</v>
      </c>
      <c r="BE36" s="5">
        <f>VLOOKUP(C36,[2]两年对比终版!$A:$AD,30,0)</f>
        <v>0</v>
      </c>
      <c r="BF36" s="6">
        <f t="shared" si="13"/>
        <v>0</v>
      </c>
    </row>
    <row r="37" spans="1:58" x14ac:dyDescent="0.15">
      <c r="A37" s="16" t="s">
        <v>55</v>
      </c>
      <c r="B37" s="12"/>
      <c r="C37" s="17"/>
      <c r="D37" s="4">
        <f t="shared" ref="D37:I37" si="22">SUM(D26:D36)</f>
        <v>1823</v>
      </c>
      <c r="E37" s="4">
        <f t="shared" si="22"/>
        <v>454</v>
      </c>
      <c r="F37" s="4">
        <f t="shared" si="22"/>
        <v>25</v>
      </c>
      <c r="G37" s="4">
        <f t="shared" si="22"/>
        <v>126</v>
      </c>
      <c r="H37" s="4">
        <f t="shared" si="22"/>
        <v>605</v>
      </c>
      <c r="I37" s="7">
        <f t="shared" si="22"/>
        <v>467</v>
      </c>
      <c r="J37" s="10">
        <f>(H37-I37)/I37</f>
        <v>0.2955032119914347</v>
      </c>
      <c r="K37" s="8">
        <f>H37/D37</f>
        <v>0.33187054306088865</v>
      </c>
      <c r="L37" s="4">
        <f t="shared" ref="L37:BE37" si="23">SUM(L26:L36)</f>
        <v>15128.25</v>
      </c>
      <c r="M37" s="4">
        <f t="shared" si="23"/>
        <v>4707.1140000000005</v>
      </c>
      <c r="N37" s="4">
        <f t="shared" si="23"/>
        <v>231.86</v>
      </c>
      <c r="O37" s="4">
        <f t="shared" si="23"/>
        <v>1277.43</v>
      </c>
      <c r="P37" s="4">
        <f t="shared" si="23"/>
        <v>6216.4040000000005</v>
      </c>
      <c r="Q37" s="7">
        <f>SUM(Q26:Q36)</f>
        <v>5851.5673800000004</v>
      </c>
      <c r="R37" s="10">
        <f>(P37-Q37)/Q37</f>
        <v>6.2348529258497577E-2</v>
      </c>
      <c r="S37" s="8">
        <f>P37/L37</f>
        <v>0.41091362186637587</v>
      </c>
      <c r="T37" s="4">
        <f t="shared" si="23"/>
        <v>501</v>
      </c>
      <c r="U37" s="4">
        <f t="shared" si="23"/>
        <v>90</v>
      </c>
      <c r="V37" s="4">
        <f t="shared" si="23"/>
        <v>9</v>
      </c>
      <c r="W37" s="4">
        <f t="shared" si="23"/>
        <v>39</v>
      </c>
      <c r="X37" s="4">
        <f t="shared" si="23"/>
        <v>138</v>
      </c>
      <c r="Y37" s="7">
        <f t="shared" si="23"/>
        <v>88</v>
      </c>
      <c r="Z37" s="10">
        <f>(X37-Y37)/Y37</f>
        <v>0.56818181818181823</v>
      </c>
      <c r="AA37" s="8">
        <f>X37/T37</f>
        <v>0.27544910179640719</v>
      </c>
      <c r="AB37" s="4">
        <f t="shared" si="23"/>
        <v>6146.2449999999999</v>
      </c>
      <c r="AC37" s="4">
        <f t="shared" si="23"/>
        <v>823.96729999999991</v>
      </c>
      <c r="AD37" s="4">
        <f t="shared" si="23"/>
        <v>132.6</v>
      </c>
      <c r="AE37" s="4">
        <f t="shared" si="23"/>
        <v>389.22</v>
      </c>
      <c r="AF37" s="4">
        <f t="shared" si="23"/>
        <v>1345.7873</v>
      </c>
      <c r="AG37" s="7">
        <f t="shared" si="23"/>
        <v>1221.545443</v>
      </c>
      <c r="AH37" s="10">
        <f>(AF37-AG37)/AG37</f>
        <v>0.10170874748210246</v>
      </c>
      <c r="AI37" s="8">
        <f>AF37/AB37</f>
        <v>0.21896089400926907</v>
      </c>
      <c r="AJ37" s="4">
        <f t="shared" si="23"/>
        <v>501</v>
      </c>
      <c r="AK37" s="4">
        <f t="shared" si="23"/>
        <v>68</v>
      </c>
      <c r="AL37" s="4">
        <f t="shared" si="23"/>
        <v>12</v>
      </c>
      <c r="AM37" s="4">
        <f t="shared" si="23"/>
        <v>30</v>
      </c>
      <c r="AN37" s="4">
        <f t="shared" si="23"/>
        <v>110</v>
      </c>
      <c r="AO37" s="7">
        <f t="shared" si="23"/>
        <v>78</v>
      </c>
      <c r="AP37" s="10">
        <f>(AN37-AO37)/AO37</f>
        <v>0.41025641025641024</v>
      </c>
      <c r="AQ37" s="8">
        <f>AN37/AJ37</f>
        <v>0.21956087824351297</v>
      </c>
      <c r="AR37" s="4">
        <f t="shared" si="23"/>
        <v>6146.2449999999999</v>
      </c>
      <c r="AS37" s="4">
        <f t="shared" si="23"/>
        <v>628.9846</v>
      </c>
      <c r="AT37" s="4">
        <f t="shared" si="23"/>
        <v>77.489999999999995</v>
      </c>
      <c r="AU37" s="4">
        <f t="shared" si="23"/>
        <v>289.69070640000001</v>
      </c>
      <c r="AV37" s="4">
        <f t="shared" si="23"/>
        <v>996.16530639999974</v>
      </c>
      <c r="AW37" s="7">
        <f t="shared" si="23"/>
        <v>913.28936999999996</v>
      </c>
      <c r="AX37" s="10">
        <f>(AV37-AW37)/AW37</f>
        <v>9.074444433750474E-2</v>
      </c>
      <c r="AY37" s="8">
        <f>AV37/AR37</f>
        <v>0.16207705784588797</v>
      </c>
      <c r="AZ37" s="4">
        <f t="shared" si="23"/>
        <v>5839</v>
      </c>
      <c r="BA37" s="4">
        <f t="shared" si="23"/>
        <v>225.78712999999999</v>
      </c>
      <c r="BB37" s="4">
        <f t="shared" si="23"/>
        <v>0</v>
      </c>
      <c r="BC37" s="4">
        <f t="shared" si="23"/>
        <v>0</v>
      </c>
      <c r="BD37" s="4">
        <f t="shared" si="23"/>
        <v>225.78712999999999</v>
      </c>
      <c r="BE37" s="7">
        <f t="shared" si="23"/>
        <v>2328.6570708166641</v>
      </c>
      <c r="BF37" s="8">
        <f>BD37/AZ37</f>
        <v>3.8668801164582975E-2</v>
      </c>
    </row>
    <row r="38" spans="1:58" hidden="1" x14ac:dyDescent="0.15">
      <c r="A38" s="2">
        <v>31</v>
      </c>
      <c r="B38" s="2" t="s">
        <v>25</v>
      </c>
      <c r="C38" s="2" t="s">
        <v>56</v>
      </c>
      <c r="D38" s="3">
        <v>122</v>
      </c>
      <c r="E38" s="3">
        <v>43</v>
      </c>
      <c r="F38" s="3">
        <f>VLOOKUP(C38,'[1]5月25-5月31日汇总'!$C:$D,2,0)</f>
        <v>25</v>
      </c>
      <c r="G38" s="3">
        <f>VLOOKUP(C38,'[1]6月汇总'!$C:$D,2,0)</f>
        <v>70</v>
      </c>
      <c r="H38" s="3">
        <f t="shared" ref="H38:H83" si="24">SUM(E38:G38)</f>
        <v>138</v>
      </c>
      <c r="I38" s="5">
        <f>VLOOKUP(C38,[2]两年对比终版!$A:$C,3,0)</f>
        <v>42</v>
      </c>
      <c r="J38" s="5"/>
      <c r="K38" s="6">
        <f t="shared" ref="K38:K83" si="25">H38/D38</f>
        <v>1.1311475409836065</v>
      </c>
      <c r="L38" s="3">
        <v>3360</v>
      </c>
      <c r="M38" s="3">
        <v>490.78699999999998</v>
      </c>
      <c r="N38" s="3">
        <f>VLOOKUP(C38,'[1]5月25-5月31日汇总'!$C:$E,3,0)</f>
        <v>204.24260000000001</v>
      </c>
      <c r="O38" s="3">
        <f>VLOOKUP(C38,'[1]6月汇总'!$C:$E,3,0)</f>
        <v>816.97040000000004</v>
      </c>
      <c r="P38" s="3">
        <f t="shared" ref="P38:P83" si="26">SUM(M38:O38)</f>
        <v>1512</v>
      </c>
      <c r="Q38" s="5">
        <f>VLOOKUP(C38,[2]两年对比终版!$A:$F,6,0)</f>
        <v>1049.7855669999999</v>
      </c>
      <c r="R38" s="5"/>
      <c r="S38" s="6">
        <f t="shared" ref="S38:S83" si="27">P38/L38</f>
        <v>0.45</v>
      </c>
      <c r="T38" s="3">
        <v>64</v>
      </c>
      <c r="U38" s="3">
        <v>5</v>
      </c>
      <c r="V38" s="3">
        <f>VLOOKUP(C38,'[1]5月25-5月31日汇总'!$C:$F,4,0)</f>
        <v>0</v>
      </c>
      <c r="W38" s="3">
        <f>VLOOKUP(C38,'[1]6月汇总'!$C:$F,4,0)</f>
        <v>10</v>
      </c>
      <c r="X38" s="3">
        <f t="shared" ref="X38:X83" si="28">SUM(U38:W38)</f>
        <v>15</v>
      </c>
      <c r="Y38" s="5">
        <f>VLOOKUP(C38,[2]两年对比终版!$A:$N,14,0)</f>
        <v>27</v>
      </c>
      <c r="Z38" s="5"/>
      <c r="AA38" s="6">
        <f t="shared" ref="AA38:AA83" si="29">X38/T38</f>
        <v>0.234375</v>
      </c>
      <c r="AB38" s="3">
        <v>1500</v>
      </c>
      <c r="AC38" s="3">
        <v>55.939300000000003</v>
      </c>
      <c r="AD38" s="3">
        <f>VLOOKUP(C38,'[1]5月25-5月31日汇总'!$C:$G,5,0)</f>
        <v>0</v>
      </c>
      <c r="AE38" s="3">
        <f>VLOOKUP(C38,'[1]6月汇总'!$C:$G,5,0)</f>
        <v>155</v>
      </c>
      <c r="AF38" s="3">
        <f t="shared" ref="AF38:AF83" si="30">SUM(AC38:AE38)</f>
        <v>210.9393</v>
      </c>
      <c r="AG38" s="5">
        <f>VLOOKUP(C38,[2]两年对比终版!$A:$Q,17,0)</f>
        <v>913.934257</v>
      </c>
      <c r="AH38" s="5"/>
      <c r="AI38" s="6">
        <f t="shared" ref="AI38:AI83" si="31">AF38/AB38</f>
        <v>0.14062620000000001</v>
      </c>
      <c r="AJ38" s="3">
        <v>64</v>
      </c>
      <c r="AK38" s="3">
        <v>1</v>
      </c>
      <c r="AL38" s="3">
        <f>VLOOKUP(C38,'[1]5月25-5月31日汇总'!$C:$H,6,0)</f>
        <v>0</v>
      </c>
      <c r="AM38" s="3">
        <f>VLOOKUP(C38,'[1]6月汇总'!$C:$I,6,0)</f>
        <v>10</v>
      </c>
      <c r="AN38" s="3">
        <f t="shared" ref="AN38:AN83" si="32">SUM(AK38:AM38)</f>
        <v>11</v>
      </c>
      <c r="AO38" s="5">
        <f>VLOOKUP(C38,[2]两年对比终版!$A:$T,20,0)</f>
        <v>26</v>
      </c>
      <c r="AP38" s="5"/>
      <c r="AQ38" s="6">
        <f t="shared" ref="AQ38:AQ83" si="33">AN38/AJ38</f>
        <v>0.171875</v>
      </c>
      <c r="AR38" s="3">
        <v>1500</v>
      </c>
      <c r="AS38" s="3">
        <v>26.676100000000002</v>
      </c>
      <c r="AT38" s="3">
        <f>VLOOKUP(C38,'[1]5月25-5月31日汇总'!$C:$I,7,0)</f>
        <v>0</v>
      </c>
      <c r="AU38" s="3">
        <f>VLOOKUP(C38,'[1]6月汇总'!$C:$I,7,0)</f>
        <v>160</v>
      </c>
      <c r="AV38" s="3">
        <f t="shared" ref="AV38:AV83" si="34">SUM(AS38:AU38)</f>
        <v>186.67609999999999</v>
      </c>
      <c r="AW38" s="5">
        <f>VLOOKUP(C38,[2]两年对比终版!$A:$X,23,0)</f>
        <v>895.74991999999997</v>
      </c>
      <c r="AX38" s="5"/>
      <c r="AY38" s="6">
        <f t="shared" ref="AY38:AY83" si="35">AV38/AR38</f>
        <v>0.12445073333333333</v>
      </c>
      <c r="AZ38" s="3">
        <v>1425</v>
      </c>
      <c r="BA38" s="3">
        <v>7.8727799999999997</v>
      </c>
      <c r="BB38" s="3"/>
      <c r="BC38" s="3"/>
      <c r="BD38" s="3">
        <f t="shared" ref="BD38:BD83" si="36">SUM(BA38:BC38)</f>
        <v>7.8727799999999997</v>
      </c>
      <c r="BE38" s="5">
        <f>VLOOKUP(C38,[2]两年对比终版!$A:$AD,30,0)</f>
        <v>460.53614658203099</v>
      </c>
      <c r="BF38" s="6">
        <f t="shared" ref="BF38:BF83" si="37">BD38/AZ38</f>
        <v>5.5247578947368418E-3</v>
      </c>
    </row>
    <row r="39" spans="1:58" hidden="1" x14ac:dyDescent="0.15">
      <c r="A39" s="2">
        <v>32</v>
      </c>
      <c r="B39" s="2" t="s">
        <v>19</v>
      </c>
      <c r="C39" s="2" t="s">
        <v>57</v>
      </c>
      <c r="D39" s="3">
        <v>733</v>
      </c>
      <c r="E39" s="3">
        <v>215</v>
      </c>
      <c r="F39" s="3">
        <f>VLOOKUP(C39,'[1]5月25-5月31日汇总'!$C:$D,2,0)</f>
        <v>25</v>
      </c>
      <c r="G39" s="3">
        <f>VLOOKUP(C39,'[1]6月汇总'!$C:$D,2,0)</f>
        <v>92</v>
      </c>
      <c r="H39" s="3">
        <f t="shared" si="24"/>
        <v>332</v>
      </c>
      <c r="I39" s="5">
        <f>VLOOKUP(C39,[2]两年对比终版!$A:$C,3,0)</f>
        <v>860</v>
      </c>
      <c r="J39" s="5"/>
      <c r="K39" s="6">
        <f t="shared" si="25"/>
        <v>0.45293315143246932</v>
      </c>
      <c r="L39" s="3">
        <v>6860</v>
      </c>
      <c r="M39" s="3">
        <v>1849.15</v>
      </c>
      <c r="N39" s="3">
        <f>VLOOKUP(C39,'[1]5月25-5月31日汇总'!$C:$E,3,0)</f>
        <v>247.57</v>
      </c>
      <c r="O39" s="3">
        <f>VLOOKUP(C39,'[1]6月汇总'!$C:$E,3,0)</f>
        <v>990.28</v>
      </c>
      <c r="P39" s="3">
        <f t="shared" si="26"/>
        <v>3087</v>
      </c>
      <c r="Q39" s="5">
        <f>VLOOKUP(C39,[2]两年对比终版!$A:$F,6,0)</f>
        <v>7680.8760709999397</v>
      </c>
      <c r="R39" s="5"/>
      <c r="S39" s="6">
        <f t="shared" si="27"/>
        <v>0.45</v>
      </c>
      <c r="T39" s="3">
        <v>200</v>
      </c>
      <c r="U39" s="3">
        <v>31</v>
      </c>
      <c r="V39" s="3">
        <f>VLOOKUP(C39,'[1]5月25-5月31日汇总'!$C:$F,4,0)</f>
        <v>2</v>
      </c>
      <c r="W39" s="3">
        <f>VLOOKUP(C39,'[1]6月汇总'!$C:$F,4,0)</f>
        <v>10</v>
      </c>
      <c r="X39" s="3">
        <f t="shared" si="28"/>
        <v>43</v>
      </c>
      <c r="Y39" s="5">
        <f>VLOOKUP(C39,[2]两年对比终版!$A:$N,14,0)</f>
        <v>115</v>
      </c>
      <c r="Z39" s="5"/>
      <c r="AA39" s="6">
        <f t="shared" si="29"/>
        <v>0.215</v>
      </c>
      <c r="AB39" s="3">
        <v>2360</v>
      </c>
      <c r="AC39" s="3">
        <v>268.55900000000003</v>
      </c>
      <c r="AD39" s="3">
        <f>VLOOKUP(C39,'[1]5月25-5月31日汇总'!$C:$G,5,0)</f>
        <v>22</v>
      </c>
      <c r="AE39" s="3">
        <f>VLOOKUP(C39,'[1]6月汇总'!$C:$G,5,0)</f>
        <v>105</v>
      </c>
      <c r="AF39" s="3">
        <f t="shared" si="30"/>
        <v>395.55900000000003</v>
      </c>
      <c r="AG39" s="5">
        <f>VLOOKUP(C39,[2]两年对比终版!$A:$Q,17,0)</f>
        <v>999.50570600000106</v>
      </c>
      <c r="AH39" s="5"/>
      <c r="AI39" s="6">
        <f t="shared" si="31"/>
        <v>0.16760974576271187</v>
      </c>
      <c r="AJ39" s="3">
        <v>200</v>
      </c>
      <c r="AK39" s="3">
        <v>29</v>
      </c>
      <c r="AL39" s="3">
        <f>VLOOKUP(C39,'[1]5月25-5月31日汇总'!$C:$H,6,0)</f>
        <v>1</v>
      </c>
      <c r="AM39" s="3">
        <f>VLOOKUP(C39,'[1]6月汇总'!$C:$I,6,0)</f>
        <v>8</v>
      </c>
      <c r="AN39" s="3">
        <f t="shared" si="32"/>
        <v>38</v>
      </c>
      <c r="AO39" s="5">
        <f>VLOOKUP(C39,[2]两年对比终版!$A:$T,20,0)</f>
        <v>132</v>
      </c>
      <c r="AP39" s="5"/>
      <c r="AQ39" s="6">
        <f t="shared" si="33"/>
        <v>0.19</v>
      </c>
      <c r="AR39" s="3">
        <v>2360</v>
      </c>
      <c r="AS39" s="3">
        <v>257.589</v>
      </c>
      <c r="AT39" s="3">
        <f>VLOOKUP(C39,'[1]5月25-5月31日汇总'!$C:$I,7,0)</f>
        <v>8</v>
      </c>
      <c r="AU39" s="3">
        <f>VLOOKUP(C39,'[1]6月汇总'!$C:$I,7,0)</f>
        <v>70</v>
      </c>
      <c r="AV39" s="3">
        <f t="shared" si="34"/>
        <v>335.589</v>
      </c>
      <c r="AW39" s="5">
        <f>VLOOKUP(C39,[2]两年对比终版!$A:$X,23,0)</f>
        <v>1132.2965879999999</v>
      </c>
      <c r="AX39" s="5"/>
      <c r="AY39" s="6">
        <f t="shared" si="35"/>
        <v>0.14219872881355933</v>
      </c>
      <c r="AZ39" s="3">
        <v>2242</v>
      </c>
      <c r="BA39" s="3">
        <v>676.01800000000003</v>
      </c>
      <c r="BB39" s="3"/>
      <c r="BC39" s="3"/>
      <c r="BD39" s="3">
        <f t="shared" si="36"/>
        <v>676.01800000000003</v>
      </c>
      <c r="BE39" s="5">
        <f>VLOOKUP(C39,[2]两年对比终版!$A:$AD,30,0)</f>
        <v>831.13296945800801</v>
      </c>
      <c r="BF39" s="6">
        <f t="shared" si="37"/>
        <v>0.30152453166815346</v>
      </c>
    </row>
    <row r="40" spans="1:58" hidden="1" x14ac:dyDescent="0.15">
      <c r="A40" s="2">
        <v>33</v>
      </c>
      <c r="B40" s="2" t="s">
        <v>19</v>
      </c>
      <c r="C40" s="2" t="s">
        <v>58</v>
      </c>
      <c r="D40" s="3">
        <v>299</v>
      </c>
      <c r="E40" s="3">
        <v>95</v>
      </c>
      <c r="F40" s="3">
        <f>VLOOKUP(C40,'[1]5月25-5月31日汇总'!$C:$D,2,0)</f>
        <v>22</v>
      </c>
      <c r="G40" s="3">
        <f>VLOOKUP(C40,'[1]6月汇总'!$C:$D,2,0)</f>
        <v>90</v>
      </c>
      <c r="H40" s="3">
        <f t="shared" si="24"/>
        <v>207</v>
      </c>
      <c r="I40" s="5">
        <f>VLOOKUP(C40,[2]两年对比终版!$A:$C,3,0)</f>
        <v>380</v>
      </c>
      <c r="J40" s="5"/>
      <c r="K40" s="6">
        <f t="shared" si="25"/>
        <v>0.69230769230769229</v>
      </c>
      <c r="L40" s="3">
        <v>3710</v>
      </c>
      <c r="M40" s="3">
        <v>754.04700000000003</v>
      </c>
      <c r="N40" s="3">
        <f>VLOOKUP(C40,'[1]5月25-5月31日汇总'!$C:$E,3,0)</f>
        <v>183.09059999999999</v>
      </c>
      <c r="O40" s="3">
        <f>VLOOKUP(C40,'[1]6月汇总'!$C:$E,3,0)</f>
        <v>732.36239999999998</v>
      </c>
      <c r="P40" s="3">
        <f t="shared" si="26"/>
        <v>1669.5</v>
      </c>
      <c r="Q40" s="5">
        <f>VLOOKUP(C40,[2]两年对比终版!$A:$F,6,0)</f>
        <v>2999.3153000000002</v>
      </c>
      <c r="R40" s="5"/>
      <c r="S40" s="6">
        <f t="shared" si="27"/>
        <v>0.45</v>
      </c>
      <c r="T40" s="3">
        <v>150</v>
      </c>
      <c r="U40" s="3">
        <v>13</v>
      </c>
      <c r="V40" s="3">
        <f>VLOOKUP(C40,'[1]5月25-5月31日汇总'!$C:$F,4,0)</f>
        <v>8</v>
      </c>
      <c r="W40" s="3">
        <f>VLOOKUP(C40,'[1]6月汇总'!$C:$F,4,0)</f>
        <v>15</v>
      </c>
      <c r="X40" s="3">
        <f t="shared" si="28"/>
        <v>36</v>
      </c>
      <c r="Y40" s="5">
        <f>VLOOKUP(C40,[2]两年对比终版!$A:$N,14,0)</f>
        <v>18</v>
      </c>
      <c r="Z40" s="5"/>
      <c r="AA40" s="6">
        <f t="shared" si="29"/>
        <v>0.24</v>
      </c>
      <c r="AB40" s="3">
        <v>1500</v>
      </c>
      <c r="AC40" s="3">
        <v>108.78700000000001</v>
      </c>
      <c r="AD40" s="3">
        <f>VLOOKUP(C40,'[1]5月25-5月31日汇总'!$C:$G,5,0)</f>
        <v>70</v>
      </c>
      <c r="AE40" s="3">
        <f>VLOOKUP(C40,'[1]6月汇总'!$C:$G,5,0)</f>
        <v>180</v>
      </c>
      <c r="AF40" s="3">
        <f t="shared" si="30"/>
        <v>358.78700000000003</v>
      </c>
      <c r="AG40" s="5">
        <f>VLOOKUP(C40,[2]两年对比终版!$A:$Q,17,0)</f>
        <v>244.92996500000001</v>
      </c>
      <c r="AH40" s="5"/>
      <c r="AI40" s="6">
        <f t="shared" si="31"/>
        <v>0.23919133333333337</v>
      </c>
      <c r="AJ40" s="3">
        <v>150</v>
      </c>
      <c r="AK40" s="3">
        <v>31</v>
      </c>
      <c r="AL40" s="3">
        <f>VLOOKUP(C40,'[1]5月25-5月31日汇总'!$C:$H,6,0)</f>
        <v>0</v>
      </c>
      <c r="AM40" s="3">
        <f>VLOOKUP(C40,'[1]6月汇总'!$C:$I,6,0)</f>
        <v>5</v>
      </c>
      <c r="AN40" s="3">
        <f t="shared" si="32"/>
        <v>36</v>
      </c>
      <c r="AO40" s="5">
        <f>VLOOKUP(C40,[2]两年对比终版!$A:$T,20,0)</f>
        <v>22</v>
      </c>
      <c r="AP40" s="5"/>
      <c r="AQ40" s="6">
        <f t="shared" si="33"/>
        <v>0.24</v>
      </c>
      <c r="AR40" s="3">
        <v>1500</v>
      </c>
      <c r="AS40" s="3">
        <v>307.471</v>
      </c>
      <c r="AT40" s="3">
        <f>VLOOKUP(C40,'[1]5月25-5月31日汇总'!$C:$I,7,0)</f>
        <v>0</v>
      </c>
      <c r="AU40" s="3">
        <f>VLOOKUP(C40,'[1]6月汇总'!$C:$I,7,0)</f>
        <v>45</v>
      </c>
      <c r="AV40" s="3">
        <f t="shared" si="34"/>
        <v>352.471</v>
      </c>
      <c r="AW40" s="5">
        <f>VLOOKUP(C40,[2]两年对比终版!$A:$X,23,0)</f>
        <v>262.43405999999999</v>
      </c>
      <c r="AX40" s="5"/>
      <c r="AY40" s="6">
        <f t="shared" si="35"/>
        <v>0.23498066666666667</v>
      </c>
      <c r="AZ40" s="3">
        <v>1425</v>
      </c>
      <c r="BA40" s="3">
        <v>40.4176</v>
      </c>
      <c r="BB40" s="3"/>
      <c r="BC40" s="3"/>
      <c r="BD40" s="3">
        <f t="shared" si="36"/>
        <v>40.4176</v>
      </c>
      <c r="BE40" s="5">
        <f>VLOOKUP(C40,[2]两年对比终版!$A:$AD,30,0)</f>
        <v>661.69019570312605</v>
      </c>
      <c r="BF40" s="6">
        <f t="shared" si="37"/>
        <v>2.8363228070175439E-2</v>
      </c>
    </row>
    <row r="41" spans="1:58" hidden="1" x14ac:dyDescent="0.15">
      <c r="A41" s="2">
        <v>34</v>
      </c>
      <c r="B41" s="2" t="s">
        <v>28</v>
      </c>
      <c r="C41" s="2" t="s">
        <v>59</v>
      </c>
      <c r="D41" s="3">
        <v>136</v>
      </c>
      <c r="E41" s="3">
        <v>25</v>
      </c>
      <c r="F41" s="3">
        <f>VLOOKUP(C41,'[1]5月25-5月31日汇总'!$C:$D,2,0)</f>
        <v>7</v>
      </c>
      <c r="G41" s="3">
        <f>VLOOKUP(C41,'[1]6月汇总'!$C:$D,2,0)</f>
        <v>29</v>
      </c>
      <c r="H41" s="3">
        <f t="shared" si="24"/>
        <v>61</v>
      </c>
      <c r="I41" s="5">
        <f>VLOOKUP(C41,[2]两年对比终版!$A:$C,3,0)</f>
        <v>77</v>
      </c>
      <c r="J41" s="5"/>
      <c r="K41" s="6">
        <f t="shared" si="25"/>
        <v>0.4485294117647059</v>
      </c>
      <c r="L41" s="3">
        <v>1820</v>
      </c>
      <c r="M41" s="3">
        <v>479.952</v>
      </c>
      <c r="N41" s="3">
        <f>VLOOKUP(C41,'[1]5月25-5月31日汇总'!$C:$E,3,0)</f>
        <v>67.809600000000003</v>
      </c>
      <c r="O41" s="3">
        <f>VLOOKUP(C41,'[1]6月汇总'!$C:$E,3,0)</f>
        <v>271.23840000000001</v>
      </c>
      <c r="P41" s="3">
        <f t="shared" si="26"/>
        <v>819</v>
      </c>
      <c r="Q41" s="5">
        <f>VLOOKUP(C41,[2]两年对比终版!$A:$F,6,0)</f>
        <v>1017.1580300000001</v>
      </c>
      <c r="R41" s="5"/>
      <c r="S41" s="6">
        <f t="shared" si="27"/>
        <v>0.45</v>
      </c>
      <c r="T41" s="3">
        <v>64</v>
      </c>
      <c r="U41" s="3">
        <v>0</v>
      </c>
      <c r="V41" s="3">
        <f>VLOOKUP(C41,'[1]5月25-5月31日汇总'!$C:$F,4,0)</f>
        <v>0</v>
      </c>
      <c r="W41" s="3">
        <f>VLOOKUP(C41,'[1]6月汇总'!$C:$F,4,0)</f>
        <v>3</v>
      </c>
      <c r="X41" s="3">
        <f t="shared" si="28"/>
        <v>3</v>
      </c>
      <c r="Y41" s="5">
        <f>VLOOKUP(C41,[2]两年对比终版!$A:$N,14,0)</f>
        <v>11</v>
      </c>
      <c r="Z41" s="5"/>
      <c r="AA41" s="6">
        <f t="shared" si="29"/>
        <v>4.6875E-2</v>
      </c>
      <c r="AB41" s="3">
        <v>732</v>
      </c>
      <c r="AC41" s="3">
        <v>0</v>
      </c>
      <c r="AD41" s="3">
        <f>VLOOKUP(C41,'[1]5月25-5月31日汇总'!$C:$G,5,0)</f>
        <v>0</v>
      </c>
      <c r="AE41" s="3">
        <f>VLOOKUP(C41,'[1]6月汇总'!$C:$G,5,0)</f>
        <v>25</v>
      </c>
      <c r="AF41" s="3">
        <f t="shared" si="30"/>
        <v>25</v>
      </c>
      <c r="AG41" s="5">
        <f>VLOOKUP(C41,[2]两年对比终版!$A:$Q,17,0)</f>
        <v>126.799567</v>
      </c>
      <c r="AH41" s="5"/>
      <c r="AI41" s="6">
        <f t="shared" si="31"/>
        <v>3.4153005464480878E-2</v>
      </c>
      <c r="AJ41" s="3">
        <v>64</v>
      </c>
      <c r="AK41" s="3">
        <v>9</v>
      </c>
      <c r="AL41" s="3">
        <f>VLOOKUP(C41,'[1]5月25-5月31日汇总'!$C:$H,6,0)</f>
        <v>0</v>
      </c>
      <c r="AM41" s="3">
        <f>VLOOKUP(C41,'[1]6月汇总'!$C:$I,6,0)</f>
        <v>2</v>
      </c>
      <c r="AN41" s="3">
        <f t="shared" si="32"/>
        <v>11</v>
      </c>
      <c r="AO41" s="5">
        <f>VLOOKUP(C41,[2]两年对比终版!$A:$T,20,0)</f>
        <v>12</v>
      </c>
      <c r="AP41" s="5"/>
      <c r="AQ41" s="6">
        <f t="shared" si="33"/>
        <v>0.171875</v>
      </c>
      <c r="AR41" s="3">
        <v>732</v>
      </c>
      <c r="AS41" s="3">
        <v>87.084900000000005</v>
      </c>
      <c r="AT41" s="3">
        <f>VLOOKUP(C41,'[1]5月25-5月31日汇总'!$C:$I,7,0)</f>
        <v>0</v>
      </c>
      <c r="AU41" s="3">
        <f>VLOOKUP(C41,'[1]6月汇总'!$C:$I,7,0)</f>
        <v>17</v>
      </c>
      <c r="AV41" s="3">
        <f t="shared" si="34"/>
        <v>104.0849</v>
      </c>
      <c r="AW41" s="5">
        <f>VLOOKUP(C41,[2]两年对比终版!$A:$X,23,0)</f>
        <v>134.82774499999999</v>
      </c>
      <c r="AX41" s="5"/>
      <c r="AY41" s="6">
        <f t="shared" si="35"/>
        <v>0.14219248633879783</v>
      </c>
      <c r="AZ41" s="3">
        <v>695</v>
      </c>
      <c r="BA41" s="3">
        <v>8.3335500000000007</v>
      </c>
      <c r="BB41" s="3"/>
      <c r="BC41" s="3"/>
      <c r="BD41" s="3">
        <f t="shared" si="36"/>
        <v>8.3335500000000007</v>
      </c>
      <c r="BE41" s="5">
        <f>VLOOKUP(C41,[2]两年对比终版!$A:$AD,30,0)</f>
        <v>203.58402329254201</v>
      </c>
      <c r="BF41" s="6">
        <f t="shared" si="37"/>
        <v>1.1990719424460432E-2</v>
      </c>
    </row>
    <row r="42" spans="1:58" hidden="1" x14ac:dyDescent="0.15">
      <c r="A42" s="2">
        <v>35</v>
      </c>
      <c r="B42" s="2" t="s">
        <v>19</v>
      </c>
      <c r="C42" s="2" t="s">
        <v>60</v>
      </c>
      <c r="D42" s="3">
        <v>416</v>
      </c>
      <c r="E42" s="3">
        <v>91</v>
      </c>
      <c r="F42" s="3">
        <f>VLOOKUP(C42,'[1]5月25-5月31日汇总'!$C:$D,2,0)</f>
        <v>19</v>
      </c>
      <c r="G42" s="3">
        <f>VLOOKUP(C42,'[1]6月汇总'!$C:$D,2,0)</f>
        <v>77</v>
      </c>
      <c r="H42" s="3">
        <f t="shared" si="24"/>
        <v>187</v>
      </c>
      <c r="I42" s="5">
        <f>VLOOKUP(C42,[2]两年对比终版!$A:$C,3,0)</f>
        <v>404</v>
      </c>
      <c r="J42" s="5"/>
      <c r="K42" s="6">
        <f t="shared" si="25"/>
        <v>0.44951923076923078</v>
      </c>
      <c r="L42" s="3">
        <v>3710</v>
      </c>
      <c r="M42" s="3">
        <v>823.947</v>
      </c>
      <c r="N42" s="3">
        <f>VLOOKUP(C42,'[1]5月25-5月31日汇总'!$C:$E,3,0)</f>
        <v>169.11060000000001</v>
      </c>
      <c r="O42" s="3">
        <f>VLOOKUP(C42,'[1]6月汇总'!$C:$E,3,0)</f>
        <v>676.44240000000002</v>
      </c>
      <c r="P42" s="3">
        <f t="shared" si="26"/>
        <v>1669.5</v>
      </c>
      <c r="Q42" s="5">
        <f>VLOOKUP(C42,[2]两年对比终版!$A:$F,6,0)</f>
        <v>3426.458329</v>
      </c>
      <c r="R42" s="5"/>
      <c r="S42" s="6">
        <f t="shared" si="27"/>
        <v>0.45</v>
      </c>
      <c r="T42" s="3">
        <v>150</v>
      </c>
      <c r="U42" s="3">
        <v>38</v>
      </c>
      <c r="V42" s="3">
        <f>VLOOKUP(C42,'[1]5月25-5月31日汇总'!$C:$F,4,0)</f>
        <v>3</v>
      </c>
      <c r="W42" s="3">
        <f>VLOOKUP(C42,'[1]6月汇总'!$C:$F,4,0)</f>
        <v>71</v>
      </c>
      <c r="X42" s="3">
        <f t="shared" si="28"/>
        <v>112</v>
      </c>
      <c r="Y42" s="5">
        <f>VLOOKUP(C42,[2]两年对比终版!$A:$N,14,0)</f>
        <v>63</v>
      </c>
      <c r="Z42" s="5"/>
      <c r="AA42" s="6">
        <f t="shared" si="29"/>
        <v>0.7466666666666667</v>
      </c>
      <c r="AB42" s="3">
        <v>1500</v>
      </c>
      <c r="AC42" s="3">
        <v>300.19400000000002</v>
      </c>
      <c r="AD42" s="3">
        <f>VLOOKUP(C42,'[1]5月25-5月31日汇总'!$C:$G,5,0)</f>
        <v>120</v>
      </c>
      <c r="AE42" s="3">
        <f>VLOOKUP(C42,'[1]6月汇总'!$C:$G,5,0)</f>
        <v>560</v>
      </c>
      <c r="AF42" s="3">
        <f t="shared" si="30"/>
        <v>980.19399999999996</v>
      </c>
      <c r="AG42" s="5">
        <f>VLOOKUP(C42,[2]两年对比终版!$A:$Q,17,0)</f>
        <v>500.02766100000002</v>
      </c>
      <c r="AH42" s="5"/>
      <c r="AI42" s="6">
        <f t="shared" si="31"/>
        <v>0.65346266666666664</v>
      </c>
      <c r="AJ42" s="3">
        <v>150</v>
      </c>
      <c r="AK42" s="3">
        <v>32</v>
      </c>
      <c r="AL42" s="3">
        <f>VLOOKUP(C42,'[1]5月25-5月31日汇总'!$C:$H,6,0)</f>
        <v>0</v>
      </c>
      <c r="AM42" s="3">
        <f>VLOOKUP(C42,'[1]6月汇总'!$C:$I,6,0)</f>
        <v>20</v>
      </c>
      <c r="AN42" s="3">
        <f t="shared" si="32"/>
        <v>52</v>
      </c>
      <c r="AO42" s="5">
        <f>VLOOKUP(C42,[2]两年对比终版!$A:$T,20,0)</f>
        <v>52</v>
      </c>
      <c r="AP42" s="5"/>
      <c r="AQ42" s="6">
        <f t="shared" si="33"/>
        <v>0.34666666666666668</v>
      </c>
      <c r="AR42" s="3">
        <v>1500</v>
      </c>
      <c r="AS42" s="3">
        <v>217.11699999999999</v>
      </c>
      <c r="AT42" s="3">
        <f>VLOOKUP(C42,'[1]5月25-5月31日汇总'!$C:$I,7,0)</f>
        <v>0</v>
      </c>
      <c r="AU42" s="3">
        <f>VLOOKUP(C42,'[1]6月汇总'!$C:$I,7,0)</f>
        <v>230</v>
      </c>
      <c r="AV42" s="3">
        <f t="shared" si="34"/>
        <v>447.11699999999996</v>
      </c>
      <c r="AW42" s="5">
        <f>VLOOKUP(C42,[2]两年对比终版!$A:$X,23,0)</f>
        <v>388.01157699999999</v>
      </c>
      <c r="AX42" s="5"/>
      <c r="AY42" s="6">
        <f t="shared" si="35"/>
        <v>0.29807799999999995</v>
      </c>
      <c r="AZ42" s="3">
        <v>1425</v>
      </c>
      <c r="BA42" s="3">
        <v>101.01300000000001</v>
      </c>
      <c r="BB42" s="3"/>
      <c r="BC42" s="3"/>
      <c r="BD42" s="3">
        <f t="shared" si="36"/>
        <v>101.01300000000001</v>
      </c>
      <c r="BE42" s="5">
        <f>VLOOKUP(C42,[2]两年对比终版!$A:$AD,30,0)</f>
        <v>537.83611030273505</v>
      </c>
      <c r="BF42" s="6">
        <f t="shared" si="37"/>
        <v>7.0886315789473686E-2</v>
      </c>
    </row>
    <row r="43" spans="1:58" hidden="1" x14ac:dyDescent="0.15">
      <c r="A43" s="2">
        <v>36</v>
      </c>
      <c r="B43" s="2" t="s">
        <v>28</v>
      </c>
      <c r="C43" s="2" t="s">
        <v>61</v>
      </c>
      <c r="D43" s="3">
        <v>50</v>
      </c>
      <c r="E43" s="3">
        <v>12</v>
      </c>
      <c r="F43" s="3">
        <f>VLOOKUP(C43,'[1]5月25-5月31日汇总'!$C:$D,2,0)</f>
        <v>2</v>
      </c>
      <c r="G43" s="3">
        <f>VLOOKUP(C43,'[1]6月汇总'!$C:$D,2,0)</f>
        <v>8</v>
      </c>
      <c r="H43" s="3">
        <f t="shared" si="24"/>
        <v>22</v>
      </c>
      <c r="I43" s="5">
        <f>VLOOKUP(C43,[2]两年对比终版!$A:$C,3,0)</f>
        <v>0</v>
      </c>
      <c r="J43" s="5"/>
      <c r="K43" s="6">
        <f t="shared" si="25"/>
        <v>0.44</v>
      </c>
      <c r="L43" s="3">
        <v>700</v>
      </c>
      <c r="M43" s="3">
        <v>155.36600000000001</v>
      </c>
      <c r="N43" s="3">
        <f>VLOOKUP(C43,'[1]5月25-5月31日汇总'!$C:$E,3,0)</f>
        <v>25</v>
      </c>
      <c r="O43" s="3">
        <f>VLOOKUP(C43,'[1]6月汇总'!$C:$E,3,0)</f>
        <v>65</v>
      </c>
      <c r="P43" s="3">
        <f t="shared" si="26"/>
        <v>245.36600000000001</v>
      </c>
      <c r="Q43" s="5">
        <f>VLOOKUP(C43,[2]两年对比终版!$A:$F,6,0)</f>
        <v>0</v>
      </c>
      <c r="R43" s="5"/>
      <c r="S43" s="6">
        <f t="shared" si="27"/>
        <v>0.35052285714285714</v>
      </c>
      <c r="T43" s="3">
        <v>42</v>
      </c>
      <c r="U43" s="3">
        <v>0</v>
      </c>
      <c r="V43" s="3">
        <f>VLOOKUP(C43,'[1]5月25-5月31日汇总'!$C:$F,4,0)</f>
        <v>0</v>
      </c>
      <c r="W43" s="3">
        <f>VLOOKUP(C43,'[1]6月汇总'!$C:$F,4,0)</f>
        <v>5</v>
      </c>
      <c r="X43" s="3">
        <f t="shared" si="28"/>
        <v>5</v>
      </c>
      <c r="Y43" s="5">
        <f>VLOOKUP(C43,[2]两年对比终版!$A:$N,14,0)</f>
        <v>0</v>
      </c>
      <c r="Z43" s="5"/>
      <c r="AA43" s="6">
        <f t="shared" si="29"/>
        <v>0.11904761904761904</v>
      </c>
      <c r="AB43" s="3">
        <v>500</v>
      </c>
      <c r="AC43" s="3">
        <v>0</v>
      </c>
      <c r="AD43" s="3">
        <f>VLOOKUP(C43,'[1]5月25-5月31日汇总'!$C:$G,5,0)</f>
        <v>0</v>
      </c>
      <c r="AE43" s="3">
        <f>VLOOKUP(C43,'[1]6月汇总'!$C:$G,5,0)</f>
        <v>29.376000000000001</v>
      </c>
      <c r="AF43" s="3">
        <f t="shared" si="30"/>
        <v>29.376000000000001</v>
      </c>
      <c r="AG43" s="5">
        <f>VLOOKUP(C43,[2]两年对比终版!$A:$Q,17,0)</f>
        <v>0</v>
      </c>
      <c r="AH43" s="5"/>
      <c r="AI43" s="6">
        <f t="shared" si="31"/>
        <v>5.8752000000000006E-2</v>
      </c>
      <c r="AJ43" s="3">
        <v>42</v>
      </c>
      <c r="AK43" s="3">
        <v>0</v>
      </c>
      <c r="AL43" s="3">
        <f>VLOOKUP(C43,'[1]5月25-5月31日汇总'!$C:$H,6,0)</f>
        <v>0</v>
      </c>
      <c r="AM43" s="3">
        <f>VLOOKUP(C43,'[1]6月汇总'!$C:$I,6,0)</f>
        <v>0</v>
      </c>
      <c r="AN43" s="3">
        <f t="shared" si="32"/>
        <v>0</v>
      </c>
      <c r="AO43" s="5">
        <f>VLOOKUP(C43,[2]两年对比终版!$A:$T,20,0)</f>
        <v>0</v>
      </c>
      <c r="AP43" s="5"/>
      <c r="AQ43" s="6">
        <f t="shared" si="33"/>
        <v>0</v>
      </c>
      <c r="AR43" s="3">
        <v>500</v>
      </c>
      <c r="AS43" s="3">
        <v>0</v>
      </c>
      <c r="AT43" s="3">
        <f>VLOOKUP(C43,'[1]5月25-5月31日汇总'!$C:$I,7,0)</f>
        <v>0</v>
      </c>
      <c r="AU43" s="3">
        <f>VLOOKUP(C43,'[1]6月汇总'!$C:$I,7,0)</f>
        <v>0</v>
      </c>
      <c r="AV43" s="3">
        <f t="shared" si="34"/>
        <v>0</v>
      </c>
      <c r="AW43" s="5">
        <f>VLOOKUP(C43,[2]两年对比终版!$A:$X,23,0)</f>
        <v>0</v>
      </c>
      <c r="AX43" s="5"/>
      <c r="AY43" s="6">
        <f t="shared" si="35"/>
        <v>0</v>
      </c>
      <c r="AZ43" s="3">
        <v>475</v>
      </c>
      <c r="BA43" s="3">
        <v>0</v>
      </c>
      <c r="BB43" s="3"/>
      <c r="BC43" s="3"/>
      <c r="BD43" s="3">
        <f t="shared" si="36"/>
        <v>0</v>
      </c>
      <c r="BE43" s="5">
        <f>VLOOKUP(C43,[2]两年对比终版!$A:$AD,30,0)</f>
        <v>0</v>
      </c>
      <c r="BF43" s="6">
        <f t="shared" si="37"/>
        <v>0</v>
      </c>
    </row>
    <row r="44" spans="1:58" hidden="1" x14ac:dyDescent="0.15">
      <c r="A44" s="2">
        <v>37</v>
      </c>
      <c r="B44" s="2" t="s">
        <v>33</v>
      </c>
      <c r="C44" s="2" t="s">
        <v>62</v>
      </c>
      <c r="D44" s="3">
        <v>81</v>
      </c>
      <c r="E44" s="3">
        <v>24</v>
      </c>
      <c r="F44" s="3">
        <f>VLOOKUP(C44,'[1]5月25-5月31日汇总'!$C:$D,2,0)</f>
        <v>2</v>
      </c>
      <c r="G44" s="3">
        <f>VLOOKUP(C44,'[1]6月汇总'!$C:$D,2,0)</f>
        <v>10</v>
      </c>
      <c r="H44" s="3">
        <f t="shared" si="24"/>
        <v>36</v>
      </c>
      <c r="I44" s="5">
        <f>VLOOKUP(C44,[2]两年对比终版!$A:$C,3,0)</f>
        <v>53</v>
      </c>
      <c r="J44" s="5"/>
      <c r="K44" s="6">
        <f t="shared" si="25"/>
        <v>0.44444444444444442</v>
      </c>
      <c r="L44" s="3">
        <v>700</v>
      </c>
      <c r="M44" s="3">
        <v>292.14400000000001</v>
      </c>
      <c r="N44" s="3">
        <f>VLOOKUP(C44,'[1]5月25-5月31日汇总'!$C:$E,3,0)</f>
        <v>16</v>
      </c>
      <c r="O44" s="3">
        <f>VLOOKUP(C44,'[1]6月汇总'!$C:$E,3,0)</f>
        <v>70</v>
      </c>
      <c r="P44" s="3">
        <f t="shared" si="26"/>
        <v>378.14400000000001</v>
      </c>
      <c r="Q44" s="5">
        <f>VLOOKUP(C44,[2]两年对比终版!$A:$F,6,0)</f>
        <v>592.63861599999996</v>
      </c>
      <c r="R44" s="5"/>
      <c r="S44" s="6">
        <f t="shared" si="27"/>
        <v>0.54020571428571429</v>
      </c>
      <c r="T44" s="3">
        <v>42</v>
      </c>
      <c r="U44" s="3">
        <v>8</v>
      </c>
      <c r="V44" s="3">
        <f>VLOOKUP(C44,'[1]5月25-5月31日汇总'!$C:$F,4,0)</f>
        <v>0</v>
      </c>
      <c r="W44" s="3">
        <f>VLOOKUP(C44,'[1]6月汇总'!$C:$F,4,0)</f>
        <v>5</v>
      </c>
      <c r="X44" s="3">
        <f t="shared" si="28"/>
        <v>13</v>
      </c>
      <c r="Y44" s="5">
        <f>VLOOKUP(C44,[2]两年对比终版!$A:$N,14,0)</f>
        <v>8</v>
      </c>
      <c r="Z44" s="5"/>
      <c r="AA44" s="6">
        <f t="shared" si="29"/>
        <v>0.30952380952380953</v>
      </c>
      <c r="AB44" s="3">
        <v>300</v>
      </c>
      <c r="AC44" s="3">
        <v>65.929400000000001</v>
      </c>
      <c r="AD44" s="3">
        <f>VLOOKUP(C44,'[1]5月25-5月31日汇总'!$C:$G,5,0)</f>
        <v>0</v>
      </c>
      <c r="AE44" s="3">
        <f>VLOOKUP(C44,'[1]6月汇总'!$C:$G,5,0)</f>
        <v>45</v>
      </c>
      <c r="AF44" s="3">
        <f t="shared" si="30"/>
        <v>110.9294</v>
      </c>
      <c r="AG44" s="5">
        <f>VLOOKUP(C44,[2]两年对比终版!$A:$Q,17,0)</f>
        <v>61.438507000000001</v>
      </c>
      <c r="AH44" s="5"/>
      <c r="AI44" s="6">
        <f t="shared" si="31"/>
        <v>0.36976466666666669</v>
      </c>
      <c r="AJ44" s="3">
        <v>42</v>
      </c>
      <c r="AK44" s="3">
        <v>4</v>
      </c>
      <c r="AL44" s="3">
        <f>VLOOKUP(C44,'[1]5月25-5月31日汇总'!$C:$H,6,0)</f>
        <v>0</v>
      </c>
      <c r="AM44" s="3">
        <f>VLOOKUP(C44,'[1]6月汇总'!$C:$I,6,0)</f>
        <v>6</v>
      </c>
      <c r="AN44" s="3">
        <f t="shared" si="32"/>
        <v>10</v>
      </c>
      <c r="AO44" s="5">
        <f>VLOOKUP(C44,[2]两年对比终版!$A:$T,20,0)</f>
        <v>8</v>
      </c>
      <c r="AP44" s="5"/>
      <c r="AQ44" s="6">
        <f t="shared" si="33"/>
        <v>0.23809523809523808</v>
      </c>
      <c r="AR44" s="3">
        <v>300</v>
      </c>
      <c r="AS44" s="3">
        <v>29.107900000000001</v>
      </c>
      <c r="AT44" s="3">
        <f>VLOOKUP(C44,'[1]5月25-5月31日汇总'!$C:$I,7,0)</f>
        <v>0</v>
      </c>
      <c r="AU44" s="3">
        <f>VLOOKUP(C44,'[1]6月汇总'!$C:$I,7,0)</f>
        <v>48</v>
      </c>
      <c r="AV44" s="3">
        <f t="shared" si="34"/>
        <v>77.107900000000001</v>
      </c>
      <c r="AW44" s="5">
        <f>VLOOKUP(C44,[2]两年对比终版!$A:$X,23,0)</f>
        <v>61.438507000000001</v>
      </c>
      <c r="AX44" s="5"/>
      <c r="AY44" s="6">
        <f t="shared" si="35"/>
        <v>0.25702633333333336</v>
      </c>
      <c r="AZ44" s="3">
        <v>285</v>
      </c>
      <c r="BA44" s="3">
        <v>19.991199999999999</v>
      </c>
      <c r="BB44" s="3"/>
      <c r="BC44" s="3"/>
      <c r="BD44" s="3">
        <f t="shared" si="36"/>
        <v>19.991199999999999</v>
      </c>
      <c r="BE44" s="5">
        <f>VLOOKUP(C44,[2]两年对比终版!$A:$AD,30,0)</f>
        <v>82.195083007812499</v>
      </c>
      <c r="BF44" s="6">
        <f t="shared" si="37"/>
        <v>7.0144561403508762E-2</v>
      </c>
    </row>
    <row r="45" spans="1:58" hidden="1" x14ac:dyDescent="0.15">
      <c r="A45" s="2">
        <v>38</v>
      </c>
      <c r="B45" s="2" t="s">
        <v>28</v>
      </c>
      <c r="C45" s="2" t="s">
        <v>63</v>
      </c>
      <c r="D45" s="3">
        <v>181</v>
      </c>
      <c r="E45" s="3">
        <v>23</v>
      </c>
      <c r="F45" s="3">
        <f>VLOOKUP(C45,'[1]5月25-5月31日汇总'!$C:$D,2,0)</f>
        <v>12</v>
      </c>
      <c r="G45" s="3">
        <f>VLOOKUP(C45,'[1]6月汇总'!$C:$D,2,0)</f>
        <v>47</v>
      </c>
      <c r="H45" s="3">
        <f t="shared" si="24"/>
        <v>82</v>
      </c>
      <c r="I45" s="5">
        <f>VLOOKUP(C45,[2]两年对比终版!$A:$C,3,0)</f>
        <v>0</v>
      </c>
      <c r="J45" s="5"/>
      <c r="K45" s="6">
        <f t="shared" si="25"/>
        <v>0.45303867403314918</v>
      </c>
      <c r="L45" s="3">
        <v>1680</v>
      </c>
      <c r="M45" s="3">
        <v>367.404</v>
      </c>
      <c r="N45" s="3">
        <f>VLOOKUP(C45,'[1]5月25-5月31日汇总'!$C:$E,3,0)</f>
        <v>77.719200000000001</v>
      </c>
      <c r="O45" s="3">
        <f>VLOOKUP(C45,'[1]6月汇总'!$C:$E,3,0)</f>
        <v>310.8768</v>
      </c>
      <c r="P45" s="3">
        <f t="shared" si="26"/>
        <v>756</v>
      </c>
      <c r="Q45" s="5">
        <f>VLOOKUP(C45,[2]两年对比终版!$A:$F,6,0)</f>
        <v>0</v>
      </c>
      <c r="R45" s="5"/>
      <c r="S45" s="6">
        <f t="shared" si="27"/>
        <v>0.45</v>
      </c>
      <c r="T45" s="3">
        <v>80</v>
      </c>
      <c r="U45" s="3">
        <v>3</v>
      </c>
      <c r="V45" s="3">
        <f>VLOOKUP(C45,'[1]5月25-5月31日汇总'!$C:$F,4,0)</f>
        <v>2</v>
      </c>
      <c r="W45" s="3">
        <f>VLOOKUP(C45,'[1]6月汇总'!$C:$F,4,0)</f>
        <v>3</v>
      </c>
      <c r="X45" s="3">
        <f t="shared" si="28"/>
        <v>8</v>
      </c>
      <c r="Y45" s="5">
        <f>VLOOKUP(C45,[2]两年对比终版!$A:$N,14,0)</f>
        <v>0</v>
      </c>
      <c r="Z45" s="5"/>
      <c r="AA45" s="6">
        <f t="shared" si="29"/>
        <v>0.1</v>
      </c>
      <c r="AB45" s="3">
        <v>700</v>
      </c>
      <c r="AC45" s="3">
        <v>24.950800000000001</v>
      </c>
      <c r="AD45" s="3">
        <f>VLOOKUP(C45,'[1]5月25-5月31日汇总'!$C:$G,5,0)</f>
        <v>15</v>
      </c>
      <c r="AE45" s="3">
        <f>VLOOKUP(C45,'[1]6月汇总'!$C:$G,5,0)</f>
        <v>24</v>
      </c>
      <c r="AF45" s="3">
        <f t="shared" si="30"/>
        <v>63.950800000000001</v>
      </c>
      <c r="AG45" s="5">
        <f>VLOOKUP(C45,[2]两年对比终版!$A:$Q,17,0)</f>
        <v>0</v>
      </c>
      <c r="AH45" s="5"/>
      <c r="AI45" s="6">
        <f t="shared" si="31"/>
        <v>9.1358285714285711E-2</v>
      </c>
      <c r="AJ45" s="3">
        <v>80</v>
      </c>
      <c r="AK45" s="3">
        <v>3</v>
      </c>
      <c r="AL45" s="3">
        <f>VLOOKUP(C45,'[1]5月25-5月31日汇总'!$C:$H,6,0)</f>
        <v>0</v>
      </c>
      <c r="AM45" s="3">
        <f>VLOOKUP(C45,'[1]6月汇总'!$C:$I,6,0)</f>
        <v>2</v>
      </c>
      <c r="AN45" s="3">
        <f t="shared" si="32"/>
        <v>5</v>
      </c>
      <c r="AO45" s="5">
        <f>VLOOKUP(C45,[2]两年对比终版!$A:$T,20,0)</f>
        <v>0</v>
      </c>
      <c r="AP45" s="5"/>
      <c r="AQ45" s="6">
        <f t="shared" si="33"/>
        <v>6.25E-2</v>
      </c>
      <c r="AR45" s="3">
        <v>700</v>
      </c>
      <c r="AS45" s="3">
        <v>24.950800000000001</v>
      </c>
      <c r="AT45" s="3">
        <f>VLOOKUP(C45,'[1]5月25-5月31日汇总'!$C:$I,7,0)</f>
        <v>0</v>
      </c>
      <c r="AU45" s="3">
        <f>VLOOKUP(C45,'[1]6月汇总'!$C:$I,7,0)</f>
        <v>15</v>
      </c>
      <c r="AV45" s="3">
        <f t="shared" si="34"/>
        <v>39.950800000000001</v>
      </c>
      <c r="AW45" s="5">
        <f>VLOOKUP(C45,[2]两年对比终版!$A:$X,23,0)</f>
        <v>0</v>
      </c>
      <c r="AX45" s="5"/>
      <c r="AY45" s="6">
        <f t="shared" si="35"/>
        <v>5.7072571428571431E-2</v>
      </c>
      <c r="AZ45" s="3">
        <v>665</v>
      </c>
      <c r="BA45" s="3">
        <v>24.601299999999998</v>
      </c>
      <c r="BB45" s="3"/>
      <c r="BC45" s="3"/>
      <c r="BD45" s="3">
        <f t="shared" si="36"/>
        <v>24.601299999999998</v>
      </c>
      <c r="BE45" s="5">
        <f>VLOOKUP(C45,[2]两年对比终版!$A:$AD,30,0)</f>
        <v>0</v>
      </c>
      <c r="BF45" s="6">
        <f t="shared" si="37"/>
        <v>3.6994436090225562E-2</v>
      </c>
    </row>
    <row r="46" spans="1:58" hidden="1" x14ac:dyDescent="0.15">
      <c r="A46" s="2">
        <v>39</v>
      </c>
      <c r="B46" s="2" t="s">
        <v>33</v>
      </c>
      <c r="C46" s="2" t="s">
        <v>64</v>
      </c>
      <c r="D46" s="3">
        <v>45</v>
      </c>
      <c r="E46" s="3">
        <v>35</v>
      </c>
      <c r="F46" s="3">
        <f>VLOOKUP(C46,'[1]5月25-5月31日汇总'!$C:$D,2,0)</f>
        <v>3</v>
      </c>
      <c r="G46" s="3">
        <f>VLOOKUP(C46,'[1]6月汇总'!$C:$D,2,0)</f>
        <v>10</v>
      </c>
      <c r="H46" s="3">
        <f t="shared" si="24"/>
        <v>48</v>
      </c>
      <c r="I46" s="5">
        <f>VLOOKUP(C46,[2]两年对比终版!$A:$C,3,0)</f>
        <v>92</v>
      </c>
      <c r="J46" s="5"/>
      <c r="K46" s="6">
        <f t="shared" si="25"/>
        <v>1.0666666666666667</v>
      </c>
      <c r="L46" s="3">
        <v>700</v>
      </c>
      <c r="M46" s="3">
        <v>231.97900000000001</v>
      </c>
      <c r="N46" s="3">
        <f>VLOOKUP(C46,'[1]5月25-5月31日汇总'!$C:$E,3,0)</f>
        <v>16.604199999999999</v>
      </c>
      <c r="O46" s="3">
        <f>VLOOKUP(C46,'[1]6月汇总'!$C:$E,3,0)</f>
        <v>66.416799999999995</v>
      </c>
      <c r="P46" s="3">
        <f t="shared" si="26"/>
        <v>315</v>
      </c>
      <c r="Q46" s="5">
        <f>VLOOKUP(C46,[2]两年对比终版!$A:$F,6,0)</f>
        <v>1001.540992</v>
      </c>
      <c r="R46" s="5"/>
      <c r="S46" s="6">
        <f t="shared" si="27"/>
        <v>0.45</v>
      </c>
      <c r="T46" s="3">
        <v>25</v>
      </c>
      <c r="U46" s="3">
        <v>17</v>
      </c>
      <c r="V46" s="3">
        <f>VLOOKUP(C46,'[1]5月25-5月31日汇总'!$C:$F,4,0)</f>
        <v>1</v>
      </c>
      <c r="W46" s="3">
        <f>VLOOKUP(C46,'[1]6月汇总'!$C:$F,4,0)</f>
        <v>4</v>
      </c>
      <c r="X46" s="3">
        <f t="shared" si="28"/>
        <v>22</v>
      </c>
      <c r="Y46" s="5">
        <f>VLOOKUP(C46,[2]两年对比终版!$A:$N,14,0)</f>
        <v>20</v>
      </c>
      <c r="Z46" s="5"/>
      <c r="AA46" s="6">
        <f t="shared" si="29"/>
        <v>0.88</v>
      </c>
      <c r="AB46" s="3">
        <v>300</v>
      </c>
      <c r="AC46" s="3">
        <v>107.63800000000001</v>
      </c>
      <c r="AD46" s="3">
        <f>VLOOKUP(C46,'[1]5月25-5月31日汇总'!$C:$G,5,0)</f>
        <v>8</v>
      </c>
      <c r="AE46" s="3">
        <f>VLOOKUP(C46,'[1]6月汇总'!$C:$G,5,0)</f>
        <v>30</v>
      </c>
      <c r="AF46" s="3">
        <f t="shared" si="30"/>
        <v>145.63800000000001</v>
      </c>
      <c r="AG46" s="5">
        <f>VLOOKUP(C46,[2]两年对比终版!$A:$Q,17,0)</f>
        <v>200.807132</v>
      </c>
      <c r="AH46" s="5"/>
      <c r="AI46" s="6">
        <f t="shared" si="31"/>
        <v>0.48546</v>
      </c>
      <c r="AJ46" s="3">
        <v>25</v>
      </c>
      <c r="AK46" s="3">
        <v>2</v>
      </c>
      <c r="AL46" s="3">
        <f>VLOOKUP(C46,'[1]5月25-5月31日汇总'!$C:$H,6,0)</f>
        <v>0</v>
      </c>
      <c r="AM46" s="3">
        <f>VLOOKUP(C46,'[1]6月汇总'!$C:$I,6,0)</f>
        <v>2</v>
      </c>
      <c r="AN46" s="3">
        <f t="shared" si="32"/>
        <v>4</v>
      </c>
      <c r="AO46" s="5">
        <f>VLOOKUP(C46,[2]两年对比终版!$A:$T,20,0)</f>
        <v>15</v>
      </c>
      <c r="AP46" s="5"/>
      <c r="AQ46" s="6">
        <f t="shared" si="33"/>
        <v>0.16</v>
      </c>
      <c r="AR46" s="3">
        <v>300</v>
      </c>
      <c r="AS46" s="3">
        <v>12.4017</v>
      </c>
      <c r="AT46" s="3">
        <f>VLOOKUP(C46,'[1]5月25-5月31日汇总'!$C:$I,7,0)</f>
        <v>0</v>
      </c>
      <c r="AU46" s="3">
        <f>VLOOKUP(C46,'[1]6月汇总'!$C:$I,7,0)</f>
        <v>13</v>
      </c>
      <c r="AV46" s="3">
        <f t="shared" si="34"/>
        <v>25.401699999999998</v>
      </c>
      <c r="AW46" s="5">
        <f>VLOOKUP(C46,[2]两年对比终版!$A:$X,23,0)</f>
        <v>137.57912400000001</v>
      </c>
      <c r="AX46" s="5"/>
      <c r="AY46" s="6">
        <f t="shared" si="35"/>
        <v>8.4672333333333322E-2</v>
      </c>
      <c r="AZ46" s="3">
        <v>285</v>
      </c>
      <c r="BA46" s="3">
        <v>31.550999999999998</v>
      </c>
      <c r="BB46" s="3"/>
      <c r="BC46" s="3"/>
      <c r="BD46" s="3">
        <f t="shared" si="36"/>
        <v>31.550999999999998</v>
      </c>
      <c r="BE46" s="5">
        <f>VLOOKUP(C46,[2]两年对比终版!$A:$AD,30,0)</f>
        <v>168.956737670899</v>
      </c>
      <c r="BF46" s="6">
        <f t="shared" si="37"/>
        <v>0.11070526315789474</v>
      </c>
    </row>
    <row r="47" spans="1:58" x14ac:dyDescent="0.15">
      <c r="A47" s="16" t="s">
        <v>65</v>
      </c>
      <c r="B47" s="12"/>
      <c r="C47" s="17"/>
      <c r="D47" s="4">
        <f t="shared" ref="D47:I47" si="38">SUM(D38:D46)</f>
        <v>2063</v>
      </c>
      <c r="E47" s="4">
        <f t="shared" si="38"/>
        <v>563</v>
      </c>
      <c r="F47" s="4">
        <f t="shared" si="38"/>
        <v>117</v>
      </c>
      <c r="G47" s="4">
        <f t="shared" si="38"/>
        <v>433</v>
      </c>
      <c r="H47" s="4">
        <f t="shared" si="38"/>
        <v>1113</v>
      </c>
      <c r="I47" s="7">
        <f t="shared" si="38"/>
        <v>1908</v>
      </c>
      <c r="J47" s="10">
        <f>(H47-I47)/I47</f>
        <v>-0.41666666666666669</v>
      </c>
      <c r="K47" s="8">
        <f>H47/D47</f>
        <v>0.5395055744062045</v>
      </c>
      <c r="L47" s="4">
        <f t="shared" ref="L47:BE47" si="39">SUM(L38:L46)</f>
        <v>23240</v>
      </c>
      <c r="M47" s="4">
        <f t="shared" si="39"/>
        <v>5444.7760000000007</v>
      </c>
      <c r="N47" s="4">
        <f t="shared" si="39"/>
        <v>1007.1468</v>
      </c>
      <c r="O47" s="4">
        <f t="shared" si="39"/>
        <v>3999.5871999999999</v>
      </c>
      <c r="P47" s="4">
        <f t="shared" si="39"/>
        <v>10451.51</v>
      </c>
      <c r="Q47" s="7">
        <f>SUM(Q38:Q46)</f>
        <v>17767.77290499994</v>
      </c>
      <c r="R47" s="10">
        <f>(P47-Q47)/Q47</f>
        <v>-0.41177152275179668</v>
      </c>
      <c r="S47" s="8">
        <f>P47/L47</f>
        <v>0.44972074010327023</v>
      </c>
      <c r="T47" s="4">
        <f t="shared" si="39"/>
        <v>817</v>
      </c>
      <c r="U47" s="4">
        <f t="shared" si="39"/>
        <v>115</v>
      </c>
      <c r="V47" s="4">
        <f t="shared" si="39"/>
        <v>16</v>
      </c>
      <c r="W47" s="4">
        <f t="shared" si="39"/>
        <v>126</v>
      </c>
      <c r="X47" s="4">
        <f t="shared" si="39"/>
        <v>257</v>
      </c>
      <c r="Y47" s="7">
        <f t="shared" si="39"/>
        <v>262</v>
      </c>
      <c r="Z47" s="10">
        <f>(X47-Y47)/Y47</f>
        <v>-1.9083969465648856E-2</v>
      </c>
      <c r="AA47" s="8">
        <f>X47/T47</f>
        <v>0.31456548347613217</v>
      </c>
      <c r="AB47" s="4">
        <f t="shared" si="39"/>
        <v>9392</v>
      </c>
      <c r="AC47" s="4">
        <f t="shared" si="39"/>
        <v>931.99749999999995</v>
      </c>
      <c r="AD47" s="4">
        <f t="shared" si="39"/>
        <v>235</v>
      </c>
      <c r="AE47" s="4">
        <f t="shared" si="39"/>
        <v>1153.376</v>
      </c>
      <c r="AF47" s="4">
        <f t="shared" si="39"/>
        <v>2320.3735000000001</v>
      </c>
      <c r="AG47" s="7">
        <f t="shared" si="39"/>
        <v>3047.4427950000008</v>
      </c>
      <c r="AH47" s="10">
        <f>(AF47-AG47)/AG47</f>
        <v>-0.23858341039015318</v>
      </c>
      <c r="AI47" s="8">
        <f>AF47/AB47</f>
        <v>0.24705850724020445</v>
      </c>
      <c r="AJ47" s="4">
        <f t="shared" si="39"/>
        <v>817</v>
      </c>
      <c r="AK47" s="4">
        <f t="shared" si="39"/>
        <v>111</v>
      </c>
      <c r="AL47" s="4">
        <f t="shared" si="39"/>
        <v>1</v>
      </c>
      <c r="AM47" s="4">
        <f t="shared" si="39"/>
        <v>55</v>
      </c>
      <c r="AN47" s="4">
        <f t="shared" si="39"/>
        <v>167</v>
      </c>
      <c r="AO47" s="7">
        <f t="shared" si="39"/>
        <v>267</v>
      </c>
      <c r="AP47" s="10">
        <f>(AN47-AO47)/AO47</f>
        <v>-0.37453183520599254</v>
      </c>
      <c r="AQ47" s="8">
        <f>AN47/AJ47</f>
        <v>0.204406364749082</v>
      </c>
      <c r="AR47" s="4">
        <f t="shared" si="39"/>
        <v>9392</v>
      </c>
      <c r="AS47" s="4">
        <f t="shared" si="39"/>
        <v>962.39840000000004</v>
      </c>
      <c r="AT47" s="4">
        <f t="shared" si="39"/>
        <v>8</v>
      </c>
      <c r="AU47" s="4">
        <f t="shared" si="39"/>
        <v>598</v>
      </c>
      <c r="AV47" s="4">
        <f t="shared" si="39"/>
        <v>1568.3983999999998</v>
      </c>
      <c r="AW47" s="7">
        <f t="shared" si="39"/>
        <v>3012.3375209999995</v>
      </c>
      <c r="AX47" s="10">
        <f>(AV47-AW47)/AW47</f>
        <v>-0.47934174405551278</v>
      </c>
      <c r="AY47" s="8">
        <f>AV47/AR47</f>
        <v>0.1669930153321976</v>
      </c>
      <c r="AZ47" s="4">
        <f t="shared" si="39"/>
        <v>8922</v>
      </c>
      <c r="BA47" s="4">
        <f t="shared" si="39"/>
        <v>909.79843000000017</v>
      </c>
      <c r="BB47" s="4">
        <f t="shared" si="39"/>
        <v>0</v>
      </c>
      <c r="BC47" s="4">
        <f t="shared" si="39"/>
        <v>0</v>
      </c>
      <c r="BD47" s="4">
        <f t="shared" si="39"/>
        <v>909.79843000000017</v>
      </c>
      <c r="BE47" s="7">
        <f t="shared" si="39"/>
        <v>2945.931266017154</v>
      </c>
      <c r="BF47" s="8">
        <f>BD47/AZ47</f>
        <v>0.10197247590226409</v>
      </c>
    </row>
    <row r="48" spans="1:58" hidden="1" x14ac:dyDescent="0.15">
      <c r="A48" s="2">
        <v>40</v>
      </c>
      <c r="B48" s="2" t="s">
        <v>28</v>
      </c>
      <c r="C48" s="2" t="s">
        <v>66</v>
      </c>
      <c r="D48" s="3">
        <v>81</v>
      </c>
      <c r="E48" s="3">
        <v>37</v>
      </c>
      <c r="F48" s="3">
        <f>VLOOKUP(C48,'[1]5月25-5月31日汇总'!$C:$D,2,0)</f>
        <v>8</v>
      </c>
      <c r="G48" s="3">
        <f>VLOOKUP(C48,'[1]6月汇总'!$C:$D,2,0)</f>
        <v>12</v>
      </c>
      <c r="H48" s="3">
        <f t="shared" si="24"/>
        <v>57</v>
      </c>
      <c r="I48" s="5">
        <f>VLOOKUP(C48,[2]两年对比终版!$A:$C,3,0)</f>
        <v>73</v>
      </c>
      <c r="J48" s="5"/>
      <c r="K48" s="6">
        <f t="shared" si="25"/>
        <v>0.70370370370370372</v>
      </c>
      <c r="L48" s="3">
        <v>1260</v>
      </c>
      <c r="M48" s="3">
        <v>443.11900000000003</v>
      </c>
      <c r="N48" s="3">
        <f>VLOOKUP(C48,'[1]5月25-5月31日汇总'!$C:$E,3,0)</f>
        <v>85</v>
      </c>
      <c r="O48" s="3">
        <f>VLOOKUP(C48,'[1]6月汇总'!$C:$E,3,0)</f>
        <v>130</v>
      </c>
      <c r="P48" s="3">
        <f t="shared" si="26"/>
        <v>658.11900000000003</v>
      </c>
      <c r="Q48" s="5">
        <f>VLOOKUP(C48,[2]两年对比终版!$A:$F,6,0)</f>
        <v>800.21296800000005</v>
      </c>
      <c r="R48" s="5"/>
      <c r="S48" s="6">
        <f t="shared" si="27"/>
        <v>0.52231666666666665</v>
      </c>
      <c r="T48" s="3">
        <v>32.4</v>
      </c>
      <c r="U48" s="3">
        <v>11</v>
      </c>
      <c r="V48" s="3">
        <f>VLOOKUP(C48,'[1]5月25-5月31日汇总'!$C:$F,4,0)</f>
        <v>0</v>
      </c>
      <c r="W48" s="3">
        <f>VLOOKUP(C48,'[1]6月汇总'!$C:$F,4,0)</f>
        <v>5</v>
      </c>
      <c r="X48" s="3">
        <f t="shared" si="28"/>
        <v>16</v>
      </c>
      <c r="Y48" s="5">
        <f>VLOOKUP(C48,[2]两年对比终版!$A:$N,14,0)</f>
        <v>15</v>
      </c>
      <c r="Z48" s="5"/>
      <c r="AA48" s="6">
        <f t="shared" si="29"/>
        <v>0.49382716049382719</v>
      </c>
      <c r="AB48" s="3">
        <v>500</v>
      </c>
      <c r="AC48" s="3">
        <v>141.80000000000001</v>
      </c>
      <c r="AD48" s="3">
        <f>VLOOKUP(C48,'[1]5月25-5月31日汇总'!$C:$G,5,0)</f>
        <v>0</v>
      </c>
      <c r="AE48" s="3">
        <f>VLOOKUP(C48,'[1]6月汇总'!$C:$G,5,0)</f>
        <v>45</v>
      </c>
      <c r="AF48" s="3">
        <f t="shared" si="30"/>
        <v>186.8</v>
      </c>
      <c r="AG48" s="5">
        <f>VLOOKUP(C48,[2]两年对比终版!$A:$Q,17,0)</f>
        <v>187.86055999999999</v>
      </c>
      <c r="AH48" s="5"/>
      <c r="AI48" s="6">
        <f t="shared" si="31"/>
        <v>0.37360000000000004</v>
      </c>
      <c r="AJ48" s="3">
        <v>32.4</v>
      </c>
      <c r="AK48" s="3">
        <v>2</v>
      </c>
      <c r="AL48" s="3">
        <f>VLOOKUP(C48,'[1]5月25-5月31日汇总'!$C:$H,6,0)</f>
        <v>3</v>
      </c>
      <c r="AM48" s="3">
        <f>VLOOKUP(C48,'[1]6月汇总'!$C:$I,6,0)</f>
        <v>3</v>
      </c>
      <c r="AN48" s="3">
        <f t="shared" si="32"/>
        <v>8</v>
      </c>
      <c r="AO48" s="5">
        <f>VLOOKUP(C48,[2]两年对比终版!$A:$T,20,0)</f>
        <v>10</v>
      </c>
      <c r="AP48" s="5"/>
      <c r="AQ48" s="6">
        <f t="shared" si="33"/>
        <v>0.24691358024691359</v>
      </c>
      <c r="AR48" s="3">
        <v>500</v>
      </c>
      <c r="AS48" s="3">
        <v>33.6813</v>
      </c>
      <c r="AT48" s="3">
        <f>VLOOKUP(C48,'[1]5月25-5月31日汇总'!$C:$I,7,0)</f>
        <v>28</v>
      </c>
      <c r="AU48" s="3">
        <f>VLOOKUP(C48,'[1]6月汇总'!$C:$I,7,0)</f>
        <v>51</v>
      </c>
      <c r="AV48" s="3">
        <f t="shared" si="34"/>
        <v>112.68129999999999</v>
      </c>
      <c r="AW48" s="5">
        <f>VLOOKUP(C48,[2]两年对比终版!$A:$X,23,0)</f>
        <v>152.329161</v>
      </c>
      <c r="AX48" s="5"/>
      <c r="AY48" s="6">
        <f t="shared" si="35"/>
        <v>0.2253626</v>
      </c>
      <c r="AZ48" s="3">
        <v>475</v>
      </c>
      <c r="BA48" s="3">
        <v>107.854</v>
      </c>
      <c r="BB48" s="3"/>
      <c r="BC48" s="3"/>
      <c r="BD48" s="3">
        <f t="shared" si="36"/>
        <v>107.854</v>
      </c>
      <c r="BE48" s="5">
        <f>VLOOKUP(C48,[2]两年对比终版!$A:$AD,30,0)</f>
        <v>183.927343945312</v>
      </c>
      <c r="BF48" s="6">
        <f t="shared" si="37"/>
        <v>0.22706105263157894</v>
      </c>
    </row>
    <row r="49" spans="1:58" hidden="1" x14ac:dyDescent="0.15">
      <c r="A49" s="2">
        <v>41</v>
      </c>
      <c r="B49" s="2" t="s">
        <v>19</v>
      </c>
      <c r="C49" s="2" t="s">
        <v>67</v>
      </c>
      <c r="D49" s="3">
        <v>581</v>
      </c>
      <c r="E49" s="3">
        <v>264</v>
      </c>
      <c r="F49" s="3">
        <f>VLOOKUP(C49,'[1]5月25-5月31日汇总'!$C:$D,2,0)</f>
        <v>21</v>
      </c>
      <c r="G49" s="3">
        <f>VLOOKUP(C49,'[1]6月汇总'!$C:$D,2,0)</f>
        <v>30</v>
      </c>
      <c r="H49" s="3">
        <f t="shared" si="24"/>
        <v>315</v>
      </c>
      <c r="I49" s="5">
        <f>VLOOKUP(C49,[2]两年对比终版!$A:$C,3,0)</f>
        <v>155</v>
      </c>
      <c r="J49" s="5"/>
      <c r="K49" s="6">
        <f t="shared" si="25"/>
        <v>0.54216867469879515</v>
      </c>
      <c r="L49" s="3">
        <v>5575.68</v>
      </c>
      <c r="M49" s="3">
        <v>2192.98</v>
      </c>
      <c r="N49" s="3">
        <f>VLOOKUP(C49,'[1]5月25-5月31日汇总'!$C:$E,3,0)</f>
        <v>180</v>
      </c>
      <c r="O49" s="3">
        <f>VLOOKUP(C49,'[1]6月汇总'!$C:$E,3,0)</f>
        <v>280</v>
      </c>
      <c r="P49" s="3">
        <f t="shared" si="26"/>
        <v>2652.98</v>
      </c>
      <c r="Q49" s="5">
        <f>VLOOKUP(C49,[2]两年对比终版!$A:$F,6,0)</f>
        <v>1270.468435</v>
      </c>
      <c r="R49" s="5"/>
      <c r="S49" s="6">
        <f t="shared" si="27"/>
        <v>0.47581281565656564</v>
      </c>
      <c r="T49" s="3">
        <v>239.4</v>
      </c>
      <c r="U49" s="3">
        <v>98</v>
      </c>
      <c r="V49" s="3">
        <f>VLOOKUP(C49,'[1]5月25-5月31日汇总'!$C:$F,4,0)</f>
        <v>10</v>
      </c>
      <c r="W49" s="3">
        <f>VLOOKUP(C49,'[1]6月汇总'!$C:$F,4,0)</f>
        <v>12</v>
      </c>
      <c r="X49" s="3">
        <f t="shared" si="28"/>
        <v>120</v>
      </c>
      <c r="Y49" s="5">
        <f>VLOOKUP(C49,[2]两年对比终版!$A:$N,14,0)</f>
        <v>55</v>
      </c>
      <c r="Z49" s="5"/>
      <c r="AA49" s="6">
        <f t="shared" si="29"/>
        <v>0.50125313283208017</v>
      </c>
      <c r="AB49" s="3">
        <v>2304</v>
      </c>
      <c r="AC49" s="3">
        <v>936.92100000000005</v>
      </c>
      <c r="AD49" s="3">
        <f>VLOOKUP(C49,'[1]5月25-5月31日汇总'!$C:$G,5,0)</f>
        <v>100</v>
      </c>
      <c r="AE49" s="3">
        <f>VLOOKUP(C49,'[1]6月汇总'!$C:$G,5,0)</f>
        <v>100</v>
      </c>
      <c r="AF49" s="3">
        <f t="shared" si="30"/>
        <v>1136.921</v>
      </c>
      <c r="AG49" s="5">
        <f>VLOOKUP(C49,[2]两年对比终版!$A:$Q,17,0)</f>
        <v>530.29769199999998</v>
      </c>
      <c r="AH49" s="5"/>
      <c r="AI49" s="6">
        <f t="shared" si="31"/>
        <v>0.49345529513888892</v>
      </c>
      <c r="AJ49" s="3">
        <v>239.4</v>
      </c>
      <c r="AK49" s="3">
        <v>55</v>
      </c>
      <c r="AL49" s="3">
        <f>VLOOKUP(C49,'[1]5月25-5月31日汇总'!$C:$H,6,0)</f>
        <v>4</v>
      </c>
      <c r="AM49" s="3">
        <f>VLOOKUP(C49,'[1]6月汇总'!$C:$I,6,0)</f>
        <v>30</v>
      </c>
      <c r="AN49" s="3">
        <f t="shared" si="32"/>
        <v>89</v>
      </c>
      <c r="AO49" s="5">
        <f>VLOOKUP(C49,[2]两年对比终版!$A:$T,20,0)</f>
        <v>48</v>
      </c>
      <c r="AP49" s="5"/>
      <c r="AQ49" s="6">
        <f t="shared" si="33"/>
        <v>0.37176274018379279</v>
      </c>
      <c r="AR49" s="3">
        <v>2304</v>
      </c>
      <c r="AS49" s="3">
        <v>536.221</v>
      </c>
      <c r="AT49" s="3">
        <f>VLOOKUP(C49,'[1]5月25-5月31日汇总'!$C:$I,7,0)</f>
        <v>32</v>
      </c>
      <c r="AU49" s="3">
        <f>VLOOKUP(C49,'[1]6月汇总'!$C:$I,7,0)</f>
        <v>310</v>
      </c>
      <c r="AV49" s="3">
        <f t="shared" si="34"/>
        <v>878.221</v>
      </c>
      <c r="AW49" s="5">
        <f>VLOOKUP(C49,[2]两年对比终版!$A:$X,23,0)</f>
        <v>502.43066499999998</v>
      </c>
      <c r="AX49" s="5"/>
      <c r="AY49" s="6">
        <f t="shared" si="35"/>
        <v>0.38117230902777777</v>
      </c>
      <c r="AZ49" s="3">
        <v>2189</v>
      </c>
      <c r="BA49" s="3">
        <v>545.52099999999996</v>
      </c>
      <c r="BB49" s="3"/>
      <c r="BC49" s="3"/>
      <c r="BD49" s="3">
        <f t="shared" si="36"/>
        <v>545.52099999999996</v>
      </c>
      <c r="BE49" s="5">
        <f>VLOOKUP(C49,[2]两年对比终版!$A:$AD,30,0)</f>
        <v>509.929719042969</v>
      </c>
      <c r="BF49" s="6">
        <f t="shared" si="37"/>
        <v>0.24921014161717678</v>
      </c>
    </row>
    <row r="50" spans="1:58" hidden="1" x14ac:dyDescent="0.15">
      <c r="A50" s="2">
        <v>42</v>
      </c>
      <c r="B50" s="2" t="s">
        <v>25</v>
      </c>
      <c r="C50" s="2" t="s">
        <v>68</v>
      </c>
      <c r="D50" s="3">
        <v>207</v>
      </c>
      <c r="E50" s="3">
        <v>70</v>
      </c>
      <c r="F50" s="3">
        <f>VLOOKUP(C50,'[1]5月25-5月31日汇总'!$C:$D,2,0)</f>
        <v>16</v>
      </c>
      <c r="G50" s="3">
        <f>VLOOKUP(C50,'[1]6月汇总'!$C:$D,2,0)</f>
        <v>60</v>
      </c>
      <c r="H50" s="3">
        <f t="shared" si="24"/>
        <v>146</v>
      </c>
      <c r="I50" s="5">
        <f>VLOOKUP(C50,[2]两年对比终版!$A:$C,3,0)</f>
        <v>210</v>
      </c>
      <c r="J50" s="5"/>
      <c r="K50" s="6">
        <f t="shared" si="25"/>
        <v>0.70531400966183577</v>
      </c>
      <c r="L50" s="3">
        <v>2082.5</v>
      </c>
      <c r="M50" s="3">
        <v>567.46799999999996</v>
      </c>
      <c r="N50" s="3">
        <f>VLOOKUP(C50,'[1]5月25-5月31日汇总'!$C:$E,3,0)</f>
        <v>94</v>
      </c>
      <c r="O50" s="3">
        <f>VLOOKUP(C50,'[1]6月汇总'!$C:$E,3,0)</f>
        <v>360</v>
      </c>
      <c r="P50" s="3">
        <f t="shared" si="26"/>
        <v>1021.468</v>
      </c>
      <c r="Q50" s="5">
        <f>VLOOKUP(C50,[2]两年对比终版!$A:$F,6,0)</f>
        <v>2098.8549979999998</v>
      </c>
      <c r="R50" s="5"/>
      <c r="S50" s="6">
        <f t="shared" si="27"/>
        <v>0.49050084033613445</v>
      </c>
      <c r="T50" s="3">
        <v>84.6</v>
      </c>
      <c r="U50" s="3">
        <v>40</v>
      </c>
      <c r="V50" s="3">
        <f>VLOOKUP(C50,'[1]5月25-5月31日汇总'!$C:$F,4,0)</f>
        <v>0</v>
      </c>
      <c r="W50" s="3">
        <f>VLOOKUP(C50,'[1]6月汇总'!$C:$F,4,0)</f>
        <v>28</v>
      </c>
      <c r="X50" s="3">
        <f t="shared" si="28"/>
        <v>68</v>
      </c>
      <c r="Y50" s="5">
        <f>VLOOKUP(C50,[2]两年对比终版!$A:$N,14,0)</f>
        <v>36</v>
      </c>
      <c r="Z50" s="5"/>
      <c r="AA50" s="6">
        <f t="shared" si="29"/>
        <v>0.80378250591016553</v>
      </c>
      <c r="AB50" s="3">
        <v>850</v>
      </c>
      <c r="AC50" s="3">
        <v>280.495</v>
      </c>
      <c r="AD50" s="3">
        <f>VLOOKUP(C50,'[1]5月25-5月31日汇总'!$C:$G,5,0)</f>
        <v>0</v>
      </c>
      <c r="AE50" s="3">
        <f>VLOOKUP(C50,'[1]6月汇总'!$C:$G,5,0)</f>
        <v>200</v>
      </c>
      <c r="AF50" s="3">
        <f t="shared" si="30"/>
        <v>480.495</v>
      </c>
      <c r="AG50" s="5">
        <f>VLOOKUP(C50,[2]两年对比终版!$A:$Q,17,0)</f>
        <v>317.42713099999997</v>
      </c>
      <c r="AH50" s="5"/>
      <c r="AI50" s="6">
        <f t="shared" si="31"/>
        <v>0.56528823529411765</v>
      </c>
      <c r="AJ50" s="3">
        <v>84.6</v>
      </c>
      <c r="AK50" s="3">
        <v>17</v>
      </c>
      <c r="AL50" s="3">
        <f>VLOOKUP(C50,'[1]5月25-5月31日汇总'!$C:$H,6,0)</f>
        <v>0</v>
      </c>
      <c r="AM50" s="3">
        <f>VLOOKUP(C50,'[1]6月汇总'!$C:$I,6,0)</f>
        <v>17</v>
      </c>
      <c r="AN50" s="3">
        <f t="shared" si="32"/>
        <v>34</v>
      </c>
      <c r="AO50" s="5">
        <f>VLOOKUP(C50,[2]两年对比终版!$A:$T,20,0)</f>
        <v>29</v>
      </c>
      <c r="AP50" s="5"/>
      <c r="AQ50" s="6">
        <f t="shared" si="33"/>
        <v>0.40189125295508277</v>
      </c>
      <c r="AR50" s="3">
        <v>850</v>
      </c>
      <c r="AS50" s="3">
        <v>121.804</v>
      </c>
      <c r="AT50" s="3">
        <f>VLOOKUP(C50,'[1]5月25-5月31日汇总'!$C:$I,7,0)</f>
        <v>0</v>
      </c>
      <c r="AU50" s="3">
        <f>VLOOKUP(C50,'[1]6月汇总'!$C:$I,7,0)</f>
        <v>154</v>
      </c>
      <c r="AV50" s="3">
        <f t="shared" si="34"/>
        <v>275.80399999999997</v>
      </c>
      <c r="AW50" s="5">
        <f>VLOOKUP(C50,[2]两年对比终版!$A:$X,23,0)</f>
        <v>276.05057599999998</v>
      </c>
      <c r="AX50" s="5"/>
      <c r="AY50" s="6">
        <f t="shared" si="35"/>
        <v>0.32447529411764703</v>
      </c>
      <c r="AZ50" s="3">
        <v>808</v>
      </c>
      <c r="BA50" s="3">
        <v>143.13</v>
      </c>
      <c r="BB50" s="3"/>
      <c r="BC50" s="3"/>
      <c r="BD50" s="3">
        <f t="shared" si="36"/>
        <v>143.13</v>
      </c>
      <c r="BE50" s="5">
        <f>VLOOKUP(C50,[2]两年对比终版!$A:$AD,30,0)</f>
        <v>290.39446128082301</v>
      </c>
      <c r="BF50" s="6">
        <f t="shared" si="37"/>
        <v>0.17714108910891088</v>
      </c>
    </row>
    <row r="51" spans="1:58" hidden="1" x14ac:dyDescent="0.15">
      <c r="A51" s="2">
        <v>43</v>
      </c>
      <c r="B51" s="2" t="s">
        <v>28</v>
      </c>
      <c r="C51" s="2" t="s">
        <v>69</v>
      </c>
      <c r="D51" s="3">
        <v>145</v>
      </c>
      <c r="E51" s="3">
        <v>58</v>
      </c>
      <c r="F51" s="3">
        <f>VLOOKUP(C51,'[1]5月25-5月31日汇总'!$C:$D,2,0)</f>
        <v>4</v>
      </c>
      <c r="G51" s="3">
        <f>VLOOKUP(C51,'[1]6月汇总'!$C:$D,2,0)</f>
        <v>30</v>
      </c>
      <c r="H51" s="3">
        <f t="shared" si="24"/>
        <v>92</v>
      </c>
      <c r="I51" s="5">
        <f>VLOOKUP(C51,[2]两年对比终版!$A:$C,3,0)</f>
        <v>0</v>
      </c>
      <c r="J51" s="5"/>
      <c r="K51" s="6">
        <f t="shared" si="25"/>
        <v>0.6344827586206897</v>
      </c>
      <c r="L51" s="3">
        <v>1500</v>
      </c>
      <c r="M51" s="3">
        <v>398.29399999999998</v>
      </c>
      <c r="N51" s="3">
        <f>VLOOKUP(C51,'[1]5月25-5月31日汇总'!$C:$E,3,0)</f>
        <v>22</v>
      </c>
      <c r="O51" s="3">
        <f>VLOOKUP(C51,'[1]6月汇总'!$C:$E,3,0)</f>
        <v>44</v>
      </c>
      <c r="P51" s="3">
        <f t="shared" si="26"/>
        <v>464.29399999999998</v>
      </c>
      <c r="Q51" s="5">
        <f>VLOOKUP(C51,[2]两年对比终版!$A:$F,6,0)</f>
        <v>0</v>
      </c>
      <c r="R51" s="5"/>
      <c r="S51" s="6">
        <f t="shared" si="27"/>
        <v>0.30952933333333332</v>
      </c>
      <c r="T51" s="3">
        <v>60.3</v>
      </c>
      <c r="U51" s="3">
        <v>23</v>
      </c>
      <c r="V51" s="3">
        <f>VLOOKUP(C51,'[1]5月25-5月31日汇总'!$C:$F,4,0)</f>
        <v>0</v>
      </c>
      <c r="W51" s="3">
        <f>VLOOKUP(C51,'[1]6月汇总'!$C:$F,4,0)</f>
        <v>4</v>
      </c>
      <c r="X51" s="3">
        <f t="shared" si="28"/>
        <v>27</v>
      </c>
      <c r="Y51" s="5">
        <f>VLOOKUP(C51,[2]两年对比终版!$A:$N,14,0)</f>
        <v>0</v>
      </c>
      <c r="Z51" s="5"/>
      <c r="AA51" s="6">
        <f t="shared" si="29"/>
        <v>0.44776119402985076</v>
      </c>
      <c r="AB51" s="3">
        <v>600</v>
      </c>
      <c r="AC51" s="3">
        <v>157.29499999999999</v>
      </c>
      <c r="AD51" s="3">
        <f>VLOOKUP(C51,'[1]5月25-5月31日汇总'!$C:$G,5,0)</f>
        <v>0</v>
      </c>
      <c r="AE51" s="3">
        <f>VLOOKUP(C51,'[1]6月汇总'!$C:$G,5,0)</f>
        <v>22</v>
      </c>
      <c r="AF51" s="3">
        <f t="shared" si="30"/>
        <v>179.29499999999999</v>
      </c>
      <c r="AG51" s="5">
        <f>VLOOKUP(C51,[2]两年对比终版!$A:$Q,17,0)</f>
        <v>0</v>
      </c>
      <c r="AH51" s="5"/>
      <c r="AI51" s="6">
        <f t="shared" si="31"/>
        <v>0.29882499999999995</v>
      </c>
      <c r="AJ51" s="3">
        <v>60.3</v>
      </c>
      <c r="AK51" s="3">
        <v>2</v>
      </c>
      <c r="AL51" s="3">
        <f>VLOOKUP(C51,'[1]5月25-5月31日汇总'!$C:$H,6,0)</f>
        <v>8</v>
      </c>
      <c r="AM51" s="3">
        <f>VLOOKUP(C51,'[1]6月汇总'!$C:$I,6,0)</f>
        <v>13</v>
      </c>
      <c r="AN51" s="3">
        <f t="shared" si="32"/>
        <v>23</v>
      </c>
      <c r="AO51" s="5">
        <f>VLOOKUP(C51,[2]两年对比终版!$A:$T,20,0)</f>
        <v>0</v>
      </c>
      <c r="AP51" s="5"/>
      <c r="AQ51" s="6">
        <f t="shared" si="33"/>
        <v>0.38142620232172475</v>
      </c>
      <c r="AR51" s="3">
        <v>600</v>
      </c>
      <c r="AS51" s="3">
        <v>11.338100000000001</v>
      </c>
      <c r="AT51" s="3">
        <f>VLOOKUP(C51,'[1]5月25-5月31日汇总'!$C:$I,7,0)</f>
        <v>58</v>
      </c>
      <c r="AU51" s="3">
        <f>VLOOKUP(C51,'[1]6月汇总'!$C:$I,7,0)</f>
        <v>148</v>
      </c>
      <c r="AV51" s="3">
        <f t="shared" si="34"/>
        <v>217.3381</v>
      </c>
      <c r="AW51" s="5">
        <f>VLOOKUP(C51,[2]两年对比终版!$A:$X,23,0)</f>
        <v>0</v>
      </c>
      <c r="AX51" s="5"/>
      <c r="AY51" s="6">
        <f t="shared" si="35"/>
        <v>0.36223016666666669</v>
      </c>
      <c r="AZ51" s="3">
        <v>570</v>
      </c>
      <c r="BA51" s="3">
        <v>88.164199999999994</v>
      </c>
      <c r="BB51" s="3"/>
      <c r="BC51" s="3"/>
      <c r="BD51" s="3">
        <f t="shared" si="36"/>
        <v>88.164199999999994</v>
      </c>
      <c r="BE51" s="5">
        <f>VLOOKUP(C51,[2]两年对比终版!$A:$AD,30,0)</f>
        <v>0</v>
      </c>
      <c r="BF51" s="6">
        <f t="shared" si="37"/>
        <v>0.15467403508771929</v>
      </c>
    </row>
    <row r="52" spans="1:58" hidden="1" x14ac:dyDescent="0.15">
      <c r="A52" s="2">
        <v>44</v>
      </c>
      <c r="B52" s="2" t="s">
        <v>33</v>
      </c>
      <c r="C52" s="2" t="s">
        <v>70</v>
      </c>
      <c r="D52" s="3">
        <v>81</v>
      </c>
      <c r="E52" s="3">
        <v>16</v>
      </c>
      <c r="F52" s="3">
        <f>VLOOKUP(C52,'[1]5月25-5月31日汇总'!$C:$D,2,0)</f>
        <v>10</v>
      </c>
      <c r="G52" s="3">
        <f>VLOOKUP(C52,'[1]6月汇总'!$C:$D,2,0)</f>
        <v>35</v>
      </c>
      <c r="H52" s="3">
        <f t="shared" si="24"/>
        <v>61</v>
      </c>
      <c r="I52" s="5">
        <f>VLOOKUP(C52,[2]两年对比终版!$A:$C,3,0)</f>
        <v>138</v>
      </c>
      <c r="J52" s="5"/>
      <c r="K52" s="6">
        <f t="shared" si="25"/>
        <v>0.75308641975308643</v>
      </c>
      <c r="L52" s="3">
        <v>735</v>
      </c>
      <c r="M52" s="3">
        <v>139.24199999999999</v>
      </c>
      <c r="N52" s="3">
        <f>VLOOKUP(C52,'[1]5月25-5月31日汇总'!$C:$E,3,0)</f>
        <v>65</v>
      </c>
      <c r="O52" s="3">
        <f>VLOOKUP(C52,'[1]6月汇总'!$C:$E,3,0)</f>
        <v>270</v>
      </c>
      <c r="P52" s="3">
        <f t="shared" si="26"/>
        <v>474.24199999999996</v>
      </c>
      <c r="Q52" s="5">
        <f>VLOOKUP(C52,[2]两年对比终版!$A:$F,6,0)</f>
        <v>1844.2106389999999</v>
      </c>
      <c r="R52" s="5"/>
      <c r="S52" s="6">
        <f t="shared" si="27"/>
        <v>0.64522721088435364</v>
      </c>
      <c r="T52" s="3">
        <v>33.299999999999997</v>
      </c>
      <c r="U52" s="3">
        <v>9</v>
      </c>
      <c r="V52" s="3">
        <f>VLOOKUP(C52,'[1]5月25-5月31日汇总'!$C:$F,4,0)</f>
        <v>0</v>
      </c>
      <c r="W52" s="3">
        <f>VLOOKUP(C52,'[1]6月汇总'!$C:$F,4,0)</f>
        <v>22</v>
      </c>
      <c r="X52" s="3">
        <f t="shared" si="28"/>
        <v>31</v>
      </c>
      <c r="Y52" s="5">
        <f>VLOOKUP(C52,[2]两年对比终版!$A:$N,14,0)</f>
        <v>2</v>
      </c>
      <c r="Z52" s="5"/>
      <c r="AA52" s="6">
        <f t="shared" si="29"/>
        <v>0.93093093093093104</v>
      </c>
      <c r="AB52" s="3">
        <v>300</v>
      </c>
      <c r="AC52" s="3">
        <v>63.4146</v>
      </c>
      <c r="AD52" s="3">
        <f>VLOOKUP(C52,'[1]5月25-5月31日汇总'!$C:$G,5,0)</f>
        <v>0</v>
      </c>
      <c r="AE52" s="3">
        <f>VLOOKUP(C52,'[1]6月汇总'!$C:$G,5,0)</f>
        <v>127</v>
      </c>
      <c r="AF52" s="3">
        <f t="shared" si="30"/>
        <v>190.41460000000001</v>
      </c>
      <c r="AG52" s="5">
        <f>VLOOKUP(C52,[2]两年对比终版!$A:$Q,17,0)</f>
        <v>14.660022</v>
      </c>
      <c r="AH52" s="5"/>
      <c r="AI52" s="6">
        <f t="shared" si="31"/>
        <v>0.63471533333333341</v>
      </c>
      <c r="AJ52" s="3">
        <v>33.299999999999997</v>
      </c>
      <c r="AK52" s="3">
        <v>15</v>
      </c>
      <c r="AL52" s="3">
        <f>VLOOKUP(C52,'[1]5月25-5月31日汇总'!$C:$H,6,0)</f>
        <v>0</v>
      </c>
      <c r="AM52" s="3">
        <f>VLOOKUP(C52,'[1]6月汇总'!$C:$I,6,0)</f>
        <v>26</v>
      </c>
      <c r="AN52" s="3">
        <f t="shared" si="32"/>
        <v>41</v>
      </c>
      <c r="AO52" s="5">
        <f>VLOOKUP(C52,[2]两年对比终版!$A:$T,20,0)</f>
        <v>1</v>
      </c>
      <c r="AP52" s="5"/>
      <c r="AQ52" s="6">
        <f t="shared" si="33"/>
        <v>1.2312312312312312</v>
      </c>
      <c r="AR52" s="3">
        <v>300</v>
      </c>
      <c r="AS52" s="3">
        <v>126.352</v>
      </c>
      <c r="AT52" s="3">
        <f>VLOOKUP(C52,'[1]5月25-5月31日汇总'!$C:$I,7,0)</f>
        <v>0</v>
      </c>
      <c r="AU52" s="3">
        <f>VLOOKUP(C52,'[1]6月汇总'!$C:$I,7,0)</f>
        <v>147</v>
      </c>
      <c r="AV52" s="3">
        <f t="shared" si="34"/>
        <v>273.35199999999998</v>
      </c>
      <c r="AW52" s="5">
        <f>VLOOKUP(C52,[2]两年对比终版!$A:$X,23,0)</f>
        <v>6.7391420000000002</v>
      </c>
      <c r="AX52" s="5"/>
      <c r="AY52" s="6">
        <f t="shared" si="35"/>
        <v>0.91117333333333328</v>
      </c>
      <c r="AZ52" s="3">
        <v>285</v>
      </c>
      <c r="BA52" s="3">
        <v>49.628300000000003</v>
      </c>
      <c r="BB52" s="3"/>
      <c r="BC52" s="3"/>
      <c r="BD52" s="3">
        <f t="shared" si="36"/>
        <v>49.628300000000003</v>
      </c>
      <c r="BE52" s="5">
        <f>VLOOKUP(C52,[2]两年对比终版!$A:$AD,30,0)</f>
        <v>17.849940763568899</v>
      </c>
      <c r="BF52" s="6">
        <f t="shared" si="37"/>
        <v>0.17413438596491229</v>
      </c>
    </row>
    <row r="53" spans="1:58" hidden="1" x14ac:dyDescent="0.15">
      <c r="A53" s="2">
        <v>45</v>
      </c>
      <c r="B53" s="2" t="s">
        <v>33</v>
      </c>
      <c r="C53" s="2" t="s">
        <v>71</v>
      </c>
      <c r="D53" s="3">
        <v>127</v>
      </c>
      <c r="E53" s="3">
        <v>47</v>
      </c>
      <c r="F53" s="3">
        <f>VLOOKUP(C53,'[1]5月25-5月31日汇总'!$C:$D,2,0)</f>
        <v>0</v>
      </c>
      <c r="G53" s="3">
        <f>VLOOKUP(C53,'[1]6月汇总'!$C:$D,2,0)</f>
        <v>21</v>
      </c>
      <c r="H53" s="3">
        <f t="shared" si="24"/>
        <v>68</v>
      </c>
      <c r="I53" s="5">
        <f>VLOOKUP(C53,[2]两年对比终版!$A:$C,3,0)</f>
        <v>0</v>
      </c>
      <c r="J53" s="5"/>
      <c r="K53" s="6">
        <f t="shared" si="25"/>
        <v>0.53543307086614178</v>
      </c>
      <c r="L53" s="3">
        <v>980</v>
      </c>
      <c r="M53" s="3">
        <v>374.065</v>
      </c>
      <c r="N53" s="3">
        <f>VLOOKUP(C53,'[1]5月25-5月31日汇总'!$C:$E,3,0)</f>
        <v>0</v>
      </c>
      <c r="O53" s="3">
        <f>VLOOKUP(C53,'[1]6月汇总'!$C:$E,3,0)</f>
        <v>120</v>
      </c>
      <c r="P53" s="3">
        <f t="shared" si="26"/>
        <v>494.065</v>
      </c>
      <c r="Q53" s="5">
        <f>VLOOKUP(C53,[2]两年对比终版!$A:$F,6,0)</f>
        <v>0</v>
      </c>
      <c r="R53" s="5"/>
      <c r="S53" s="6">
        <f t="shared" si="27"/>
        <v>0.5041479591836735</v>
      </c>
      <c r="T53" s="3">
        <v>52.2</v>
      </c>
      <c r="U53" s="3">
        <v>44</v>
      </c>
      <c r="V53" s="3">
        <f>VLOOKUP(C53,'[1]5月25-5月31日汇总'!$C:$F,4,0)</f>
        <v>0</v>
      </c>
      <c r="W53" s="3">
        <f>VLOOKUP(C53,'[1]6月汇总'!$C:$F,4,0)</f>
        <v>0</v>
      </c>
      <c r="X53" s="3">
        <f t="shared" si="28"/>
        <v>44</v>
      </c>
      <c r="Y53" s="5">
        <f>VLOOKUP(C53,[2]两年对比终版!$A:$N,14,0)</f>
        <v>0</v>
      </c>
      <c r="Z53" s="5"/>
      <c r="AA53" s="6">
        <f t="shared" si="29"/>
        <v>0.84291187739463602</v>
      </c>
      <c r="AB53" s="3">
        <v>400</v>
      </c>
      <c r="AC53" s="3">
        <v>312.10500000000002</v>
      </c>
      <c r="AD53" s="3">
        <f>VLOOKUP(C53,'[1]5月25-5月31日汇总'!$C:$G,5,0)</f>
        <v>0</v>
      </c>
      <c r="AE53" s="3">
        <f>VLOOKUP(C53,'[1]6月汇总'!$C:$G,5,0)</f>
        <v>0</v>
      </c>
      <c r="AF53" s="3">
        <f t="shared" si="30"/>
        <v>312.10500000000002</v>
      </c>
      <c r="AG53" s="5">
        <f>VLOOKUP(C53,[2]两年对比终版!$A:$Q,17,0)</f>
        <v>0</v>
      </c>
      <c r="AH53" s="5"/>
      <c r="AI53" s="6">
        <f t="shared" si="31"/>
        <v>0.78026250000000008</v>
      </c>
      <c r="AJ53" s="3">
        <v>52.2</v>
      </c>
      <c r="AK53" s="3">
        <v>26</v>
      </c>
      <c r="AL53" s="3">
        <f>VLOOKUP(C53,'[1]5月25-5月31日汇总'!$C:$H,6,0)</f>
        <v>0</v>
      </c>
      <c r="AM53" s="3">
        <f>VLOOKUP(C53,'[1]6月汇总'!$C:$I,6,0)</f>
        <v>18</v>
      </c>
      <c r="AN53" s="3">
        <f t="shared" si="32"/>
        <v>44</v>
      </c>
      <c r="AO53" s="5">
        <f>VLOOKUP(C53,[2]两年对比终版!$A:$T,20,0)</f>
        <v>0</v>
      </c>
      <c r="AP53" s="5"/>
      <c r="AQ53" s="6">
        <f t="shared" si="33"/>
        <v>0.84291187739463602</v>
      </c>
      <c r="AR53" s="3">
        <v>400</v>
      </c>
      <c r="AS53" s="3">
        <v>144.143</v>
      </c>
      <c r="AT53" s="3">
        <f>VLOOKUP(C53,'[1]5月25-5月31日汇总'!$C:$I,7,0)</f>
        <v>0</v>
      </c>
      <c r="AU53" s="3">
        <f>VLOOKUP(C53,'[1]6月汇总'!$C:$I,7,0)</f>
        <v>170</v>
      </c>
      <c r="AV53" s="3">
        <f t="shared" si="34"/>
        <v>314.14300000000003</v>
      </c>
      <c r="AW53" s="5">
        <f>VLOOKUP(C53,[2]两年对比终版!$A:$X,23,0)</f>
        <v>0</v>
      </c>
      <c r="AX53" s="5"/>
      <c r="AY53" s="6">
        <f t="shared" si="35"/>
        <v>0.78535750000000004</v>
      </c>
      <c r="AZ53" s="3">
        <v>380</v>
      </c>
      <c r="BA53" s="3">
        <v>143.08799999999999</v>
      </c>
      <c r="BB53" s="3"/>
      <c r="BC53" s="3"/>
      <c r="BD53" s="3">
        <f t="shared" si="36"/>
        <v>143.08799999999999</v>
      </c>
      <c r="BE53" s="5">
        <f>VLOOKUP(C53,[2]两年对比终版!$A:$AD,30,0)</f>
        <v>0</v>
      </c>
      <c r="BF53" s="6">
        <f t="shared" si="37"/>
        <v>0.37654736842105263</v>
      </c>
    </row>
    <row r="54" spans="1:58" hidden="1" x14ac:dyDescent="0.15">
      <c r="A54" s="2">
        <v>46</v>
      </c>
      <c r="B54" s="2" t="s">
        <v>28</v>
      </c>
      <c r="C54" s="2" t="s">
        <v>72</v>
      </c>
      <c r="D54" s="3">
        <v>73</v>
      </c>
      <c r="E54" s="3">
        <v>48</v>
      </c>
      <c r="F54" s="3">
        <f>VLOOKUP(C54,'[1]5月25-5月31日汇总'!$C:$D,2,0)</f>
        <v>1</v>
      </c>
      <c r="G54" s="3">
        <f>VLOOKUP(C54,'[1]6月汇总'!$C:$D,2,0)</f>
        <v>20</v>
      </c>
      <c r="H54" s="3">
        <f t="shared" si="24"/>
        <v>69</v>
      </c>
      <c r="I54" s="5">
        <f>VLOOKUP(C54,[2]两年对比终版!$A:$C,3,0)</f>
        <v>57</v>
      </c>
      <c r="J54" s="5"/>
      <c r="K54" s="6">
        <f t="shared" si="25"/>
        <v>0.9452054794520548</v>
      </c>
      <c r="L54" s="3">
        <v>816.66700000000003</v>
      </c>
      <c r="M54" s="3">
        <v>344.58800000000002</v>
      </c>
      <c r="N54" s="3">
        <f>VLOOKUP(C54,'[1]5月25-5月31日汇总'!$C:$E,3,0)</f>
        <v>5</v>
      </c>
      <c r="O54" s="3">
        <f>VLOOKUP(C54,'[1]6月汇总'!$C:$E,3,0)</f>
        <v>98</v>
      </c>
      <c r="P54" s="3">
        <f t="shared" si="26"/>
        <v>447.58800000000002</v>
      </c>
      <c r="Q54" s="5">
        <f>VLOOKUP(C54,[2]两年对比终版!$A:$F,6,0)</f>
        <v>430.01145500000001</v>
      </c>
      <c r="R54" s="5"/>
      <c r="S54" s="6">
        <f t="shared" si="27"/>
        <v>0.5480667150748102</v>
      </c>
      <c r="T54" s="3">
        <v>31.5</v>
      </c>
      <c r="U54" s="3">
        <v>20</v>
      </c>
      <c r="V54" s="3">
        <f>VLOOKUP(C54,'[1]5月25-5月31日汇总'!$C:$F,4,0)</f>
        <v>1</v>
      </c>
      <c r="W54" s="3">
        <f>VLOOKUP(C54,'[1]6月汇总'!$C:$F,4,0)</f>
        <v>20</v>
      </c>
      <c r="X54" s="3">
        <f t="shared" si="28"/>
        <v>41</v>
      </c>
      <c r="Y54" s="5">
        <f>VLOOKUP(C54,[2]两年对比终版!$A:$N,14,0)</f>
        <v>2</v>
      </c>
      <c r="Z54" s="5"/>
      <c r="AA54" s="6">
        <f t="shared" si="29"/>
        <v>1.3015873015873016</v>
      </c>
      <c r="AB54" s="3">
        <v>350</v>
      </c>
      <c r="AC54" s="3">
        <v>124.407</v>
      </c>
      <c r="AD54" s="3">
        <f>VLOOKUP(C54,'[1]5月25-5月31日汇总'!$C:$G,5,0)</f>
        <v>5</v>
      </c>
      <c r="AE54" s="3">
        <f>VLOOKUP(C54,'[1]6月汇总'!$C:$G,5,0)</f>
        <v>98</v>
      </c>
      <c r="AF54" s="3">
        <f t="shared" si="30"/>
        <v>227.40699999999998</v>
      </c>
      <c r="AG54" s="5">
        <f>VLOOKUP(C54,[2]两年对比终版!$A:$Q,17,0)</f>
        <v>19.154128</v>
      </c>
      <c r="AH54" s="5"/>
      <c r="AI54" s="6">
        <f t="shared" si="31"/>
        <v>0.64973428571428571</v>
      </c>
      <c r="AJ54" s="3">
        <v>31.5</v>
      </c>
      <c r="AK54" s="3">
        <v>25</v>
      </c>
      <c r="AL54" s="3">
        <f>VLOOKUP(C54,'[1]5月25-5月31日汇总'!$C:$H,6,0)</f>
        <v>0</v>
      </c>
      <c r="AM54" s="3">
        <f>VLOOKUP(C54,'[1]6月汇总'!$C:$I,6,0)</f>
        <v>6</v>
      </c>
      <c r="AN54" s="3">
        <f t="shared" si="32"/>
        <v>31</v>
      </c>
      <c r="AO54" s="5">
        <f>VLOOKUP(C54,[2]两年对比终版!$A:$T,20,0)</f>
        <v>0</v>
      </c>
      <c r="AP54" s="5"/>
      <c r="AQ54" s="6">
        <f t="shared" si="33"/>
        <v>0.98412698412698407</v>
      </c>
      <c r="AR54" s="3">
        <v>350</v>
      </c>
      <c r="AS54" s="3">
        <v>162.51300000000001</v>
      </c>
      <c r="AT54" s="3">
        <f>VLOOKUP(C54,'[1]5月25-5月31日汇总'!$C:$I,7,0)</f>
        <v>0</v>
      </c>
      <c r="AU54" s="3">
        <f>VLOOKUP(C54,'[1]6月汇总'!$C:$I,7,0)</f>
        <v>42</v>
      </c>
      <c r="AV54" s="3">
        <f t="shared" si="34"/>
        <v>204.51300000000001</v>
      </c>
      <c r="AW54" s="5">
        <f>VLOOKUP(C54,[2]两年对比终版!$A:$X,23,0)</f>
        <v>0</v>
      </c>
      <c r="AX54" s="5"/>
      <c r="AY54" s="6">
        <f t="shared" si="35"/>
        <v>0.58432285714285714</v>
      </c>
      <c r="AZ54" s="3">
        <v>332</v>
      </c>
      <c r="BA54" s="3">
        <v>16.761600000000001</v>
      </c>
      <c r="BB54" s="3"/>
      <c r="BC54" s="3"/>
      <c r="BD54" s="3">
        <f t="shared" si="36"/>
        <v>16.761600000000001</v>
      </c>
      <c r="BE54" s="5">
        <f>VLOOKUP(C54,[2]两年对比终版!$A:$AD,30,0)</f>
        <v>19.978638671875</v>
      </c>
      <c r="BF54" s="6">
        <f t="shared" si="37"/>
        <v>5.048674698795181E-2</v>
      </c>
    </row>
    <row r="55" spans="1:58" hidden="1" x14ac:dyDescent="0.15">
      <c r="A55" s="2">
        <v>47</v>
      </c>
      <c r="B55" s="2" t="s">
        <v>33</v>
      </c>
      <c r="C55" s="2" t="s">
        <v>73</v>
      </c>
      <c r="D55" s="3">
        <v>44</v>
      </c>
      <c r="E55" s="3">
        <v>0</v>
      </c>
      <c r="F55" s="3">
        <f>VLOOKUP(C55,'[1]5月25-5月31日汇总'!$C:$D,2,0)</f>
        <v>0</v>
      </c>
      <c r="G55" s="3">
        <f>VLOOKUP(C55,'[1]6月汇总'!$C:$D,2,0)</f>
        <v>0</v>
      </c>
      <c r="H55" s="3">
        <f t="shared" si="24"/>
        <v>0</v>
      </c>
      <c r="I55" s="5">
        <f>VLOOKUP(C55,[2]两年对比终版!$A:$C,3,0)</f>
        <v>0</v>
      </c>
      <c r="J55" s="5"/>
      <c r="K55" s="6">
        <f t="shared" si="25"/>
        <v>0</v>
      </c>
      <c r="L55" s="3">
        <v>490</v>
      </c>
      <c r="M55" s="3">
        <v>0</v>
      </c>
      <c r="N55" s="3">
        <f>VLOOKUP(C55,'[1]5月25-5月31日汇总'!$C:$E,3,0)</f>
        <v>0</v>
      </c>
      <c r="O55" s="3">
        <f>VLOOKUP(C55,'[1]6月汇总'!$C:$E,3,0)</f>
        <v>0</v>
      </c>
      <c r="P55" s="3">
        <f t="shared" si="26"/>
        <v>0</v>
      </c>
      <c r="Q55" s="5">
        <f>VLOOKUP(C55,[2]两年对比终版!$A:$F,6,0)</f>
        <v>0</v>
      </c>
      <c r="R55" s="5"/>
      <c r="S55" s="6">
        <f t="shared" si="27"/>
        <v>0</v>
      </c>
      <c r="T55" s="3">
        <v>20</v>
      </c>
      <c r="U55" s="3">
        <v>0</v>
      </c>
      <c r="V55" s="3">
        <f>VLOOKUP(C55,'[1]5月25-5月31日汇总'!$C:$F,4,0)</f>
        <v>0</v>
      </c>
      <c r="W55" s="3">
        <f>VLOOKUP(C55,'[1]6月汇总'!$C:$F,4,0)</f>
        <v>0</v>
      </c>
      <c r="X55" s="3">
        <f t="shared" si="28"/>
        <v>0</v>
      </c>
      <c r="Y55" s="5">
        <f>VLOOKUP(C55,[2]两年对比终版!$A:$N,14,0)</f>
        <v>0</v>
      </c>
      <c r="Z55" s="5"/>
      <c r="AA55" s="6">
        <f t="shared" si="29"/>
        <v>0</v>
      </c>
      <c r="AB55" s="3">
        <v>200</v>
      </c>
      <c r="AC55" s="3">
        <v>0</v>
      </c>
      <c r="AD55" s="3">
        <f>VLOOKUP(C55,'[1]5月25-5月31日汇总'!$C:$G,5,0)</f>
        <v>0</v>
      </c>
      <c r="AE55" s="3">
        <f>VLOOKUP(C55,'[1]6月汇总'!$C:$G,5,0)</f>
        <v>0</v>
      </c>
      <c r="AF55" s="3">
        <f t="shared" si="30"/>
        <v>0</v>
      </c>
      <c r="AG55" s="5">
        <f>VLOOKUP(C55,[2]两年对比终版!$A:$Q,17,0)</f>
        <v>0</v>
      </c>
      <c r="AH55" s="5"/>
      <c r="AI55" s="6">
        <f t="shared" si="31"/>
        <v>0</v>
      </c>
      <c r="AJ55" s="3">
        <v>20</v>
      </c>
      <c r="AK55" s="3">
        <v>0</v>
      </c>
      <c r="AL55" s="3">
        <f>VLOOKUP(C55,'[1]5月25-5月31日汇总'!$C:$H,6,0)</f>
        <v>0</v>
      </c>
      <c r="AM55" s="3">
        <f>VLOOKUP(C55,'[1]6月汇总'!$C:$I,6,0)</f>
        <v>0</v>
      </c>
      <c r="AN55" s="3">
        <f t="shared" si="32"/>
        <v>0</v>
      </c>
      <c r="AO55" s="5">
        <f>VLOOKUP(C55,[2]两年对比终版!$A:$T,20,0)</f>
        <v>0</v>
      </c>
      <c r="AP55" s="5"/>
      <c r="AQ55" s="6">
        <f t="shared" si="33"/>
        <v>0</v>
      </c>
      <c r="AR55" s="3">
        <v>200</v>
      </c>
      <c r="AS55" s="3">
        <v>0</v>
      </c>
      <c r="AT55" s="3">
        <f>VLOOKUP(C55,'[1]5月25-5月31日汇总'!$C:$I,7,0)</f>
        <v>0</v>
      </c>
      <c r="AU55" s="3">
        <f>VLOOKUP(C55,'[1]6月汇总'!$C:$I,7,0)</f>
        <v>0</v>
      </c>
      <c r="AV55" s="3">
        <f t="shared" si="34"/>
        <v>0</v>
      </c>
      <c r="AW55" s="5">
        <f>VLOOKUP(C55,[2]两年对比终版!$A:$X,23,0)</f>
        <v>0</v>
      </c>
      <c r="AX55" s="5"/>
      <c r="AY55" s="6">
        <f t="shared" si="35"/>
        <v>0</v>
      </c>
      <c r="AZ55" s="3">
        <v>190</v>
      </c>
      <c r="BA55" s="3">
        <v>0</v>
      </c>
      <c r="BB55" s="3"/>
      <c r="BC55" s="3"/>
      <c r="BD55" s="3">
        <f t="shared" si="36"/>
        <v>0</v>
      </c>
      <c r="BE55" s="5">
        <f>VLOOKUP(C55,[2]两年对比终版!$A:$AD,30,0)</f>
        <v>0</v>
      </c>
      <c r="BF55" s="6">
        <f t="shared" si="37"/>
        <v>0</v>
      </c>
    </row>
    <row r="56" spans="1:58" x14ac:dyDescent="0.15">
      <c r="A56" s="16" t="s">
        <v>74</v>
      </c>
      <c r="B56" s="12"/>
      <c r="C56" s="17"/>
      <c r="D56" s="4">
        <f t="shared" ref="D56:I56" si="40">SUM(D48:D55)</f>
        <v>1339</v>
      </c>
      <c r="E56" s="4">
        <f t="shared" si="40"/>
        <v>540</v>
      </c>
      <c r="F56" s="4">
        <f t="shared" si="40"/>
        <v>60</v>
      </c>
      <c r="G56" s="4">
        <f t="shared" si="40"/>
        <v>208</v>
      </c>
      <c r="H56" s="4">
        <f t="shared" si="40"/>
        <v>808</v>
      </c>
      <c r="I56" s="7">
        <f t="shared" si="40"/>
        <v>633</v>
      </c>
      <c r="J56" s="10">
        <f>(H56-I56)/I56</f>
        <v>0.2764612954186414</v>
      </c>
      <c r="K56" s="8">
        <f>H56/D56</f>
        <v>0.60343539955190439</v>
      </c>
      <c r="L56" s="4">
        <f t="shared" ref="L56:BE56" si="41">SUM(L48:L55)</f>
        <v>13439.847</v>
      </c>
      <c r="M56" s="4">
        <f t="shared" si="41"/>
        <v>4459.7559999999994</v>
      </c>
      <c r="N56" s="4">
        <f t="shared" si="41"/>
        <v>451</v>
      </c>
      <c r="O56" s="4">
        <f t="shared" si="41"/>
        <v>1302</v>
      </c>
      <c r="P56" s="4">
        <f t="shared" si="41"/>
        <v>6212.7559999999994</v>
      </c>
      <c r="Q56" s="7">
        <f>SUM(Q48:Q55)</f>
        <v>6443.7584949999991</v>
      </c>
      <c r="R56" s="10">
        <f>(P56-Q56)/Q56</f>
        <v>-3.5849030527640803E-2</v>
      </c>
      <c r="S56" s="8">
        <f>P56/L56</f>
        <v>0.46226389333152373</v>
      </c>
      <c r="T56" s="4">
        <f t="shared" si="41"/>
        <v>553.70000000000005</v>
      </c>
      <c r="U56" s="4">
        <f t="shared" si="41"/>
        <v>245</v>
      </c>
      <c r="V56" s="4">
        <f t="shared" si="41"/>
        <v>11</v>
      </c>
      <c r="W56" s="4">
        <f t="shared" si="41"/>
        <v>91</v>
      </c>
      <c r="X56" s="4">
        <f t="shared" si="41"/>
        <v>347</v>
      </c>
      <c r="Y56" s="7">
        <f t="shared" si="41"/>
        <v>110</v>
      </c>
      <c r="Z56" s="10">
        <f>(X56-Y56)/Y56</f>
        <v>2.1545454545454548</v>
      </c>
      <c r="AA56" s="8">
        <f>X56/T56</f>
        <v>0.62669315513816137</v>
      </c>
      <c r="AB56" s="4">
        <f t="shared" si="41"/>
        <v>5504</v>
      </c>
      <c r="AC56" s="4">
        <f t="shared" si="41"/>
        <v>2016.4376</v>
      </c>
      <c r="AD56" s="4">
        <f t="shared" si="41"/>
        <v>105</v>
      </c>
      <c r="AE56" s="4">
        <f t="shared" si="41"/>
        <v>592</v>
      </c>
      <c r="AF56" s="4">
        <f t="shared" si="41"/>
        <v>2713.4376000000002</v>
      </c>
      <c r="AG56" s="7">
        <f t="shared" si="41"/>
        <v>1069.3995329999998</v>
      </c>
      <c r="AH56" s="10">
        <f>(AF56-AG56)/AG56</f>
        <v>1.5373469094267884</v>
      </c>
      <c r="AI56" s="8">
        <f>AF56/AB56</f>
        <v>0.49299375000000006</v>
      </c>
      <c r="AJ56" s="4">
        <f t="shared" si="41"/>
        <v>553.70000000000005</v>
      </c>
      <c r="AK56" s="4">
        <f t="shared" si="41"/>
        <v>142</v>
      </c>
      <c r="AL56" s="4">
        <f t="shared" si="41"/>
        <v>15</v>
      </c>
      <c r="AM56" s="4">
        <f t="shared" si="41"/>
        <v>113</v>
      </c>
      <c r="AN56" s="4">
        <f t="shared" si="41"/>
        <v>270</v>
      </c>
      <c r="AO56" s="7">
        <f t="shared" si="41"/>
        <v>88</v>
      </c>
      <c r="AP56" s="10">
        <f>(AN56-AO56)/AO56</f>
        <v>2.0681818181818183</v>
      </c>
      <c r="AQ56" s="8">
        <f>AN56/AJ56</f>
        <v>0.48762867979050023</v>
      </c>
      <c r="AR56" s="4">
        <f t="shared" si="41"/>
        <v>5504</v>
      </c>
      <c r="AS56" s="4">
        <f t="shared" si="41"/>
        <v>1136.0524</v>
      </c>
      <c r="AT56" s="4">
        <f t="shared" si="41"/>
        <v>118</v>
      </c>
      <c r="AU56" s="4">
        <f t="shared" si="41"/>
        <v>1022</v>
      </c>
      <c r="AV56" s="4">
        <f t="shared" si="41"/>
        <v>2276.0523999999996</v>
      </c>
      <c r="AW56" s="7">
        <f t="shared" si="41"/>
        <v>937.54954399999997</v>
      </c>
      <c r="AX56" s="10">
        <f>(AV56-AW56)/AW56</f>
        <v>1.4276609322312248</v>
      </c>
      <c r="AY56" s="8">
        <f>AV56/AR56</f>
        <v>0.41352696220930224</v>
      </c>
      <c r="AZ56" s="4">
        <f t="shared" si="41"/>
        <v>5229</v>
      </c>
      <c r="BA56" s="4">
        <f t="shared" si="41"/>
        <v>1094.1471000000001</v>
      </c>
      <c r="BB56" s="4">
        <f t="shared" si="41"/>
        <v>0</v>
      </c>
      <c r="BC56" s="4">
        <f t="shared" si="41"/>
        <v>0</v>
      </c>
      <c r="BD56" s="4">
        <f t="shared" si="41"/>
        <v>1094.1471000000001</v>
      </c>
      <c r="BE56" s="7">
        <f t="shared" si="41"/>
        <v>1022.080103704548</v>
      </c>
      <c r="BF56" s="8">
        <f>BD56/AZ56</f>
        <v>0.20924595524956974</v>
      </c>
    </row>
    <row r="57" spans="1:58" hidden="1" x14ac:dyDescent="0.15">
      <c r="A57" s="2">
        <v>48</v>
      </c>
      <c r="B57" s="2" t="s">
        <v>19</v>
      </c>
      <c r="C57" s="2" t="s">
        <v>75</v>
      </c>
      <c r="D57" s="3">
        <v>450</v>
      </c>
      <c r="E57" s="3">
        <v>164</v>
      </c>
      <c r="F57" s="3">
        <f>VLOOKUP(C57,'[1]5月25-5月31日汇总'!$C:$D,2,0)</f>
        <v>0</v>
      </c>
      <c r="G57" s="3">
        <v>18</v>
      </c>
      <c r="H57" s="3">
        <f t="shared" si="24"/>
        <v>182</v>
      </c>
      <c r="I57" s="5">
        <f>VLOOKUP(C57,[2]两年对比终版!$A:$C,3,0)</f>
        <v>205</v>
      </c>
      <c r="J57" s="5"/>
      <c r="K57" s="6">
        <f t="shared" si="25"/>
        <v>0.40444444444444444</v>
      </c>
      <c r="L57" s="3">
        <v>6270</v>
      </c>
      <c r="M57" s="3">
        <v>3265.78</v>
      </c>
      <c r="N57" s="3">
        <f>VLOOKUP(C57,'[1]5月25-5月31日汇总'!$C:$E,3,0)</f>
        <v>0</v>
      </c>
      <c r="O57" s="3">
        <v>328</v>
      </c>
      <c r="P57" s="3">
        <f t="shared" si="26"/>
        <v>3593.78</v>
      </c>
      <c r="Q57" s="5">
        <f>VLOOKUP(C57,[2]两年对比终版!$A:$F,6,0)</f>
        <v>3027.8659160000002</v>
      </c>
      <c r="R57" s="5"/>
      <c r="S57" s="6">
        <f t="shared" si="27"/>
        <v>0.573170653907496</v>
      </c>
      <c r="T57" s="3">
        <v>210</v>
      </c>
      <c r="U57" s="3">
        <v>92</v>
      </c>
      <c r="V57" s="3">
        <f>VLOOKUP(C57,'[1]5月25-5月31日汇总'!$C:$F,4,0)</f>
        <v>0</v>
      </c>
      <c r="W57" s="3">
        <v>10</v>
      </c>
      <c r="X57" s="3">
        <f t="shared" si="28"/>
        <v>102</v>
      </c>
      <c r="Y57" s="5">
        <f>VLOOKUP(C57,[2]两年对比终版!$A:$N,14,0)</f>
        <v>61</v>
      </c>
      <c r="Z57" s="5"/>
      <c r="AA57" s="6">
        <f t="shared" si="29"/>
        <v>0.48571428571428571</v>
      </c>
      <c r="AB57" s="3">
        <v>3050</v>
      </c>
      <c r="AC57" s="3">
        <v>1319.4</v>
      </c>
      <c r="AD57" s="3">
        <f>VLOOKUP(C57,'[1]5月25-5月31日汇总'!$C:$G,5,0)</f>
        <v>0</v>
      </c>
      <c r="AE57" s="3">
        <v>115</v>
      </c>
      <c r="AF57" s="3">
        <f t="shared" si="30"/>
        <v>1434.4</v>
      </c>
      <c r="AG57" s="5">
        <f>VLOOKUP(C57,[2]两年对比终版!$A:$Q,17,0)</f>
        <v>919.33171900000002</v>
      </c>
      <c r="AH57" s="5"/>
      <c r="AI57" s="6">
        <f t="shared" si="31"/>
        <v>0.47029508196721315</v>
      </c>
      <c r="AJ57" s="3">
        <v>210</v>
      </c>
      <c r="AK57" s="3">
        <v>87</v>
      </c>
      <c r="AL57" s="3">
        <v>2</v>
      </c>
      <c r="AM57" s="3">
        <v>13</v>
      </c>
      <c r="AN57" s="3">
        <f t="shared" si="32"/>
        <v>102</v>
      </c>
      <c r="AO57" s="5">
        <f>VLOOKUP(C57,[2]两年对比终版!$A:$T,20,0)</f>
        <v>38</v>
      </c>
      <c r="AP57" s="5"/>
      <c r="AQ57" s="6">
        <f t="shared" si="33"/>
        <v>0.48571428571428571</v>
      </c>
      <c r="AR57" s="3">
        <v>3050</v>
      </c>
      <c r="AS57" s="3">
        <v>1253.1600000000001</v>
      </c>
      <c r="AT57" s="3">
        <v>16.309999999999999</v>
      </c>
      <c r="AU57" s="3">
        <v>188</v>
      </c>
      <c r="AV57" s="3">
        <f t="shared" si="34"/>
        <v>1457.47</v>
      </c>
      <c r="AW57" s="5">
        <f>VLOOKUP(C57,[2]两年对比终版!$A:$X,23,0)</f>
        <v>490.77310799999998</v>
      </c>
      <c r="AX57" s="5"/>
      <c r="AY57" s="6">
        <f t="shared" si="35"/>
        <v>0.47785901639344264</v>
      </c>
      <c r="AZ57" s="3">
        <v>2898</v>
      </c>
      <c r="BA57" s="3">
        <v>657.09400000000005</v>
      </c>
      <c r="BB57" s="3"/>
      <c r="BC57" s="3"/>
      <c r="BD57" s="3">
        <f t="shared" si="36"/>
        <v>657.09400000000005</v>
      </c>
      <c r="BE57" s="5">
        <f>VLOOKUP(C57,[2]两年对比终版!$A:$AD,30,0)</f>
        <v>603.53170870666497</v>
      </c>
      <c r="BF57" s="6">
        <f t="shared" si="37"/>
        <v>0.22674051069703247</v>
      </c>
    </row>
    <row r="58" spans="1:58" hidden="1" x14ac:dyDescent="0.15">
      <c r="A58" s="2">
        <v>49</v>
      </c>
      <c r="B58" s="2" t="s">
        <v>19</v>
      </c>
      <c r="C58" s="2" t="s">
        <v>76</v>
      </c>
      <c r="D58" s="3">
        <v>450</v>
      </c>
      <c r="E58" s="3">
        <v>178</v>
      </c>
      <c r="F58" s="3">
        <f>VLOOKUP(C58,'[1]5月25-5月31日汇总'!$C:$D,2,0)</f>
        <v>0</v>
      </c>
      <c r="G58" s="3">
        <v>18</v>
      </c>
      <c r="H58" s="3">
        <f t="shared" si="24"/>
        <v>196</v>
      </c>
      <c r="I58" s="5">
        <f>VLOOKUP(C58,[2]两年对比终版!$A:$C,3,0)</f>
        <v>210</v>
      </c>
      <c r="J58" s="5"/>
      <c r="K58" s="6">
        <f t="shared" si="25"/>
        <v>0.43555555555555553</v>
      </c>
      <c r="L58" s="3">
        <v>6270</v>
      </c>
      <c r="M58" s="3">
        <v>3358.67</v>
      </c>
      <c r="N58" s="3">
        <f>VLOOKUP(C58,'[1]5月25-5月31日汇总'!$C:$E,3,0)</f>
        <v>0</v>
      </c>
      <c r="O58" s="3">
        <v>328</v>
      </c>
      <c r="P58" s="3">
        <f t="shared" si="26"/>
        <v>3686.67</v>
      </c>
      <c r="Q58" s="5">
        <f>VLOOKUP(C58,[2]两年对比终版!$A:$F,6,0)</f>
        <v>4171.5038949999998</v>
      </c>
      <c r="R58" s="5"/>
      <c r="S58" s="6">
        <f t="shared" si="27"/>
        <v>0.58798564593301439</v>
      </c>
      <c r="T58" s="3">
        <v>210</v>
      </c>
      <c r="U58" s="3">
        <v>107</v>
      </c>
      <c r="V58" s="3">
        <f>VLOOKUP(C58,'[1]5月25-5月31日汇总'!$C:$F,4,0)</f>
        <v>0</v>
      </c>
      <c r="W58" s="3">
        <v>10</v>
      </c>
      <c r="X58" s="3">
        <f t="shared" si="28"/>
        <v>117</v>
      </c>
      <c r="Y58" s="5">
        <f>VLOOKUP(C58,[2]两年对比终版!$A:$N,14,0)</f>
        <v>90</v>
      </c>
      <c r="Z58" s="5"/>
      <c r="AA58" s="6">
        <f t="shared" si="29"/>
        <v>0.55714285714285716</v>
      </c>
      <c r="AB58" s="3">
        <v>3050</v>
      </c>
      <c r="AC58" s="3">
        <v>1420.82</v>
      </c>
      <c r="AD58" s="3">
        <f>VLOOKUP(C58,'[1]5月25-5月31日汇总'!$C:$G,5,0)</f>
        <v>0</v>
      </c>
      <c r="AE58" s="3">
        <v>114</v>
      </c>
      <c r="AF58" s="3">
        <f t="shared" si="30"/>
        <v>1534.82</v>
      </c>
      <c r="AG58" s="5">
        <f>VLOOKUP(C58,[2]两年对比终版!$A:$Q,17,0)</f>
        <v>1491.4457580000001</v>
      </c>
      <c r="AH58" s="5"/>
      <c r="AI58" s="6">
        <f t="shared" si="31"/>
        <v>0.50321967213114749</v>
      </c>
      <c r="AJ58" s="3">
        <v>210</v>
      </c>
      <c r="AK58" s="3">
        <v>67</v>
      </c>
      <c r="AL58" s="3">
        <v>1</v>
      </c>
      <c r="AM58" s="3">
        <v>12</v>
      </c>
      <c r="AN58" s="3">
        <f t="shared" si="32"/>
        <v>80</v>
      </c>
      <c r="AO58" s="5">
        <f>VLOOKUP(C58,[2]两年对比终版!$A:$T,20,0)</f>
        <v>67</v>
      </c>
      <c r="AP58" s="5"/>
      <c r="AQ58" s="6">
        <f t="shared" si="33"/>
        <v>0.38095238095238093</v>
      </c>
      <c r="AR58" s="3">
        <v>3050</v>
      </c>
      <c r="AS58" s="3">
        <v>884.928</v>
      </c>
      <c r="AT58" s="3">
        <v>7</v>
      </c>
      <c r="AU58" s="3">
        <v>188</v>
      </c>
      <c r="AV58" s="3">
        <f t="shared" si="34"/>
        <v>1079.9279999999999</v>
      </c>
      <c r="AW58" s="5">
        <f>VLOOKUP(C58,[2]两年对比终版!$A:$X,23,0)</f>
        <v>931.40596400000004</v>
      </c>
      <c r="AX58" s="5"/>
      <c r="AY58" s="6">
        <f t="shared" si="35"/>
        <v>0.35407475409836064</v>
      </c>
      <c r="AZ58" s="3">
        <v>2898</v>
      </c>
      <c r="BA58" s="3">
        <v>747.423</v>
      </c>
      <c r="BB58" s="3"/>
      <c r="BC58" s="3"/>
      <c r="BD58" s="3">
        <f t="shared" si="36"/>
        <v>747.423</v>
      </c>
      <c r="BE58" s="5">
        <f>VLOOKUP(C58,[2]两年对比终版!$A:$AD,30,0)</f>
        <v>968.51239232826197</v>
      </c>
      <c r="BF58" s="6">
        <f t="shared" si="37"/>
        <v>0.25790993788819877</v>
      </c>
    </row>
    <row r="59" spans="1:58" hidden="1" x14ac:dyDescent="0.15">
      <c r="A59" s="2">
        <v>50</v>
      </c>
      <c r="B59" s="2" t="s">
        <v>28</v>
      </c>
      <c r="C59" s="2" t="s">
        <v>77</v>
      </c>
      <c r="D59" s="3">
        <v>100</v>
      </c>
      <c r="E59" s="3">
        <v>30</v>
      </c>
      <c r="F59" s="3">
        <f>VLOOKUP(C59,'[1]5月25-5月31日汇总'!$C:$D,2,0)</f>
        <v>0</v>
      </c>
      <c r="G59" s="3">
        <f>VLOOKUP(C59,'[1]6月汇总'!$C:$D,2,0)</f>
        <v>32</v>
      </c>
      <c r="H59" s="3">
        <f t="shared" si="24"/>
        <v>62</v>
      </c>
      <c r="I59" s="5">
        <f>VLOOKUP(C59,[2]两年对比终版!$A:$C,3,0)</f>
        <v>40</v>
      </c>
      <c r="J59" s="5"/>
      <c r="K59" s="6">
        <f t="shared" si="25"/>
        <v>0.62</v>
      </c>
      <c r="L59" s="3">
        <v>1390</v>
      </c>
      <c r="M59" s="3">
        <v>384.74099999999999</v>
      </c>
      <c r="N59" s="3">
        <f>VLOOKUP(C59,'[1]5月25-5月31日汇总'!$C:$E,3,0)</f>
        <v>0</v>
      </c>
      <c r="O59" s="3">
        <f>VLOOKUP(C59,'[1]6月汇总'!$C:$E,3,0)</f>
        <v>345</v>
      </c>
      <c r="P59" s="3">
        <f t="shared" si="26"/>
        <v>729.74099999999999</v>
      </c>
      <c r="Q59" s="5">
        <f>VLOOKUP(C59,[2]两年对比终版!$A:$F,6,0)</f>
        <v>715.240905</v>
      </c>
      <c r="R59" s="5"/>
      <c r="S59" s="6">
        <f t="shared" si="27"/>
        <v>0.52499352517985609</v>
      </c>
      <c r="T59" s="3">
        <v>35</v>
      </c>
      <c r="U59" s="3">
        <v>8</v>
      </c>
      <c r="V59" s="3">
        <f>VLOOKUP(C59,'[1]5月25-5月31日汇总'!$C:$F,4,0)</f>
        <v>0</v>
      </c>
      <c r="W59" s="3">
        <f>VLOOKUP(C59,'[1]6月汇总'!$C:$F,4,0)</f>
        <v>8</v>
      </c>
      <c r="X59" s="3">
        <f t="shared" si="28"/>
        <v>16</v>
      </c>
      <c r="Y59" s="5">
        <f>VLOOKUP(C59,[2]两年对比终版!$A:$N,14,0)</f>
        <v>1</v>
      </c>
      <c r="Z59" s="5"/>
      <c r="AA59" s="6">
        <f t="shared" si="29"/>
        <v>0.45714285714285713</v>
      </c>
      <c r="AB59" s="3">
        <v>410</v>
      </c>
      <c r="AC59" s="3">
        <v>99.284800000000004</v>
      </c>
      <c r="AD59" s="3">
        <f>VLOOKUP(C59,'[1]5月25-5月31日汇总'!$C:$G,5,0)</f>
        <v>0</v>
      </c>
      <c r="AE59" s="3">
        <f>VLOOKUP(C59,'[1]6月汇总'!$C:$G,5,0)</f>
        <v>80</v>
      </c>
      <c r="AF59" s="3">
        <f t="shared" si="30"/>
        <v>179.28480000000002</v>
      </c>
      <c r="AG59" s="5">
        <f>VLOOKUP(C59,[2]两年对比终版!$A:$Q,17,0)</f>
        <v>9.1833600000000004</v>
      </c>
      <c r="AH59" s="5"/>
      <c r="AI59" s="6">
        <f t="shared" si="31"/>
        <v>0.43728000000000006</v>
      </c>
      <c r="AJ59" s="3">
        <v>35</v>
      </c>
      <c r="AK59" s="3">
        <v>2</v>
      </c>
      <c r="AL59" s="3">
        <f>VLOOKUP(C59,'[1]5月25-5月31日汇总'!$C:$H,6,0)</f>
        <v>0</v>
      </c>
      <c r="AM59" s="3">
        <f>VLOOKUP(C59,'[1]6月汇总'!$C:$I,6,0)</f>
        <v>11</v>
      </c>
      <c r="AN59" s="3">
        <f t="shared" si="32"/>
        <v>13</v>
      </c>
      <c r="AO59" s="5">
        <f>VLOOKUP(C59,[2]两年对比终版!$A:$T,20,0)</f>
        <v>1</v>
      </c>
      <c r="AP59" s="5"/>
      <c r="AQ59" s="6">
        <f t="shared" si="33"/>
        <v>0.37142857142857144</v>
      </c>
      <c r="AR59" s="3">
        <v>410</v>
      </c>
      <c r="AS59" s="3">
        <v>26.889600000000002</v>
      </c>
      <c r="AT59" s="3">
        <f>VLOOKUP(C59,'[1]5月25-5月31日汇总'!$C:$I,7,0)</f>
        <v>0</v>
      </c>
      <c r="AU59" s="3">
        <f>VLOOKUP(C59,'[1]6月汇总'!$C:$I,7,0)</f>
        <v>128</v>
      </c>
      <c r="AV59" s="3">
        <f t="shared" si="34"/>
        <v>154.8896</v>
      </c>
      <c r="AW59" s="5">
        <f>VLOOKUP(C59,[2]两年对比终版!$A:$X,23,0)</f>
        <v>16.065435999999998</v>
      </c>
      <c r="AX59" s="5"/>
      <c r="AY59" s="6">
        <f t="shared" si="35"/>
        <v>0.37777951219512196</v>
      </c>
      <c r="AZ59" s="3">
        <v>390</v>
      </c>
      <c r="BA59" s="3">
        <v>28.447199999999999</v>
      </c>
      <c r="BB59" s="3"/>
      <c r="BC59" s="3"/>
      <c r="BD59" s="3">
        <f t="shared" si="36"/>
        <v>28.447199999999999</v>
      </c>
      <c r="BE59" s="5">
        <f>VLOOKUP(C59,[2]两年对比终版!$A:$AD,30,0)</f>
        <v>242.49100996093799</v>
      </c>
      <c r="BF59" s="6">
        <f t="shared" si="37"/>
        <v>7.294153846153846E-2</v>
      </c>
    </row>
    <row r="60" spans="1:58" hidden="1" x14ac:dyDescent="0.15">
      <c r="A60" s="2">
        <v>51</v>
      </c>
      <c r="B60" s="2" t="s">
        <v>28</v>
      </c>
      <c r="C60" s="2" t="s">
        <v>78</v>
      </c>
      <c r="D60" s="3">
        <v>120</v>
      </c>
      <c r="E60" s="3">
        <v>45</v>
      </c>
      <c r="F60" s="3">
        <f>VLOOKUP(C60,'[1]5月25-5月31日汇总'!$C:$D,2,0)</f>
        <v>10</v>
      </c>
      <c r="G60" s="3">
        <f>VLOOKUP(C60,'[1]6月汇总'!$C:$D,2,0)</f>
        <v>8</v>
      </c>
      <c r="H60" s="3">
        <f t="shared" si="24"/>
        <v>63</v>
      </c>
      <c r="I60" s="5">
        <f>VLOOKUP(C60,[2]两年对比终版!$A:$C,3,0)</f>
        <v>60</v>
      </c>
      <c r="J60" s="5"/>
      <c r="K60" s="6">
        <f t="shared" si="25"/>
        <v>0.52500000000000002</v>
      </c>
      <c r="L60" s="3">
        <v>1670</v>
      </c>
      <c r="M60" s="3">
        <v>617.40599999999995</v>
      </c>
      <c r="N60" s="3">
        <f>VLOOKUP(C60,'[1]5月25-5月31日汇总'!$C:$E,3,0)</f>
        <v>140</v>
      </c>
      <c r="O60" s="3">
        <f>VLOOKUP(C60,'[1]6月汇总'!$C:$E,3,0)</f>
        <v>112</v>
      </c>
      <c r="P60" s="3">
        <f t="shared" si="26"/>
        <v>869.40599999999995</v>
      </c>
      <c r="Q60" s="5">
        <f>VLOOKUP(C60,[2]两年对比终版!$A:$F,6,0)</f>
        <v>872.93738499999995</v>
      </c>
      <c r="R60" s="5"/>
      <c r="S60" s="6">
        <f t="shared" si="27"/>
        <v>0.52060239520958085</v>
      </c>
      <c r="T60" s="3">
        <v>40</v>
      </c>
      <c r="U60" s="3">
        <v>17</v>
      </c>
      <c r="V60" s="3">
        <f>VLOOKUP(C60,'[1]5月25-5月31日汇总'!$C:$F,4,0)</f>
        <v>0</v>
      </c>
      <c r="W60" s="3">
        <f>VLOOKUP(C60,'[1]6月汇总'!$C:$F,4,0)</f>
        <v>3</v>
      </c>
      <c r="X60" s="3">
        <f t="shared" si="28"/>
        <v>20</v>
      </c>
      <c r="Y60" s="5">
        <f>VLOOKUP(C60,[2]两年对比终版!$A:$N,14,0)</f>
        <v>5</v>
      </c>
      <c r="Z60" s="5"/>
      <c r="AA60" s="6">
        <f t="shared" si="29"/>
        <v>0.5</v>
      </c>
      <c r="AB60" s="3">
        <v>480</v>
      </c>
      <c r="AC60" s="3">
        <v>226.44399999999999</v>
      </c>
      <c r="AD60" s="3">
        <f>VLOOKUP(C60,'[1]5月25-5月31日汇总'!$C:$G,5,0)</f>
        <v>0</v>
      </c>
      <c r="AE60" s="3">
        <f>VLOOKUP(C60,'[1]6月汇总'!$C:$G,5,0)</f>
        <v>34.799999999999997</v>
      </c>
      <c r="AF60" s="3">
        <f t="shared" si="30"/>
        <v>261.24399999999997</v>
      </c>
      <c r="AG60" s="5">
        <f>VLOOKUP(C60,[2]两年对比终版!$A:$Q,17,0)</f>
        <v>50.763553999999999</v>
      </c>
      <c r="AH60" s="5"/>
      <c r="AI60" s="6">
        <f t="shared" si="31"/>
        <v>0.54425833333333329</v>
      </c>
      <c r="AJ60" s="3">
        <v>40</v>
      </c>
      <c r="AK60" s="3">
        <v>9</v>
      </c>
      <c r="AL60" s="3">
        <f>VLOOKUP(C60,'[1]5月25-5月31日汇总'!$C:$H,6,0)</f>
        <v>0</v>
      </c>
      <c r="AM60" s="3">
        <f>VLOOKUP(C60,'[1]6月汇总'!$C:$I,6,0)</f>
        <v>8</v>
      </c>
      <c r="AN60" s="3">
        <f t="shared" si="32"/>
        <v>17</v>
      </c>
      <c r="AO60" s="5">
        <f>VLOOKUP(C60,[2]两年对比终版!$A:$T,20,0)</f>
        <v>7</v>
      </c>
      <c r="AP60" s="5"/>
      <c r="AQ60" s="6">
        <f t="shared" si="33"/>
        <v>0.42499999999999999</v>
      </c>
      <c r="AR60" s="3">
        <v>480</v>
      </c>
      <c r="AS60" s="3">
        <v>132.62700000000001</v>
      </c>
      <c r="AT60" s="3">
        <f>VLOOKUP(C60,'[1]5月25-5月31日汇总'!$C:$I,7,0)</f>
        <v>0</v>
      </c>
      <c r="AU60" s="3">
        <f>VLOOKUP(C60,'[1]6月汇总'!$C:$I,7,0)</f>
        <v>111.8</v>
      </c>
      <c r="AV60" s="3">
        <f t="shared" si="34"/>
        <v>244.42700000000002</v>
      </c>
      <c r="AW60" s="5">
        <f>VLOOKUP(C60,[2]两年对比终版!$A:$X,23,0)</f>
        <v>73.763803999999993</v>
      </c>
      <c r="AX60" s="5"/>
      <c r="AY60" s="6">
        <f t="shared" si="35"/>
        <v>0.50922291666666675</v>
      </c>
      <c r="AZ60" s="3">
        <v>456</v>
      </c>
      <c r="BA60" s="3">
        <v>39.435400000000001</v>
      </c>
      <c r="BB60" s="3"/>
      <c r="BC60" s="3"/>
      <c r="BD60" s="3">
        <f t="shared" si="36"/>
        <v>39.435400000000001</v>
      </c>
      <c r="BE60" s="5">
        <f>VLOOKUP(C60,[2]两年对比终版!$A:$AD,30,0)</f>
        <v>62.87622578125</v>
      </c>
      <c r="BF60" s="6">
        <f t="shared" si="37"/>
        <v>8.64811403508772E-2</v>
      </c>
    </row>
    <row r="61" spans="1:58" hidden="1" x14ac:dyDescent="0.15">
      <c r="A61" s="2">
        <v>52</v>
      </c>
      <c r="B61" s="2" t="s">
        <v>19</v>
      </c>
      <c r="C61" s="2" t="s">
        <v>79</v>
      </c>
      <c r="D61" s="3">
        <v>520</v>
      </c>
      <c r="E61" s="3">
        <v>284</v>
      </c>
      <c r="F61" s="3">
        <f>VLOOKUP(C61,'[1]5月25-5月31日汇总'!$C:$D,2,0)</f>
        <v>0</v>
      </c>
      <c r="G61" s="3">
        <f>VLOOKUP(C61,'[1]6月汇总'!$C:$D,2,0)</f>
        <v>15</v>
      </c>
      <c r="H61" s="3">
        <f t="shared" si="24"/>
        <v>299</v>
      </c>
      <c r="I61" s="5">
        <f>VLOOKUP(C61,[2]两年对比终版!$A:$C,3,0)</f>
        <v>271</v>
      </c>
      <c r="J61" s="5"/>
      <c r="K61" s="6">
        <f t="shared" si="25"/>
        <v>0.57499999999999996</v>
      </c>
      <c r="L61" s="3">
        <v>7248.8</v>
      </c>
      <c r="M61" s="3">
        <v>3389.86</v>
      </c>
      <c r="N61" s="3">
        <f>VLOOKUP(C61,'[1]5月25-5月31日汇总'!$C:$E,3,0)</f>
        <v>0</v>
      </c>
      <c r="O61" s="3">
        <f>VLOOKUP(C61,'[1]6月汇总'!$C:$E,3,0)</f>
        <v>128.4</v>
      </c>
      <c r="P61" s="3">
        <f t="shared" si="26"/>
        <v>3518.26</v>
      </c>
      <c r="Q61" s="5">
        <f>VLOOKUP(C61,[2]两年对比终版!$A:$F,6,0)</f>
        <v>3201.1956659999901</v>
      </c>
      <c r="R61" s="5"/>
      <c r="S61" s="6">
        <f t="shared" si="27"/>
        <v>0.485357576426443</v>
      </c>
      <c r="T61" s="3">
        <v>200</v>
      </c>
      <c r="U61" s="3">
        <v>90</v>
      </c>
      <c r="V61" s="3">
        <f>VLOOKUP(C61,'[1]5月25-5月31日汇总'!$C:$F,4,0)</f>
        <v>0</v>
      </c>
      <c r="W61" s="3">
        <f>VLOOKUP(C61,'[1]6月汇总'!$C:$F,4,0)</f>
        <v>15</v>
      </c>
      <c r="X61" s="3">
        <f t="shared" si="28"/>
        <v>105</v>
      </c>
      <c r="Y61" s="5">
        <f>VLOOKUP(C61,[2]两年对比终版!$A:$N,14,0)</f>
        <v>85</v>
      </c>
      <c r="Z61" s="5"/>
      <c r="AA61" s="6">
        <f t="shared" si="29"/>
        <v>0.52500000000000002</v>
      </c>
      <c r="AB61" s="3">
        <v>2634</v>
      </c>
      <c r="AC61" s="3">
        <v>871.97699999999998</v>
      </c>
      <c r="AD61" s="3">
        <f>VLOOKUP(C61,'[1]5月25-5月31日汇总'!$C:$G,5,0)</f>
        <v>0</v>
      </c>
      <c r="AE61" s="3">
        <f>VLOOKUP(C61,'[1]6月汇总'!$C:$G,5,0)</f>
        <v>128.4</v>
      </c>
      <c r="AF61" s="3">
        <f t="shared" si="30"/>
        <v>1000.377</v>
      </c>
      <c r="AG61" s="5">
        <f>VLOOKUP(C61,[2]两年对比终版!$A:$Q,17,0)</f>
        <v>925.64737300000002</v>
      </c>
      <c r="AH61" s="5"/>
      <c r="AI61" s="6">
        <f t="shared" si="31"/>
        <v>0.37979384965831431</v>
      </c>
      <c r="AJ61" s="3">
        <v>200</v>
      </c>
      <c r="AK61" s="3">
        <v>38</v>
      </c>
      <c r="AL61" s="3">
        <f>VLOOKUP(C61,'[1]5月25-5月31日汇总'!$C:$H,6,0)</f>
        <v>0</v>
      </c>
      <c r="AM61" s="3">
        <f>VLOOKUP(C61,'[1]6月汇总'!$C:$I,6,0)</f>
        <v>56</v>
      </c>
      <c r="AN61" s="3">
        <f t="shared" si="32"/>
        <v>94</v>
      </c>
      <c r="AO61" s="5">
        <f>VLOOKUP(C61,[2]两年对比终版!$A:$T,20,0)</f>
        <v>75</v>
      </c>
      <c r="AP61" s="5"/>
      <c r="AQ61" s="6">
        <f t="shared" si="33"/>
        <v>0.47</v>
      </c>
      <c r="AR61" s="3">
        <v>2634</v>
      </c>
      <c r="AS61" s="3">
        <v>341.53800000000001</v>
      </c>
      <c r="AT61" s="3">
        <f>VLOOKUP(C61,'[1]5月25-5月31日汇总'!$C:$I,7,0)</f>
        <v>0</v>
      </c>
      <c r="AU61" s="3">
        <f>VLOOKUP(C61,'[1]6月汇总'!$C:$I,7,0)</f>
        <v>502.25505720000001</v>
      </c>
      <c r="AV61" s="3">
        <f t="shared" si="34"/>
        <v>843.79305720000002</v>
      </c>
      <c r="AW61" s="5">
        <f>VLOOKUP(C61,[2]两年对比终版!$A:$X,23,0)</f>
        <v>819.69526499999995</v>
      </c>
      <c r="AX61" s="5"/>
      <c r="AY61" s="6">
        <f t="shared" si="35"/>
        <v>0.3203466428246014</v>
      </c>
      <c r="AZ61" s="3">
        <v>2500</v>
      </c>
      <c r="BA61" s="3">
        <v>392.267</v>
      </c>
      <c r="BB61" s="3"/>
      <c r="BC61" s="3"/>
      <c r="BD61" s="3">
        <f t="shared" si="36"/>
        <v>392.267</v>
      </c>
      <c r="BE61" s="5">
        <f>VLOOKUP(C61,[2]两年对比终版!$A:$AD,30,0)</f>
        <v>874.08540390014696</v>
      </c>
      <c r="BF61" s="6">
        <f t="shared" si="37"/>
        <v>0.15690679999999999</v>
      </c>
    </row>
    <row r="62" spans="1:58" hidden="1" x14ac:dyDescent="0.15">
      <c r="A62" s="2">
        <v>53</v>
      </c>
      <c r="B62" s="2" t="s">
        <v>28</v>
      </c>
      <c r="C62" s="2" t="s">
        <v>80</v>
      </c>
      <c r="D62" s="3">
        <v>72</v>
      </c>
      <c r="E62" s="3">
        <v>12</v>
      </c>
      <c r="F62" s="3">
        <f>VLOOKUP(C62,'[1]5月25-5月31日汇总'!$C:$D,2,0)</f>
        <v>12</v>
      </c>
      <c r="G62" s="3">
        <f>VLOOKUP(C62,'[1]6月汇总'!$C:$D,2,0)</f>
        <v>0</v>
      </c>
      <c r="H62" s="3">
        <f t="shared" si="24"/>
        <v>24</v>
      </c>
      <c r="I62" s="5">
        <f>VLOOKUP(C62,[2]两年对比终版!$A:$C,3,0)</f>
        <v>0</v>
      </c>
      <c r="J62" s="5"/>
      <c r="K62" s="6">
        <f t="shared" si="25"/>
        <v>0.33333333333333331</v>
      </c>
      <c r="L62" s="3">
        <v>1000</v>
      </c>
      <c r="M62" s="3">
        <v>101.98</v>
      </c>
      <c r="N62" s="3">
        <f>VLOOKUP(C62,'[1]5月25-5月31日汇总'!$C:$E,3,0)</f>
        <v>10.199999999999999</v>
      </c>
      <c r="O62" s="3">
        <f>VLOOKUP(C62,'[1]6月汇总'!$C:$E,3,0)</f>
        <v>0</v>
      </c>
      <c r="P62" s="3">
        <f t="shared" si="26"/>
        <v>112.18</v>
      </c>
      <c r="Q62" s="5">
        <f>VLOOKUP(C62,[2]两年对比终版!$A:$F,6,0)</f>
        <v>0</v>
      </c>
      <c r="R62" s="5"/>
      <c r="S62" s="6">
        <f t="shared" si="27"/>
        <v>0.11218</v>
      </c>
      <c r="T62" s="3">
        <v>40</v>
      </c>
      <c r="U62" s="3">
        <v>0</v>
      </c>
      <c r="V62" s="3">
        <f>VLOOKUP(C62,'[1]5月25-5月31日汇总'!$C:$F,4,0)</f>
        <v>0</v>
      </c>
      <c r="W62" s="3">
        <f>VLOOKUP(C62,'[1]6月汇总'!$C:$F,4,0)</f>
        <v>0</v>
      </c>
      <c r="X62" s="3">
        <f t="shared" si="28"/>
        <v>0</v>
      </c>
      <c r="Y62" s="5">
        <f>VLOOKUP(C62,[2]两年对比终版!$A:$N,14,0)</f>
        <v>0</v>
      </c>
      <c r="Z62" s="5"/>
      <c r="AA62" s="6">
        <f t="shared" si="29"/>
        <v>0</v>
      </c>
      <c r="AB62" s="3">
        <v>400</v>
      </c>
      <c r="AC62" s="3">
        <v>0</v>
      </c>
      <c r="AD62" s="3">
        <f>VLOOKUP(C62,'[1]5月25-5月31日汇总'!$C:$G,5,0)</f>
        <v>0</v>
      </c>
      <c r="AE62" s="3">
        <f>VLOOKUP(C62,'[1]6月汇总'!$C:$G,5,0)</f>
        <v>0</v>
      </c>
      <c r="AF62" s="3">
        <f t="shared" si="30"/>
        <v>0</v>
      </c>
      <c r="AG62" s="5">
        <f>VLOOKUP(C62,[2]两年对比终版!$A:$Q,17,0)</f>
        <v>0</v>
      </c>
      <c r="AH62" s="5"/>
      <c r="AI62" s="6">
        <f t="shared" si="31"/>
        <v>0</v>
      </c>
      <c r="AJ62" s="3">
        <v>40</v>
      </c>
      <c r="AK62" s="3">
        <v>0</v>
      </c>
      <c r="AL62" s="3">
        <f>VLOOKUP(C62,'[1]5月25-5月31日汇总'!$C:$H,6,0)</f>
        <v>0</v>
      </c>
      <c r="AM62" s="3">
        <f>VLOOKUP(C62,'[1]6月汇总'!$C:$I,6,0)</f>
        <v>0</v>
      </c>
      <c r="AN62" s="3">
        <f t="shared" si="32"/>
        <v>0</v>
      </c>
      <c r="AO62" s="5">
        <f>VLOOKUP(C62,[2]两年对比终版!$A:$T,20,0)</f>
        <v>0</v>
      </c>
      <c r="AP62" s="5"/>
      <c r="AQ62" s="6">
        <f t="shared" si="33"/>
        <v>0</v>
      </c>
      <c r="AR62" s="3">
        <v>400</v>
      </c>
      <c r="AS62" s="3">
        <v>0</v>
      </c>
      <c r="AT62" s="3">
        <f>VLOOKUP(C62,'[1]5月25-5月31日汇总'!$C:$I,7,0)</f>
        <v>0</v>
      </c>
      <c r="AU62" s="3">
        <f>VLOOKUP(C62,'[1]6月汇总'!$C:$I,7,0)</f>
        <v>0</v>
      </c>
      <c r="AV62" s="3">
        <f t="shared" si="34"/>
        <v>0</v>
      </c>
      <c r="AW62" s="5">
        <f>VLOOKUP(C62,[2]两年对比终版!$A:$X,23,0)</f>
        <v>0</v>
      </c>
      <c r="AX62" s="5"/>
      <c r="AY62" s="6">
        <f t="shared" si="35"/>
        <v>0</v>
      </c>
      <c r="AZ62" s="3">
        <v>380</v>
      </c>
      <c r="BA62" s="3">
        <v>0</v>
      </c>
      <c r="BB62" s="3"/>
      <c r="BC62" s="3"/>
      <c r="BD62" s="3">
        <f t="shared" si="36"/>
        <v>0</v>
      </c>
      <c r="BE62" s="5">
        <f>VLOOKUP(C62,[2]两年对比终版!$A:$AD,30,0)</f>
        <v>0</v>
      </c>
      <c r="BF62" s="6">
        <f t="shared" si="37"/>
        <v>0</v>
      </c>
    </row>
    <row r="63" spans="1:58" hidden="1" x14ac:dyDescent="0.15">
      <c r="A63" s="2">
        <v>54</v>
      </c>
      <c r="B63" s="2" t="s">
        <v>19</v>
      </c>
      <c r="C63" s="2" t="s">
        <v>81</v>
      </c>
      <c r="D63" s="3">
        <v>800</v>
      </c>
      <c r="E63" s="3">
        <v>230</v>
      </c>
      <c r="F63" s="3">
        <f>VLOOKUP(C63,'[1]5月25-5月31日汇总'!$C:$D,2,0)</f>
        <v>87</v>
      </c>
      <c r="G63" s="3">
        <f>VLOOKUP(C63,'[1]6月汇总'!$C:$D,2,0)</f>
        <v>110</v>
      </c>
      <c r="H63" s="3">
        <f t="shared" si="24"/>
        <v>427</v>
      </c>
      <c r="I63" s="5">
        <f>VLOOKUP(C63,[2]两年对比终版!$A:$C,3,0)</f>
        <v>326</v>
      </c>
      <c r="J63" s="5"/>
      <c r="K63" s="6">
        <f t="shared" si="25"/>
        <v>0.53374999999999995</v>
      </c>
      <c r="L63" s="3">
        <v>11151</v>
      </c>
      <c r="M63" s="3">
        <v>4430.67</v>
      </c>
      <c r="N63" s="3">
        <f>VLOOKUP(C63,'[1]5月25-5月31日汇总'!$C:$E,3,0)</f>
        <v>1300</v>
      </c>
      <c r="O63" s="3">
        <f>VLOOKUP(C63,'[1]6月汇总'!$C:$E,3,0)</f>
        <v>1700</v>
      </c>
      <c r="P63" s="3">
        <f t="shared" si="26"/>
        <v>7430.67</v>
      </c>
      <c r="Q63" s="5">
        <f>VLOOKUP(C63,[2]两年对比终版!$A:$F,6,0)</f>
        <v>3941.709069</v>
      </c>
      <c r="R63" s="5"/>
      <c r="S63" s="6">
        <f t="shared" si="27"/>
        <v>0.6663680387409201</v>
      </c>
      <c r="T63" s="3">
        <v>360</v>
      </c>
      <c r="U63" s="3">
        <v>72</v>
      </c>
      <c r="V63" s="3">
        <f>VLOOKUP(C63,'[1]5月25-5月31日汇总'!$C:$F,4,0)</f>
        <v>0</v>
      </c>
      <c r="W63" s="3">
        <f>VLOOKUP(C63,'[1]6月汇总'!$C:$F,4,0)</f>
        <v>40</v>
      </c>
      <c r="X63" s="3">
        <f t="shared" si="28"/>
        <v>112</v>
      </c>
      <c r="Y63" s="5">
        <f>VLOOKUP(C63,[2]两年对比终版!$A:$N,14,0)</f>
        <v>135</v>
      </c>
      <c r="Z63" s="5"/>
      <c r="AA63" s="6">
        <f t="shared" si="29"/>
        <v>0.31111111111111112</v>
      </c>
      <c r="AB63" s="3">
        <v>4350</v>
      </c>
      <c r="AC63" s="3">
        <v>682.41700000000003</v>
      </c>
      <c r="AD63" s="3">
        <f>VLOOKUP(C63,'[1]5月25-5月31日汇总'!$C:$G,5,0)</f>
        <v>0</v>
      </c>
      <c r="AE63" s="3">
        <f>VLOOKUP(C63,'[1]6月汇总'!$C:$G,5,0)</f>
        <v>400</v>
      </c>
      <c r="AF63" s="3">
        <f t="shared" si="30"/>
        <v>1082.4169999999999</v>
      </c>
      <c r="AG63" s="5">
        <f>VLOOKUP(C63,[2]两年对比终版!$A:$Q,17,0)</f>
        <v>1488.884333</v>
      </c>
      <c r="AH63" s="5"/>
      <c r="AI63" s="6">
        <f t="shared" si="31"/>
        <v>0.24883149425287354</v>
      </c>
      <c r="AJ63" s="3">
        <v>360</v>
      </c>
      <c r="AK63" s="3">
        <v>74</v>
      </c>
      <c r="AL63" s="3">
        <f>VLOOKUP(C63,'[1]5月25-5月31日汇总'!$C:$H,6,0)</f>
        <v>9</v>
      </c>
      <c r="AM63" s="3">
        <f>VLOOKUP(C63,'[1]6月汇总'!$C:$I,6,0)</f>
        <v>30</v>
      </c>
      <c r="AN63" s="3">
        <f t="shared" si="32"/>
        <v>113</v>
      </c>
      <c r="AO63" s="5">
        <f>VLOOKUP(C63,[2]两年对比终版!$A:$T,20,0)</f>
        <v>110</v>
      </c>
      <c r="AP63" s="5"/>
      <c r="AQ63" s="6">
        <f t="shared" si="33"/>
        <v>0.31388888888888888</v>
      </c>
      <c r="AR63" s="3">
        <v>4350</v>
      </c>
      <c r="AS63" s="3">
        <v>896.52200000000005</v>
      </c>
      <c r="AT63" s="3">
        <f>VLOOKUP(C63,'[1]5月25-5月31日汇总'!$C:$I,7,0)</f>
        <v>61</v>
      </c>
      <c r="AU63" s="3">
        <f>VLOOKUP(C63,'[1]6月汇总'!$C:$I,7,0)</f>
        <v>300</v>
      </c>
      <c r="AV63" s="3">
        <f t="shared" si="34"/>
        <v>1257.5219999999999</v>
      </c>
      <c r="AW63" s="5">
        <f>VLOOKUP(C63,[2]两年对比终版!$A:$X,23,0)</f>
        <v>1188.587968</v>
      </c>
      <c r="AX63" s="5"/>
      <c r="AY63" s="6">
        <f t="shared" si="35"/>
        <v>0.28908551724137932</v>
      </c>
      <c r="AZ63" s="3">
        <v>4133</v>
      </c>
      <c r="BA63" s="3">
        <v>668.24400000000003</v>
      </c>
      <c r="BB63" s="3"/>
      <c r="BC63" s="3"/>
      <c r="BD63" s="3">
        <f t="shared" si="36"/>
        <v>668.24400000000003</v>
      </c>
      <c r="BE63" s="5">
        <f>VLOOKUP(C63,[2]两年对比终版!$A:$AD,30,0)</f>
        <v>1539.2963425708799</v>
      </c>
      <c r="BF63" s="6">
        <f t="shared" si="37"/>
        <v>0.16168497459472539</v>
      </c>
    </row>
    <row r="64" spans="1:58" hidden="1" x14ac:dyDescent="0.15">
      <c r="A64" s="2">
        <v>55</v>
      </c>
      <c r="B64" s="2" t="s">
        <v>33</v>
      </c>
      <c r="C64" s="2" t="s">
        <v>82</v>
      </c>
      <c r="D64" s="3">
        <v>50</v>
      </c>
      <c r="E64" s="3">
        <v>2</v>
      </c>
      <c r="F64" s="3">
        <f>VLOOKUP(C64,'[1]5月25-5月31日汇总'!$C:$D,2,0)</f>
        <v>0</v>
      </c>
      <c r="G64" s="3">
        <f>VLOOKUP(C64,'[1]6月汇总'!$C:$D,2,0)</f>
        <v>5</v>
      </c>
      <c r="H64" s="3">
        <f t="shared" si="24"/>
        <v>7</v>
      </c>
      <c r="I64" s="5">
        <f>VLOOKUP(C64,[2]两年对比终版!$A:$C,3,0)</f>
        <v>0</v>
      </c>
      <c r="J64" s="5"/>
      <c r="K64" s="6">
        <f t="shared" si="25"/>
        <v>0.14000000000000001</v>
      </c>
      <c r="L64" s="3">
        <v>700</v>
      </c>
      <c r="M64" s="3">
        <v>18.923100000000002</v>
      </c>
      <c r="N64" s="3">
        <f>VLOOKUP(C64,'[1]5月25-5月31日汇总'!$C:$E,3,0)</f>
        <v>0</v>
      </c>
      <c r="O64" s="3">
        <f>VLOOKUP(C64,'[1]6月汇总'!$C:$E,3,0)</f>
        <v>42</v>
      </c>
      <c r="P64" s="3">
        <f t="shared" si="26"/>
        <v>60.923100000000005</v>
      </c>
      <c r="Q64" s="5">
        <f>VLOOKUP(C64,[2]两年对比终版!$A:$F,6,0)</f>
        <v>0</v>
      </c>
      <c r="R64" s="5"/>
      <c r="S64" s="6">
        <f t="shared" si="27"/>
        <v>8.7033000000000013E-2</v>
      </c>
      <c r="T64" s="3">
        <v>30</v>
      </c>
      <c r="U64" s="3">
        <v>0</v>
      </c>
      <c r="V64" s="3">
        <f>VLOOKUP(C64,'[1]5月25-5月31日汇总'!$C:$F,4,0)</f>
        <v>0</v>
      </c>
      <c r="W64" s="3">
        <f>VLOOKUP(C64,'[1]6月汇总'!$C:$F,4,0)</f>
        <v>1</v>
      </c>
      <c r="X64" s="3">
        <f t="shared" si="28"/>
        <v>1</v>
      </c>
      <c r="Y64" s="5">
        <f>VLOOKUP(C64,[2]两年对比终版!$A:$N,14,0)</f>
        <v>0</v>
      </c>
      <c r="Z64" s="5"/>
      <c r="AA64" s="6">
        <f t="shared" si="29"/>
        <v>3.3333333333333333E-2</v>
      </c>
      <c r="AB64" s="3">
        <v>300</v>
      </c>
      <c r="AC64" s="3">
        <v>0</v>
      </c>
      <c r="AD64" s="3">
        <f>VLOOKUP(C64,'[1]5月25-5月31日汇总'!$C:$G,5,0)</f>
        <v>0</v>
      </c>
      <c r="AE64" s="3">
        <f>VLOOKUP(C64,'[1]6月汇总'!$C:$G,5,0)</f>
        <v>10</v>
      </c>
      <c r="AF64" s="3">
        <f t="shared" si="30"/>
        <v>10</v>
      </c>
      <c r="AG64" s="5">
        <f>VLOOKUP(C64,[2]两年对比终版!$A:$Q,17,0)</f>
        <v>0</v>
      </c>
      <c r="AH64" s="5"/>
      <c r="AI64" s="6">
        <f t="shared" si="31"/>
        <v>3.3333333333333333E-2</v>
      </c>
      <c r="AJ64" s="3">
        <v>30</v>
      </c>
      <c r="AK64" s="3">
        <v>0</v>
      </c>
      <c r="AL64" s="3">
        <f>VLOOKUP(C64,'[1]5月25-5月31日汇总'!$C:$H,6,0)</f>
        <v>0</v>
      </c>
      <c r="AM64" s="3">
        <f>VLOOKUP(C64,'[1]6月汇总'!$C:$I,6,0)</f>
        <v>0</v>
      </c>
      <c r="AN64" s="3">
        <f t="shared" si="32"/>
        <v>0</v>
      </c>
      <c r="AO64" s="5">
        <f>VLOOKUP(C64,[2]两年对比终版!$A:$T,20,0)</f>
        <v>0</v>
      </c>
      <c r="AP64" s="5"/>
      <c r="AQ64" s="6">
        <f t="shared" si="33"/>
        <v>0</v>
      </c>
      <c r="AR64" s="3">
        <v>300</v>
      </c>
      <c r="AS64" s="3">
        <v>0</v>
      </c>
      <c r="AT64" s="3">
        <f>VLOOKUP(C64,'[1]5月25-5月31日汇总'!$C:$I,7,0)</f>
        <v>0</v>
      </c>
      <c r="AU64" s="3">
        <f>VLOOKUP(C64,'[1]6月汇总'!$C:$I,7,0)</f>
        <v>0</v>
      </c>
      <c r="AV64" s="3">
        <f t="shared" si="34"/>
        <v>0</v>
      </c>
      <c r="AW64" s="5">
        <f>VLOOKUP(C64,[2]两年对比终版!$A:$X,23,0)</f>
        <v>0</v>
      </c>
      <c r="AX64" s="5"/>
      <c r="AY64" s="6">
        <f t="shared" si="35"/>
        <v>0</v>
      </c>
      <c r="AZ64" s="3">
        <v>285</v>
      </c>
      <c r="BA64" s="3">
        <v>0</v>
      </c>
      <c r="BB64" s="3"/>
      <c r="BC64" s="3"/>
      <c r="BD64" s="3">
        <f t="shared" si="36"/>
        <v>0</v>
      </c>
      <c r="BE64" s="5">
        <f>VLOOKUP(C64,[2]两年对比终版!$A:$AD,30,0)</f>
        <v>0</v>
      </c>
      <c r="BF64" s="6">
        <f t="shared" si="37"/>
        <v>0</v>
      </c>
    </row>
    <row r="65" spans="1:58" hidden="1" x14ac:dyDescent="0.15">
      <c r="A65" s="2">
        <v>56</v>
      </c>
      <c r="B65" s="2" t="s">
        <v>33</v>
      </c>
      <c r="C65" s="2" t="s">
        <v>83</v>
      </c>
      <c r="D65" s="3">
        <v>60</v>
      </c>
      <c r="E65" s="3">
        <v>0</v>
      </c>
      <c r="F65" s="3">
        <f>VLOOKUP(C65,'[1]5月25-5月31日汇总'!$C:$D,2,0)</f>
        <v>0</v>
      </c>
      <c r="G65" s="3">
        <f>VLOOKUP(C65,'[1]6月汇总'!$C:$D,2,0)</f>
        <v>0</v>
      </c>
      <c r="H65" s="3">
        <f t="shared" si="24"/>
        <v>0</v>
      </c>
      <c r="I65" s="5">
        <f>VLOOKUP(C65,[2]两年对比终版!$A:$C,3,0)</f>
        <v>0</v>
      </c>
      <c r="J65" s="5"/>
      <c r="K65" s="6">
        <f t="shared" si="25"/>
        <v>0</v>
      </c>
      <c r="L65" s="3">
        <v>840</v>
      </c>
      <c r="M65" s="3">
        <v>0</v>
      </c>
      <c r="N65" s="3">
        <f>VLOOKUP(C65,'[1]5月25-5月31日汇总'!$C:$E,3,0)</f>
        <v>0</v>
      </c>
      <c r="O65" s="3">
        <f>VLOOKUP(C65,'[1]6月汇总'!$C:$E,3,0)</f>
        <v>0</v>
      </c>
      <c r="P65" s="3">
        <f t="shared" si="26"/>
        <v>0</v>
      </c>
      <c r="Q65" s="5">
        <f>VLOOKUP(C65,[2]两年对比终版!$A:$F,6,0)</f>
        <v>0</v>
      </c>
      <c r="R65" s="5"/>
      <c r="S65" s="6">
        <f t="shared" si="27"/>
        <v>0</v>
      </c>
      <c r="T65" s="3">
        <v>20</v>
      </c>
      <c r="U65" s="3">
        <v>0</v>
      </c>
      <c r="V65" s="3">
        <f>VLOOKUP(C65,'[1]5月25-5月31日汇总'!$C:$F,4,0)</f>
        <v>0</v>
      </c>
      <c r="W65" s="3">
        <f>VLOOKUP(C65,'[1]6月汇总'!$C:$F,4,0)</f>
        <v>0</v>
      </c>
      <c r="X65" s="3">
        <f t="shared" si="28"/>
        <v>0</v>
      </c>
      <c r="Y65" s="5">
        <f>VLOOKUP(C65,[2]两年对比终版!$A:$N,14,0)</f>
        <v>0</v>
      </c>
      <c r="Z65" s="5"/>
      <c r="AA65" s="6">
        <f t="shared" si="29"/>
        <v>0</v>
      </c>
      <c r="AB65" s="3">
        <v>200</v>
      </c>
      <c r="AC65" s="3">
        <v>0</v>
      </c>
      <c r="AD65" s="3">
        <f>VLOOKUP(C65,'[1]5月25-5月31日汇总'!$C:$G,5,0)</f>
        <v>0</v>
      </c>
      <c r="AE65" s="3">
        <f>VLOOKUP(C65,'[1]6月汇总'!$C:$G,5,0)</f>
        <v>0</v>
      </c>
      <c r="AF65" s="3">
        <f t="shared" si="30"/>
        <v>0</v>
      </c>
      <c r="AG65" s="5">
        <f>VLOOKUP(C65,[2]两年对比终版!$A:$Q,17,0)</f>
        <v>0</v>
      </c>
      <c r="AH65" s="5"/>
      <c r="AI65" s="6">
        <f t="shared" si="31"/>
        <v>0</v>
      </c>
      <c r="AJ65" s="3">
        <v>20</v>
      </c>
      <c r="AK65" s="3">
        <v>0</v>
      </c>
      <c r="AL65" s="3">
        <f>VLOOKUP(C65,'[1]5月25-5月31日汇总'!$C:$H,6,0)</f>
        <v>0</v>
      </c>
      <c r="AM65" s="3">
        <f>VLOOKUP(C65,'[1]6月汇总'!$C:$I,6,0)</f>
        <v>0</v>
      </c>
      <c r="AN65" s="3">
        <f t="shared" si="32"/>
        <v>0</v>
      </c>
      <c r="AO65" s="5">
        <f>VLOOKUP(C65,[2]两年对比终版!$A:$T,20,0)</f>
        <v>0</v>
      </c>
      <c r="AP65" s="5"/>
      <c r="AQ65" s="6">
        <f t="shared" si="33"/>
        <v>0</v>
      </c>
      <c r="AR65" s="3">
        <v>200</v>
      </c>
      <c r="AS65" s="3">
        <v>0</v>
      </c>
      <c r="AT65" s="3">
        <f>VLOOKUP(C65,'[1]5月25-5月31日汇总'!$C:$I,7,0)</f>
        <v>0</v>
      </c>
      <c r="AU65" s="3">
        <f>VLOOKUP(C65,'[1]6月汇总'!$C:$I,7,0)</f>
        <v>0</v>
      </c>
      <c r="AV65" s="3">
        <f t="shared" si="34"/>
        <v>0</v>
      </c>
      <c r="AW65" s="5">
        <f>VLOOKUP(C65,[2]两年对比终版!$A:$X,23,0)</f>
        <v>0</v>
      </c>
      <c r="AX65" s="5"/>
      <c r="AY65" s="6">
        <f t="shared" si="35"/>
        <v>0</v>
      </c>
      <c r="AZ65" s="3">
        <v>190</v>
      </c>
      <c r="BA65" s="3">
        <v>0</v>
      </c>
      <c r="BB65" s="3"/>
      <c r="BC65" s="3"/>
      <c r="BD65" s="3">
        <f t="shared" si="36"/>
        <v>0</v>
      </c>
      <c r="BE65" s="5">
        <f>VLOOKUP(C65,[2]两年对比终版!$A:$AD,30,0)</f>
        <v>0</v>
      </c>
      <c r="BF65" s="6">
        <f t="shared" si="37"/>
        <v>0</v>
      </c>
    </row>
    <row r="66" spans="1:58" x14ac:dyDescent="0.15">
      <c r="A66" s="16" t="s">
        <v>84</v>
      </c>
      <c r="B66" s="12"/>
      <c r="C66" s="17"/>
      <c r="D66" s="4">
        <f t="shared" ref="D66:I66" si="42">SUM(D57:D65)</f>
        <v>2622</v>
      </c>
      <c r="E66" s="4">
        <f t="shared" si="42"/>
        <v>945</v>
      </c>
      <c r="F66" s="4">
        <f t="shared" si="42"/>
        <v>109</v>
      </c>
      <c r="G66" s="4">
        <f t="shared" si="42"/>
        <v>206</v>
      </c>
      <c r="H66" s="4">
        <f t="shared" si="42"/>
        <v>1260</v>
      </c>
      <c r="I66" s="7">
        <f t="shared" si="42"/>
        <v>1112</v>
      </c>
      <c r="J66" s="10">
        <f>(H66-I66)/I66</f>
        <v>0.13309352517985612</v>
      </c>
      <c r="K66" s="8">
        <f>H66/D66</f>
        <v>0.4805491990846682</v>
      </c>
      <c r="L66" s="4">
        <f t="shared" ref="L66:BE66" si="43">SUM(L57:L65)</f>
        <v>36539.800000000003</v>
      </c>
      <c r="M66" s="4">
        <f t="shared" si="43"/>
        <v>15568.0301</v>
      </c>
      <c r="N66" s="4">
        <f t="shared" si="43"/>
        <v>1450.2</v>
      </c>
      <c r="O66" s="4">
        <f t="shared" si="43"/>
        <v>2983.4</v>
      </c>
      <c r="P66" s="4">
        <f t="shared" si="43"/>
        <v>20001.630100000002</v>
      </c>
      <c r="Q66" s="7">
        <f t="shared" si="43"/>
        <v>15930.452835999991</v>
      </c>
      <c r="R66" s="10">
        <f>(P66-Q66)/Q66</f>
        <v>0.25555941854960168</v>
      </c>
      <c r="S66" s="8">
        <f>P66/L66</f>
        <v>0.54739298244653778</v>
      </c>
      <c r="T66" s="4">
        <f t="shared" si="43"/>
        <v>1145</v>
      </c>
      <c r="U66" s="4">
        <f t="shared" si="43"/>
        <v>386</v>
      </c>
      <c r="V66" s="4">
        <f t="shared" si="43"/>
        <v>0</v>
      </c>
      <c r="W66" s="4">
        <f t="shared" si="43"/>
        <v>87</v>
      </c>
      <c r="X66" s="4">
        <f t="shared" si="43"/>
        <v>473</v>
      </c>
      <c r="Y66" s="7">
        <f t="shared" si="43"/>
        <v>377</v>
      </c>
      <c r="Z66" s="10">
        <f>(X66-Y66)/Y66</f>
        <v>0.25464190981432361</v>
      </c>
      <c r="AA66" s="8">
        <f>X66/T66</f>
        <v>0.4131004366812227</v>
      </c>
      <c r="AB66" s="4">
        <f t="shared" si="43"/>
        <v>14874</v>
      </c>
      <c r="AC66" s="4">
        <f t="shared" si="43"/>
        <v>4620.3428000000004</v>
      </c>
      <c r="AD66" s="4">
        <f t="shared" si="43"/>
        <v>0</v>
      </c>
      <c r="AE66" s="4">
        <f t="shared" si="43"/>
        <v>882.2</v>
      </c>
      <c r="AF66" s="4">
        <f t="shared" si="43"/>
        <v>5502.5427999999993</v>
      </c>
      <c r="AG66" s="7">
        <f t="shared" si="43"/>
        <v>4885.2560970000004</v>
      </c>
      <c r="AH66" s="10">
        <f>(AF66-AG66)/AG66</f>
        <v>0.12635708154155317</v>
      </c>
      <c r="AI66" s="8">
        <f>AF66/AB66</f>
        <v>0.36994371386311681</v>
      </c>
      <c r="AJ66" s="4">
        <f t="shared" si="43"/>
        <v>1145</v>
      </c>
      <c r="AK66" s="4">
        <f t="shared" si="43"/>
        <v>277</v>
      </c>
      <c r="AL66" s="4">
        <f t="shared" si="43"/>
        <v>12</v>
      </c>
      <c r="AM66" s="4">
        <f t="shared" si="43"/>
        <v>130</v>
      </c>
      <c r="AN66" s="4">
        <f t="shared" si="43"/>
        <v>419</v>
      </c>
      <c r="AO66" s="7">
        <f t="shared" si="43"/>
        <v>298</v>
      </c>
      <c r="AP66" s="10">
        <f>(AN66-AO66)/AO66</f>
        <v>0.40604026845637586</v>
      </c>
      <c r="AQ66" s="8">
        <f>AN66/AJ66</f>
        <v>0.36593886462882097</v>
      </c>
      <c r="AR66" s="4">
        <f t="shared" si="43"/>
        <v>14874</v>
      </c>
      <c r="AS66" s="4">
        <f t="shared" si="43"/>
        <v>3535.6646000000001</v>
      </c>
      <c r="AT66" s="4">
        <f t="shared" si="43"/>
        <v>84.31</v>
      </c>
      <c r="AU66" s="4">
        <f t="shared" si="43"/>
        <v>1418.0550572</v>
      </c>
      <c r="AV66" s="4">
        <f t="shared" si="43"/>
        <v>5038.0296572000007</v>
      </c>
      <c r="AW66" s="7">
        <f t="shared" si="43"/>
        <v>3520.291545</v>
      </c>
      <c r="AX66" s="10">
        <f>(AV66-AW66)/AW66</f>
        <v>0.43113989077288217</v>
      </c>
      <c r="AY66" s="8">
        <f>AV66/AR66</f>
        <v>0.33871384006992072</v>
      </c>
      <c r="AZ66" s="4">
        <f t="shared" si="43"/>
        <v>14130</v>
      </c>
      <c r="BA66" s="4">
        <f t="shared" si="43"/>
        <v>2532.9106000000002</v>
      </c>
      <c r="BB66" s="4">
        <f t="shared" si="43"/>
        <v>0</v>
      </c>
      <c r="BC66" s="4">
        <f t="shared" si="43"/>
        <v>0</v>
      </c>
      <c r="BD66" s="4">
        <f t="shared" si="43"/>
        <v>2532.9106000000002</v>
      </c>
      <c r="BE66" s="7">
        <f t="shared" si="43"/>
        <v>4290.7930832481416</v>
      </c>
      <c r="BF66" s="8">
        <f>BD66/AZ66</f>
        <v>0.17925765038924277</v>
      </c>
    </row>
    <row r="67" spans="1:58" hidden="1" x14ac:dyDescent="0.15">
      <c r="A67" s="2">
        <v>57</v>
      </c>
      <c r="B67" s="2" t="s">
        <v>19</v>
      </c>
      <c r="C67" s="2" t="s">
        <v>85</v>
      </c>
      <c r="D67" s="3">
        <v>900</v>
      </c>
      <c r="E67" s="3">
        <v>312</v>
      </c>
      <c r="F67" s="3">
        <f>VLOOKUP(C67,'[1]5月25-5月31日汇总'!$C:$D,2,0)</f>
        <v>0</v>
      </c>
      <c r="G67" s="3">
        <f>VLOOKUP(C67,'[1]6月汇总'!$C:$D,2,0)</f>
        <v>211</v>
      </c>
      <c r="H67" s="3">
        <f t="shared" si="24"/>
        <v>523</v>
      </c>
      <c r="I67" s="5">
        <f>VLOOKUP(C67,[2]两年对比终版!$A:$C,3,0)</f>
        <v>469</v>
      </c>
      <c r="J67" s="5"/>
      <c r="K67" s="6">
        <f t="shared" si="25"/>
        <v>0.58111111111111113</v>
      </c>
      <c r="L67" s="3">
        <v>6000</v>
      </c>
      <c r="M67" s="3">
        <v>1984.17</v>
      </c>
      <c r="N67" s="3">
        <f>VLOOKUP(C67,'[1]5月25-5月31日汇总'!$C:$E,3,0)</f>
        <v>0</v>
      </c>
      <c r="O67" s="3">
        <f>VLOOKUP(C67,'[1]6月汇总'!$C:$E,3,0)</f>
        <v>1510</v>
      </c>
      <c r="P67" s="3">
        <f t="shared" si="26"/>
        <v>3494.17</v>
      </c>
      <c r="Q67" s="5">
        <f>VLOOKUP(C67,[2]两年对比终版!$A:$F,6,0)</f>
        <v>6870.23698899998</v>
      </c>
      <c r="R67" s="5"/>
      <c r="S67" s="6">
        <f t="shared" si="27"/>
        <v>0.58236166666666667</v>
      </c>
      <c r="T67" s="3">
        <v>400</v>
      </c>
      <c r="U67" s="3">
        <v>2</v>
      </c>
      <c r="V67" s="3">
        <f>VLOOKUP(C67,'[1]5月25-5月31日汇总'!$C:$F,4,0)</f>
        <v>0</v>
      </c>
      <c r="W67" s="3">
        <f>VLOOKUP(C67,'[1]6月汇总'!$C:$F,4,0)</f>
        <v>5</v>
      </c>
      <c r="X67" s="3">
        <f t="shared" si="28"/>
        <v>7</v>
      </c>
      <c r="Y67" s="5">
        <f>VLOOKUP(C67,[2]两年对比终版!$A:$N,14,0)</f>
        <v>406</v>
      </c>
      <c r="Z67" s="5"/>
      <c r="AA67" s="6">
        <f t="shared" si="29"/>
        <v>1.7500000000000002E-2</v>
      </c>
      <c r="AB67" s="3">
        <v>2600</v>
      </c>
      <c r="AC67" s="3">
        <v>16.293399999999998</v>
      </c>
      <c r="AD67" s="3">
        <f>VLOOKUP(C67,'[1]5月25-5月31日汇总'!$C:$G,5,0)</f>
        <v>0</v>
      </c>
      <c r="AE67" s="3">
        <f>VLOOKUP(C67,'[1]6月汇总'!$C:$G,5,0)</f>
        <v>50</v>
      </c>
      <c r="AF67" s="3">
        <f t="shared" si="30"/>
        <v>66.293399999999991</v>
      </c>
      <c r="AG67" s="5">
        <f>VLOOKUP(C67,[2]两年对比终版!$A:$Q,17,0)</f>
        <v>2397.89588799999</v>
      </c>
      <c r="AH67" s="5"/>
      <c r="AI67" s="6">
        <f t="shared" si="31"/>
        <v>2.5497461538461535E-2</v>
      </c>
      <c r="AJ67" s="3">
        <v>400</v>
      </c>
      <c r="AK67" s="3">
        <v>0</v>
      </c>
      <c r="AL67" s="3">
        <f>VLOOKUP(C67,'[1]5月25-5月31日汇总'!$C:$H,6,0)</f>
        <v>0</v>
      </c>
      <c r="AM67" s="3">
        <f>VLOOKUP(C67,'[1]6月汇总'!$C:$I,6,0)</f>
        <v>5</v>
      </c>
      <c r="AN67" s="3">
        <f t="shared" si="32"/>
        <v>5</v>
      </c>
      <c r="AO67" s="5">
        <f>VLOOKUP(C67,[2]两年对比终版!$A:$T,20,0)+160</f>
        <v>166</v>
      </c>
      <c r="AP67" s="5"/>
      <c r="AQ67" s="6">
        <f t="shared" si="33"/>
        <v>1.2500000000000001E-2</v>
      </c>
      <c r="AR67" s="3">
        <v>2600</v>
      </c>
      <c r="AS67" s="3">
        <v>0</v>
      </c>
      <c r="AT67" s="3">
        <f>VLOOKUP(C67,'[1]5月25-5月31日汇总'!$C:$I,7,0)</f>
        <v>0</v>
      </c>
      <c r="AU67" s="3">
        <f>VLOOKUP(C67,'[1]6月汇总'!$C:$I,7,0)</f>
        <v>50</v>
      </c>
      <c r="AV67" s="3">
        <f t="shared" si="34"/>
        <v>50</v>
      </c>
      <c r="AW67" s="5">
        <f>VLOOKUP(C67,[2]两年对比终版!$A:$X,23,0)+946.99</f>
        <v>1004.924756</v>
      </c>
      <c r="AX67" s="5"/>
      <c r="AY67" s="6">
        <f t="shared" si="35"/>
        <v>1.9230769230769232E-2</v>
      </c>
      <c r="AZ67" s="3">
        <v>2470</v>
      </c>
      <c r="BA67" s="3">
        <v>2.1069</v>
      </c>
      <c r="BB67" s="3"/>
      <c r="BC67" s="3"/>
      <c r="BD67" s="3">
        <f t="shared" si="36"/>
        <v>2.1069</v>
      </c>
      <c r="BE67" s="5">
        <f>VLOOKUP(C67,[2]两年对比终版!$A:$AD,30,0)</f>
        <v>190.39357004394299</v>
      </c>
      <c r="BF67" s="6">
        <f t="shared" si="37"/>
        <v>8.5299595141700405E-4</v>
      </c>
    </row>
    <row r="68" spans="1:58" hidden="1" x14ac:dyDescent="0.15">
      <c r="A68" s="2">
        <v>58</v>
      </c>
      <c r="B68" s="2" t="s">
        <v>33</v>
      </c>
      <c r="C68" s="2" t="s">
        <v>86</v>
      </c>
      <c r="D68" s="3">
        <v>100</v>
      </c>
      <c r="E68" s="3">
        <v>28</v>
      </c>
      <c r="F68" s="3">
        <f>VLOOKUP(C68,'[1]5月25-5月31日汇总'!$C:$D,2,0)</f>
        <v>16</v>
      </c>
      <c r="G68" s="3">
        <f>VLOOKUP(C68,'[1]6月汇总'!$C:$D,2,0)</f>
        <v>10</v>
      </c>
      <c r="H68" s="3">
        <f t="shared" si="24"/>
        <v>54</v>
      </c>
      <c r="I68" s="5">
        <f>VLOOKUP(C68,[2]两年对比终版!$A:$C,3,0)</f>
        <v>22</v>
      </c>
      <c r="J68" s="5"/>
      <c r="K68" s="6">
        <f t="shared" si="25"/>
        <v>0.54</v>
      </c>
      <c r="L68" s="3">
        <v>800</v>
      </c>
      <c r="M68" s="3">
        <v>227.35400000000001</v>
      </c>
      <c r="N68" s="3">
        <f>VLOOKUP(C68,'[1]5月25-5月31日汇总'!$C:$E,3,0)</f>
        <v>87</v>
      </c>
      <c r="O68" s="3">
        <f>VLOOKUP(C68,'[1]6月汇总'!$C:$E,3,0)</f>
        <v>64</v>
      </c>
      <c r="P68" s="3">
        <f t="shared" si="26"/>
        <v>378.35400000000004</v>
      </c>
      <c r="Q68" s="5">
        <f>VLOOKUP(C68,[2]两年对比终版!$A:$F,6,0)</f>
        <v>202.744236</v>
      </c>
      <c r="R68" s="5"/>
      <c r="S68" s="6">
        <f t="shared" si="27"/>
        <v>0.47294250000000004</v>
      </c>
      <c r="T68" s="3">
        <v>30</v>
      </c>
      <c r="U68" s="3">
        <v>1</v>
      </c>
      <c r="V68" s="3">
        <f>VLOOKUP(C68,'[1]5月25-5月31日汇总'!$C:$F,4,0)</f>
        <v>0</v>
      </c>
      <c r="W68" s="3">
        <f>VLOOKUP(C68,'[1]6月汇总'!$C:$F,4,0)</f>
        <v>16</v>
      </c>
      <c r="X68" s="3">
        <f t="shared" si="28"/>
        <v>17</v>
      </c>
      <c r="Y68" s="5">
        <f>VLOOKUP(C68,[2]两年对比终版!$A:$N,14,0)</f>
        <v>7</v>
      </c>
      <c r="Z68" s="5"/>
      <c r="AA68" s="6">
        <f t="shared" si="29"/>
        <v>0.56666666666666665</v>
      </c>
      <c r="AB68" s="3">
        <v>300</v>
      </c>
      <c r="AC68" s="3">
        <v>8.2169100000000004</v>
      </c>
      <c r="AD68" s="3">
        <f>VLOOKUP(C68,'[1]5月25-5月31日汇总'!$C:$G,5,0)</f>
        <v>0</v>
      </c>
      <c r="AE68" s="3">
        <f>VLOOKUP(C68,'[1]6月汇总'!$C:$G,5,0)</f>
        <v>116</v>
      </c>
      <c r="AF68" s="3">
        <f t="shared" si="30"/>
        <v>124.21691</v>
      </c>
      <c r="AG68" s="5">
        <f>VLOOKUP(C68,[2]两年对比终版!$A:$Q,17,0)</f>
        <v>57.436799999999998</v>
      </c>
      <c r="AH68" s="5"/>
      <c r="AI68" s="6">
        <f t="shared" si="31"/>
        <v>0.41405636666666668</v>
      </c>
      <c r="AJ68" s="3">
        <v>30</v>
      </c>
      <c r="AK68" s="3">
        <v>11</v>
      </c>
      <c r="AL68" s="3">
        <f>VLOOKUP(C68,'[1]5月25-5月31日汇总'!$C:$H,6,0)</f>
        <v>0</v>
      </c>
      <c r="AM68" s="3">
        <f>VLOOKUP(C68,'[1]6月汇总'!$C:$I,6,0)</f>
        <v>0</v>
      </c>
      <c r="AN68" s="3">
        <f t="shared" si="32"/>
        <v>11</v>
      </c>
      <c r="AO68" s="5">
        <f>VLOOKUP(C68,[2]两年对比终版!$A:$T,20,0)</f>
        <v>21</v>
      </c>
      <c r="AP68" s="5"/>
      <c r="AQ68" s="6">
        <f t="shared" si="33"/>
        <v>0.36666666666666664</v>
      </c>
      <c r="AR68" s="3">
        <v>300</v>
      </c>
      <c r="AS68" s="3">
        <v>121.303</v>
      </c>
      <c r="AT68" s="3">
        <f>VLOOKUP(C68,'[1]5月25-5月31日汇总'!$C:$I,7,0)</f>
        <v>0</v>
      </c>
      <c r="AU68" s="3">
        <f>VLOOKUP(C68,'[1]6月汇总'!$C:$I,7,0)</f>
        <v>0</v>
      </c>
      <c r="AV68" s="3">
        <f t="shared" si="34"/>
        <v>121.303</v>
      </c>
      <c r="AW68" s="5">
        <f>VLOOKUP(C68,[2]两年对比终版!$A:$X,23,0)</f>
        <v>165.82313400000001</v>
      </c>
      <c r="AX68" s="5"/>
      <c r="AY68" s="6">
        <f t="shared" si="35"/>
        <v>0.40434333333333333</v>
      </c>
      <c r="AZ68" s="3">
        <v>285</v>
      </c>
      <c r="BA68" s="3">
        <v>7.9219200000000001</v>
      </c>
      <c r="BB68" s="3"/>
      <c r="BC68" s="3"/>
      <c r="BD68" s="3">
        <f t="shared" si="36"/>
        <v>7.9219200000000001</v>
      </c>
      <c r="BE68" s="5">
        <f>VLOOKUP(C68,[2]两年对比终版!$A:$AD,30,0)</f>
        <v>110.664910253906</v>
      </c>
      <c r="BF68" s="6">
        <f t="shared" si="37"/>
        <v>2.7796210526315791E-2</v>
      </c>
    </row>
    <row r="69" spans="1:58" hidden="1" x14ac:dyDescent="0.15">
      <c r="A69" s="2">
        <v>59</v>
      </c>
      <c r="B69" s="2" t="s">
        <v>28</v>
      </c>
      <c r="C69" s="2" t="s">
        <v>87</v>
      </c>
      <c r="D69" s="3">
        <v>101</v>
      </c>
      <c r="E69" s="3">
        <v>29</v>
      </c>
      <c r="F69" s="3">
        <f>VLOOKUP(C69,'[1]5月25-5月31日汇总'!$C:$D,2,0)</f>
        <v>1</v>
      </c>
      <c r="G69" s="3">
        <f>VLOOKUP(C69,'[1]6月汇总'!$C:$D,2,0)</f>
        <v>15</v>
      </c>
      <c r="H69" s="3">
        <f t="shared" si="24"/>
        <v>45</v>
      </c>
      <c r="I69" s="5">
        <f>VLOOKUP(C69,[2]两年对比终版!$A:$C,3,0)</f>
        <v>39</v>
      </c>
      <c r="J69" s="5"/>
      <c r="K69" s="6">
        <f t="shared" si="25"/>
        <v>0.44554455445544555</v>
      </c>
      <c r="L69" s="3">
        <v>980</v>
      </c>
      <c r="M69" s="3">
        <v>274.34899999999999</v>
      </c>
      <c r="N69" s="3">
        <f>VLOOKUP(C69,'[1]5月25-5月31日汇总'!$C:$E,3,0)</f>
        <v>8.1999999999999993</v>
      </c>
      <c r="O69" s="3">
        <f>VLOOKUP(C69,'[1]6月汇总'!$C:$E,3,0)</f>
        <v>120</v>
      </c>
      <c r="P69" s="3">
        <f t="shared" si="26"/>
        <v>402.54899999999998</v>
      </c>
      <c r="Q69" s="5">
        <f>VLOOKUP(C69,[2]两年对比终版!$A:$F,6,0)</f>
        <v>652.63722499999994</v>
      </c>
      <c r="R69" s="5"/>
      <c r="S69" s="6">
        <f t="shared" si="27"/>
        <v>0.41076428571428569</v>
      </c>
      <c r="T69" s="3">
        <v>32.803400000000003</v>
      </c>
      <c r="U69" s="3">
        <v>1</v>
      </c>
      <c r="V69" s="3">
        <f>VLOOKUP(C69,'[1]5月25-5月31日汇总'!$C:$F,4,0)</f>
        <v>1</v>
      </c>
      <c r="W69" s="3">
        <f>VLOOKUP(C69,'[1]6月汇总'!$C:$F,4,0)</f>
        <v>15</v>
      </c>
      <c r="X69" s="3">
        <f t="shared" si="28"/>
        <v>17</v>
      </c>
      <c r="Y69" s="5">
        <f>VLOOKUP(C69,[2]两年对比终版!$A:$N,14,0)</f>
        <v>0</v>
      </c>
      <c r="Z69" s="5"/>
      <c r="AA69" s="6">
        <f t="shared" si="29"/>
        <v>0.5182389630343196</v>
      </c>
      <c r="AB69" s="3">
        <v>401.84199999999998</v>
      </c>
      <c r="AC69" s="3">
        <v>8.5245899999999999</v>
      </c>
      <c r="AD69" s="3">
        <f>VLOOKUP(C69,'[1]5月25-5月31日汇总'!$C:$G,5,0)</f>
        <v>8.1999999999999993</v>
      </c>
      <c r="AE69" s="3">
        <f>VLOOKUP(C69,'[1]6月汇总'!$C:$G,5,0)</f>
        <v>120</v>
      </c>
      <c r="AF69" s="3">
        <f t="shared" si="30"/>
        <v>136.72459000000001</v>
      </c>
      <c r="AG69" s="5">
        <f>VLOOKUP(C69,[2]两年对比终版!$A:$Q,17,0)</f>
        <v>0</v>
      </c>
      <c r="AH69" s="5"/>
      <c r="AI69" s="6">
        <f t="shared" si="31"/>
        <v>0.34024464839414498</v>
      </c>
      <c r="AJ69" s="3">
        <v>32.803400000000003</v>
      </c>
      <c r="AK69" s="3">
        <v>0</v>
      </c>
      <c r="AL69" s="3">
        <f>VLOOKUP(C69,'[1]5月25-5月31日汇总'!$C:$H,6,0)</f>
        <v>1</v>
      </c>
      <c r="AM69" s="3">
        <f>VLOOKUP(C69,'[1]6月汇总'!$C:$I,6,0)</f>
        <v>15</v>
      </c>
      <c r="AN69" s="3">
        <f t="shared" si="32"/>
        <v>16</v>
      </c>
      <c r="AO69" s="5">
        <f>VLOOKUP(C69,[2]两年对比终版!$A:$T,20,0)</f>
        <v>1</v>
      </c>
      <c r="AP69" s="5"/>
      <c r="AQ69" s="6">
        <f t="shared" si="33"/>
        <v>0.4877543181499478</v>
      </c>
      <c r="AR69" s="3">
        <v>401.84199999999998</v>
      </c>
      <c r="AS69" s="3">
        <v>0</v>
      </c>
      <c r="AT69" s="3">
        <f>VLOOKUP(C69,'[1]5月25-5月31日汇总'!$C:$I,7,0)</f>
        <v>8.1999999999999993</v>
      </c>
      <c r="AU69" s="3">
        <f>VLOOKUP(C69,'[1]6月汇总'!$C:$I,7,0)</f>
        <v>120</v>
      </c>
      <c r="AV69" s="3">
        <f t="shared" si="34"/>
        <v>128.19999999999999</v>
      </c>
      <c r="AW69" s="5">
        <f>VLOOKUP(C69,[2]两年对比终版!$A:$X,23,0)</f>
        <v>13.231109999999999</v>
      </c>
      <c r="AX69" s="5"/>
      <c r="AY69" s="6">
        <f t="shared" si="35"/>
        <v>0.31903086287645394</v>
      </c>
      <c r="AZ69" s="3">
        <v>382</v>
      </c>
      <c r="BA69" s="3">
        <v>1.714</v>
      </c>
      <c r="BB69" s="3"/>
      <c r="BC69" s="3"/>
      <c r="BD69" s="3">
        <f t="shared" si="36"/>
        <v>1.714</v>
      </c>
      <c r="BE69" s="5">
        <f>VLOOKUP(C69,[2]两年对比终版!$A:$AD,30,0)</f>
        <v>9.2725203124999993</v>
      </c>
      <c r="BF69" s="6">
        <f t="shared" si="37"/>
        <v>4.4869109947643978E-3</v>
      </c>
    </row>
    <row r="70" spans="1:58" hidden="1" x14ac:dyDescent="0.15">
      <c r="A70" s="2">
        <v>60</v>
      </c>
      <c r="B70" s="2" t="s">
        <v>28</v>
      </c>
      <c r="C70" s="2" t="s">
        <v>88</v>
      </c>
      <c r="D70" s="3">
        <v>100</v>
      </c>
      <c r="E70" s="3">
        <v>39</v>
      </c>
      <c r="F70" s="3">
        <f>VLOOKUP(C70,'[1]5月25-5月31日汇总'!$C:$D,2,0)</f>
        <v>25</v>
      </c>
      <c r="G70" s="3">
        <f>VLOOKUP(C70,'[1]6月汇总'!$C:$D,2,0)</f>
        <v>0</v>
      </c>
      <c r="H70" s="3">
        <f t="shared" si="24"/>
        <v>64</v>
      </c>
      <c r="I70" s="5">
        <f>VLOOKUP(C70,[2]两年对比终版!$A:$C,3,0)</f>
        <v>38</v>
      </c>
      <c r="J70" s="5"/>
      <c r="K70" s="6">
        <f t="shared" si="25"/>
        <v>0.64</v>
      </c>
      <c r="L70" s="3">
        <v>980</v>
      </c>
      <c r="M70" s="3">
        <v>449.84199999999998</v>
      </c>
      <c r="N70" s="3">
        <f>VLOOKUP(C70,'[1]5月25-5月31日汇总'!$C:$E,3,0)</f>
        <v>266.8</v>
      </c>
      <c r="O70" s="3">
        <f>VLOOKUP(C70,'[1]6月汇总'!$C:$E,3,0)</f>
        <v>0</v>
      </c>
      <c r="P70" s="3">
        <f t="shared" si="26"/>
        <v>716.64200000000005</v>
      </c>
      <c r="Q70" s="5">
        <f>VLOOKUP(C70,[2]两年对比终版!$A:$F,6,0)</f>
        <v>550.22496799999999</v>
      </c>
      <c r="R70" s="5"/>
      <c r="S70" s="6">
        <f t="shared" si="27"/>
        <v>0.7312673469387756</v>
      </c>
      <c r="T70" s="3">
        <v>32.816299999999998</v>
      </c>
      <c r="U70" s="3">
        <v>8</v>
      </c>
      <c r="V70" s="3">
        <f>VLOOKUP(C70,'[1]5月25-5月31日汇总'!$C:$F,4,0)</f>
        <v>14</v>
      </c>
      <c r="W70" s="3">
        <f>VLOOKUP(C70,'[1]6月汇总'!$C:$F,4,0)</f>
        <v>0</v>
      </c>
      <c r="X70" s="3">
        <f t="shared" si="28"/>
        <v>22</v>
      </c>
      <c r="Y70" s="5">
        <f>VLOOKUP(C70,[2]两年对比终版!$A:$N,14,0)</f>
        <v>14</v>
      </c>
      <c r="Z70" s="5"/>
      <c r="AA70" s="6">
        <f t="shared" si="29"/>
        <v>0.6703985519391279</v>
      </c>
      <c r="AB70" s="3">
        <v>402</v>
      </c>
      <c r="AC70" s="3">
        <v>80.185699999999997</v>
      </c>
      <c r="AD70" s="3">
        <f>VLOOKUP(C70,'[1]5月25-5月31日汇总'!$C:$G,5,0)</f>
        <v>143</v>
      </c>
      <c r="AE70" s="3">
        <f>VLOOKUP(C70,'[1]6月汇总'!$C:$G,5,0)</f>
        <v>0</v>
      </c>
      <c r="AF70" s="3">
        <f t="shared" si="30"/>
        <v>223.1857</v>
      </c>
      <c r="AG70" s="5">
        <f>VLOOKUP(C70,[2]两年对比终版!$A:$Q,17,0)</f>
        <v>177.80094199999999</v>
      </c>
      <c r="AH70" s="5"/>
      <c r="AI70" s="6">
        <f t="shared" si="31"/>
        <v>0.55518830845771139</v>
      </c>
      <c r="AJ70" s="3">
        <v>32.816299999999998</v>
      </c>
      <c r="AK70" s="3">
        <v>15</v>
      </c>
      <c r="AL70" s="3">
        <f>VLOOKUP(C70,'[1]5月25-5月31日汇总'!$C:$H,6,0)</f>
        <v>0</v>
      </c>
      <c r="AM70" s="3">
        <f>VLOOKUP(C70,'[1]6月汇总'!$C:$I,6,0)</f>
        <v>14</v>
      </c>
      <c r="AN70" s="3">
        <f t="shared" si="32"/>
        <v>29</v>
      </c>
      <c r="AO70" s="5">
        <f>VLOOKUP(C70,[2]两年对比终版!$A:$T,20,0)</f>
        <v>17</v>
      </c>
      <c r="AP70" s="5"/>
      <c r="AQ70" s="6">
        <f t="shared" si="33"/>
        <v>0.88370718210157762</v>
      </c>
      <c r="AR70" s="3">
        <v>402</v>
      </c>
      <c r="AS70" s="3">
        <v>155.648</v>
      </c>
      <c r="AT70" s="3">
        <f>VLOOKUP(C70,'[1]5月25-5月31日汇总'!$C:$I,7,0)</f>
        <v>0</v>
      </c>
      <c r="AU70" s="3">
        <f>VLOOKUP(C70,'[1]6月汇总'!$C:$I,7,0)</f>
        <v>143</v>
      </c>
      <c r="AV70" s="3">
        <f t="shared" si="34"/>
        <v>298.64800000000002</v>
      </c>
      <c r="AW70" s="5">
        <f>VLOOKUP(C70,[2]两年对比终版!$A:$X,23,0)</f>
        <v>210.26359199999999</v>
      </c>
      <c r="AX70" s="5"/>
      <c r="AY70" s="6">
        <f t="shared" si="35"/>
        <v>0.74290547263681594</v>
      </c>
      <c r="AZ70" s="3">
        <v>382</v>
      </c>
      <c r="BA70" s="3">
        <v>48.064999999999998</v>
      </c>
      <c r="BB70" s="3"/>
      <c r="BC70" s="3"/>
      <c r="BD70" s="3">
        <f t="shared" si="36"/>
        <v>48.064999999999998</v>
      </c>
      <c r="BE70" s="5">
        <f>VLOOKUP(C70,[2]两年对比终版!$A:$AD,30,0)</f>
        <v>187.08207557034501</v>
      </c>
      <c r="BF70" s="6">
        <f t="shared" si="37"/>
        <v>0.12582460732984294</v>
      </c>
    </row>
    <row r="71" spans="1:58" hidden="1" x14ac:dyDescent="0.15">
      <c r="A71" s="2">
        <v>61</v>
      </c>
      <c r="B71" s="2" t="s">
        <v>33</v>
      </c>
      <c r="C71" s="2" t="s">
        <v>89</v>
      </c>
      <c r="D71" s="3">
        <v>90</v>
      </c>
      <c r="E71" s="3">
        <v>26</v>
      </c>
      <c r="F71" s="3">
        <f>VLOOKUP(C71,'[1]5月25-5月31日汇总'!$C:$D,2,0)</f>
        <v>2</v>
      </c>
      <c r="G71" s="3">
        <f>VLOOKUP(C71,'[1]6月汇总'!$C:$D,2,0)</f>
        <v>15</v>
      </c>
      <c r="H71" s="3">
        <f t="shared" si="24"/>
        <v>43</v>
      </c>
      <c r="I71" s="5">
        <f>VLOOKUP(C71,[2]两年对比终版!$A:$C,3,0)</f>
        <v>129</v>
      </c>
      <c r="J71" s="5"/>
      <c r="K71" s="6">
        <f t="shared" si="25"/>
        <v>0.4777777777777778</v>
      </c>
      <c r="L71" s="3">
        <v>800</v>
      </c>
      <c r="M71" s="3">
        <v>184.577</v>
      </c>
      <c r="N71" s="3">
        <f>VLOOKUP(C71,'[1]5月25-5月31日汇总'!$C:$E,3,0)</f>
        <v>10.3</v>
      </c>
      <c r="O71" s="3">
        <f>VLOOKUP(C71,'[1]6月汇总'!$C:$E,3,0)</f>
        <v>87</v>
      </c>
      <c r="P71" s="3">
        <f t="shared" si="26"/>
        <v>281.87700000000001</v>
      </c>
      <c r="Q71" s="5">
        <f>VLOOKUP(C71,[2]两年对比终版!$A:$F,6,0)</f>
        <v>1471.255735</v>
      </c>
      <c r="R71" s="5"/>
      <c r="S71" s="6">
        <f t="shared" si="27"/>
        <v>0.35234625000000003</v>
      </c>
      <c r="T71" s="3">
        <v>30</v>
      </c>
      <c r="U71" s="3">
        <v>0</v>
      </c>
      <c r="V71" s="3">
        <f>VLOOKUP(C71,'[1]5月25-5月31日汇总'!$C:$F,4,0)</f>
        <v>0</v>
      </c>
      <c r="W71" s="3">
        <f>VLOOKUP(C71,'[1]6月汇总'!$C:$F,4,0)</f>
        <v>6</v>
      </c>
      <c r="X71" s="3">
        <f t="shared" si="28"/>
        <v>6</v>
      </c>
      <c r="Y71" s="5">
        <f>VLOOKUP(C71,[2]两年对比终版!$A:$N,14,0)</f>
        <v>0</v>
      </c>
      <c r="Z71" s="5"/>
      <c r="AA71" s="6">
        <f t="shared" si="29"/>
        <v>0.2</v>
      </c>
      <c r="AB71" s="3">
        <v>300</v>
      </c>
      <c r="AC71" s="3">
        <v>0</v>
      </c>
      <c r="AD71" s="3">
        <f>VLOOKUP(C71,'[1]5月25-5月31日汇总'!$C:$G,5,0)</f>
        <v>0</v>
      </c>
      <c r="AE71" s="3">
        <f>VLOOKUP(C71,'[1]6月汇总'!$C:$G,5,0)</f>
        <v>34</v>
      </c>
      <c r="AF71" s="3">
        <f t="shared" si="30"/>
        <v>34</v>
      </c>
      <c r="AG71" s="5">
        <f>VLOOKUP(C71,[2]两年对比终版!$A:$Q,17,0)</f>
        <v>0</v>
      </c>
      <c r="AH71" s="5"/>
      <c r="AI71" s="6">
        <f t="shared" si="31"/>
        <v>0.11333333333333333</v>
      </c>
      <c r="AJ71" s="3">
        <v>30</v>
      </c>
      <c r="AK71" s="3">
        <v>0</v>
      </c>
      <c r="AL71" s="3">
        <f>VLOOKUP(C71,'[1]5月25-5月31日汇总'!$C:$H,6,0)</f>
        <v>0</v>
      </c>
      <c r="AM71" s="3">
        <f>VLOOKUP(C71,'[1]6月汇总'!$C:$I,6,0)</f>
        <v>0</v>
      </c>
      <c r="AN71" s="3">
        <f t="shared" si="32"/>
        <v>0</v>
      </c>
      <c r="AO71" s="5">
        <f>VLOOKUP(C71,[2]两年对比终版!$A:$T,20,0)</f>
        <v>0</v>
      </c>
      <c r="AP71" s="5"/>
      <c r="AQ71" s="6">
        <f t="shared" si="33"/>
        <v>0</v>
      </c>
      <c r="AR71" s="3">
        <v>300</v>
      </c>
      <c r="AS71" s="3">
        <v>0</v>
      </c>
      <c r="AT71" s="3">
        <f>VLOOKUP(C71,'[1]5月25-5月31日汇总'!$C:$I,7,0)</f>
        <v>0</v>
      </c>
      <c r="AU71" s="3">
        <f>VLOOKUP(C71,'[1]6月汇总'!$C:$I,7,0)</f>
        <v>0</v>
      </c>
      <c r="AV71" s="3">
        <f t="shared" si="34"/>
        <v>0</v>
      </c>
      <c r="AW71" s="5">
        <f>VLOOKUP(C71,[2]两年对比终版!$A:$X,23,0)</f>
        <v>0</v>
      </c>
      <c r="AX71" s="5"/>
      <c r="AY71" s="6">
        <f t="shared" si="35"/>
        <v>0</v>
      </c>
      <c r="AZ71" s="3">
        <v>285</v>
      </c>
      <c r="BA71" s="3">
        <v>0</v>
      </c>
      <c r="BB71" s="3"/>
      <c r="BC71" s="3"/>
      <c r="BD71" s="3">
        <f t="shared" si="36"/>
        <v>0</v>
      </c>
      <c r="BE71" s="5">
        <f>VLOOKUP(C71,[2]两年对比终版!$A:$AD,30,0)</f>
        <v>628.831877654648</v>
      </c>
      <c r="BF71" s="6">
        <f t="shared" si="37"/>
        <v>0</v>
      </c>
    </row>
    <row r="72" spans="1:58" hidden="1" x14ac:dyDescent="0.15">
      <c r="A72" s="2">
        <v>62</v>
      </c>
      <c r="B72" s="2" t="s">
        <v>33</v>
      </c>
      <c r="C72" s="2" t="s">
        <v>90</v>
      </c>
      <c r="D72" s="3">
        <v>90</v>
      </c>
      <c r="E72" s="3">
        <v>24</v>
      </c>
      <c r="F72" s="3">
        <f>VLOOKUP(C72,'[1]5月25-5月31日汇总'!$C:$D,2,0)</f>
        <v>0</v>
      </c>
      <c r="G72" s="3">
        <f>VLOOKUP(C72,'[1]6月汇总'!$C:$D,2,0)</f>
        <v>10</v>
      </c>
      <c r="H72" s="3">
        <f t="shared" si="24"/>
        <v>34</v>
      </c>
      <c r="I72" s="5">
        <f>VLOOKUP(C72,[2]两年对比终版!$A:$C,3,0)</f>
        <v>0</v>
      </c>
      <c r="J72" s="5"/>
      <c r="K72" s="6">
        <f t="shared" si="25"/>
        <v>0.37777777777777777</v>
      </c>
      <c r="L72" s="3">
        <v>800</v>
      </c>
      <c r="M72" s="3">
        <v>308.23500000000001</v>
      </c>
      <c r="N72" s="3">
        <f>VLOOKUP(C72,'[1]5月25-5月31日汇总'!$C:$E,3,0)</f>
        <v>0</v>
      </c>
      <c r="O72" s="3">
        <f>VLOOKUP(C72,'[1]6月汇总'!$C:$E,3,0)</f>
        <v>100</v>
      </c>
      <c r="P72" s="3">
        <f t="shared" si="26"/>
        <v>408.23500000000001</v>
      </c>
      <c r="Q72" s="5">
        <f>VLOOKUP(C72,[2]两年对比终版!$A:$F,6,0)</f>
        <v>0</v>
      </c>
      <c r="R72" s="5"/>
      <c r="S72" s="6">
        <f t="shared" si="27"/>
        <v>0.51029374999999999</v>
      </c>
      <c r="T72" s="3">
        <v>30</v>
      </c>
      <c r="U72" s="3">
        <v>2</v>
      </c>
      <c r="V72" s="3">
        <f>VLOOKUP(C72,'[1]5月25-5月31日汇总'!$C:$F,4,0)</f>
        <v>1</v>
      </c>
      <c r="W72" s="3">
        <f>VLOOKUP(C72,'[1]6月汇总'!$C:$F,4,0)</f>
        <v>4</v>
      </c>
      <c r="X72" s="3">
        <f t="shared" si="28"/>
        <v>7</v>
      </c>
      <c r="Y72" s="5">
        <f>VLOOKUP(C72,[2]两年对比终版!$A:$N,14,0)</f>
        <v>0</v>
      </c>
      <c r="Z72" s="5"/>
      <c r="AA72" s="6">
        <f t="shared" si="29"/>
        <v>0.23333333333333334</v>
      </c>
      <c r="AB72" s="3">
        <v>300</v>
      </c>
      <c r="AC72" s="3">
        <v>24.9391</v>
      </c>
      <c r="AD72" s="3">
        <f>VLOOKUP(C72,'[1]5月25-5月31日汇总'!$C:$G,5,0)</f>
        <v>12</v>
      </c>
      <c r="AE72" s="3">
        <f>VLOOKUP(C72,'[1]6月汇总'!$C:$G,5,0)</f>
        <v>35</v>
      </c>
      <c r="AF72" s="3">
        <f t="shared" si="30"/>
        <v>71.939099999999996</v>
      </c>
      <c r="AG72" s="5">
        <f>VLOOKUP(C72,[2]两年对比终版!$A:$Q,17,0)</f>
        <v>0</v>
      </c>
      <c r="AH72" s="5"/>
      <c r="AI72" s="6">
        <f t="shared" si="31"/>
        <v>0.23979699999999998</v>
      </c>
      <c r="AJ72" s="3">
        <v>30</v>
      </c>
      <c r="AK72" s="3">
        <v>2</v>
      </c>
      <c r="AL72" s="3">
        <f>VLOOKUP(C72,'[1]5月25-5月31日汇总'!$C:$H,6,0)</f>
        <v>1</v>
      </c>
      <c r="AM72" s="3">
        <f>VLOOKUP(C72,'[1]6月汇总'!$C:$I,6,0)</f>
        <v>1</v>
      </c>
      <c r="AN72" s="3">
        <f t="shared" si="32"/>
        <v>4</v>
      </c>
      <c r="AO72" s="5">
        <f>VLOOKUP(C72,[2]两年对比终版!$A:$T,20,0)</f>
        <v>0</v>
      </c>
      <c r="AP72" s="5"/>
      <c r="AQ72" s="6">
        <f t="shared" si="33"/>
        <v>0.13333333333333333</v>
      </c>
      <c r="AR72" s="3">
        <v>300</v>
      </c>
      <c r="AS72" s="3">
        <v>24.9391</v>
      </c>
      <c r="AT72" s="3">
        <f>VLOOKUP(C72,'[1]5月25-5月31日汇总'!$C:$I,7,0)</f>
        <v>11.5</v>
      </c>
      <c r="AU72" s="3">
        <f>VLOOKUP(C72,'[1]6月汇总'!$C:$I,7,0)</f>
        <v>12</v>
      </c>
      <c r="AV72" s="3">
        <f t="shared" si="34"/>
        <v>48.439099999999996</v>
      </c>
      <c r="AW72" s="5">
        <f>VLOOKUP(C72,[2]两年对比终版!$A:$X,23,0)</f>
        <v>0</v>
      </c>
      <c r="AX72" s="5"/>
      <c r="AY72" s="6">
        <f t="shared" si="35"/>
        <v>0.16146366666666664</v>
      </c>
      <c r="AZ72" s="3">
        <v>285</v>
      </c>
      <c r="BA72" s="3">
        <v>11.7334</v>
      </c>
      <c r="BB72" s="3"/>
      <c r="BC72" s="3"/>
      <c r="BD72" s="3">
        <f t="shared" si="36"/>
        <v>11.7334</v>
      </c>
      <c r="BE72" s="5">
        <f>VLOOKUP(C72,[2]两年对比终版!$A:$AD,30,0)</f>
        <v>0</v>
      </c>
      <c r="BF72" s="6">
        <f t="shared" si="37"/>
        <v>4.1169824561403508E-2</v>
      </c>
    </row>
    <row r="73" spans="1:58" x14ac:dyDescent="0.15">
      <c r="A73" s="16" t="s">
        <v>91</v>
      </c>
      <c r="B73" s="12"/>
      <c r="C73" s="17"/>
      <c r="D73" s="4">
        <f t="shared" ref="D73:I73" si="44">SUM(D67:D72)</f>
        <v>1381</v>
      </c>
      <c r="E73" s="4">
        <f t="shared" si="44"/>
        <v>458</v>
      </c>
      <c r="F73" s="4">
        <f t="shared" si="44"/>
        <v>44</v>
      </c>
      <c r="G73" s="4">
        <f t="shared" si="44"/>
        <v>261</v>
      </c>
      <c r="H73" s="4">
        <f t="shared" si="44"/>
        <v>763</v>
      </c>
      <c r="I73" s="7">
        <f t="shared" si="44"/>
        <v>697</v>
      </c>
      <c r="J73" s="10">
        <f>(H73-I73)/I73</f>
        <v>9.4691535150645628E-2</v>
      </c>
      <c r="K73" s="8">
        <f>H73/D73</f>
        <v>0.5524981897175959</v>
      </c>
      <c r="L73" s="4">
        <f t="shared" ref="L73:BE73" si="45">SUM(L67:L72)</f>
        <v>10360</v>
      </c>
      <c r="M73" s="4">
        <f t="shared" si="45"/>
        <v>3428.5270000000005</v>
      </c>
      <c r="N73" s="4">
        <f t="shared" si="45"/>
        <v>372.3</v>
      </c>
      <c r="O73" s="4">
        <f t="shared" si="45"/>
        <v>1881</v>
      </c>
      <c r="P73" s="4">
        <f t="shared" si="45"/>
        <v>5681.8270000000002</v>
      </c>
      <c r="Q73" s="7">
        <f>SUM(Q67:Q72)</f>
        <v>9747.099152999981</v>
      </c>
      <c r="R73" s="10">
        <f>(P73-Q73)/Q73</f>
        <v>-0.41707507938387633</v>
      </c>
      <c r="S73" s="8">
        <f>P73/L73</f>
        <v>0.54843889961389969</v>
      </c>
      <c r="T73" s="4">
        <f t="shared" si="45"/>
        <v>555.61969999999997</v>
      </c>
      <c r="U73" s="4">
        <f t="shared" si="45"/>
        <v>14</v>
      </c>
      <c r="V73" s="4">
        <f t="shared" si="45"/>
        <v>16</v>
      </c>
      <c r="W73" s="4">
        <f t="shared" si="45"/>
        <v>46</v>
      </c>
      <c r="X73" s="4">
        <f t="shared" si="45"/>
        <v>76</v>
      </c>
      <c r="Y73" s="7">
        <f t="shared" si="45"/>
        <v>427</v>
      </c>
      <c r="Z73" s="10">
        <f>(X73-Y73)/Y73</f>
        <v>-0.82201405152224827</v>
      </c>
      <c r="AA73" s="8">
        <f>X73/T73</f>
        <v>0.13678420689547185</v>
      </c>
      <c r="AB73" s="4">
        <f t="shared" si="45"/>
        <v>4303.8420000000006</v>
      </c>
      <c r="AC73" s="4">
        <f t="shared" si="45"/>
        <v>138.15969999999999</v>
      </c>
      <c r="AD73" s="4">
        <f t="shared" si="45"/>
        <v>163.19999999999999</v>
      </c>
      <c r="AE73" s="4">
        <f t="shared" si="45"/>
        <v>355</v>
      </c>
      <c r="AF73" s="4">
        <f t="shared" si="45"/>
        <v>656.35969999999998</v>
      </c>
      <c r="AG73" s="7">
        <f t="shared" si="45"/>
        <v>2633.1336299999898</v>
      </c>
      <c r="AH73" s="10">
        <f>(AF73-AG73)/AG73</f>
        <v>-0.75073057724001557</v>
      </c>
      <c r="AI73" s="8">
        <f>AF73/AB73</f>
        <v>0.15250552878102866</v>
      </c>
      <c r="AJ73" s="4">
        <f t="shared" si="45"/>
        <v>555.61969999999997</v>
      </c>
      <c r="AK73" s="4">
        <f t="shared" si="45"/>
        <v>28</v>
      </c>
      <c r="AL73" s="4">
        <f t="shared" si="45"/>
        <v>2</v>
      </c>
      <c r="AM73" s="4">
        <f t="shared" si="45"/>
        <v>35</v>
      </c>
      <c r="AN73" s="4">
        <f t="shared" si="45"/>
        <v>65</v>
      </c>
      <c r="AO73" s="7">
        <f t="shared" si="45"/>
        <v>205</v>
      </c>
      <c r="AP73" s="10">
        <f>(AN73-AO73)/AO73</f>
        <v>-0.68292682926829273</v>
      </c>
      <c r="AQ73" s="8">
        <f>AN73/AJ73</f>
        <v>0.1169864927395483</v>
      </c>
      <c r="AR73" s="4">
        <f t="shared" si="45"/>
        <v>4303.8420000000006</v>
      </c>
      <c r="AS73" s="4">
        <f t="shared" si="45"/>
        <v>301.89010000000002</v>
      </c>
      <c r="AT73" s="4">
        <f t="shared" si="45"/>
        <v>19.7</v>
      </c>
      <c r="AU73" s="4">
        <f t="shared" si="45"/>
        <v>325</v>
      </c>
      <c r="AV73" s="4">
        <f t="shared" si="45"/>
        <v>646.59010000000012</v>
      </c>
      <c r="AW73" s="7">
        <f t="shared" si="45"/>
        <v>1394.2425920000001</v>
      </c>
      <c r="AX73" s="10">
        <f>(AV73-AW73)/AW73</f>
        <v>-0.53624275738665705</v>
      </c>
      <c r="AY73" s="8">
        <f>AV73/AR73</f>
        <v>0.15023555697444285</v>
      </c>
      <c r="AZ73" s="4">
        <f t="shared" si="45"/>
        <v>4089</v>
      </c>
      <c r="BA73" s="4">
        <f t="shared" si="45"/>
        <v>71.541219999999996</v>
      </c>
      <c r="BB73" s="4">
        <f t="shared" si="45"/>
        <v>0</v>
      </c>
      <c r="BC73" s="4">
        <f t="shared" si="45"/>
        <v>0</v>
      </c>
      <c r="BD73" s="4">
        <f t="shared" si="45"/>
        <v>71.541219999999996</v>
      </c>
      <c r="BE73" s="7">
        <f t="shared" si="45"/>
        <v>1126.2449538353419</v>
      </c>
      <c r="BF73" s="8">
        <f>BD73/AZ73</f>
        <v>1.7496018586451455E-2</v>
      </c>
    </row>
    <row r="74" spans="1:58" hidden="1" x14ac:dyDescent="0.15">
      <c r="A74" s="2">
        <v>63</v>
      </c>
      <c r="B74" s="2" t="s">
        <v>33</v>
      </c>
      <c r="C74" s="2" t="s">
        <v>92</v>
      </c>
      <c r="D74" s="3">
        <v>34</v>
      </c>
      <c r="E74" s="3">
        <v>0</v>
      </c>
      <c r="F74" s="3">
        <f>VLOOKUP(C74,'[1]5月25-5月31日汇总'!$C:$D,2,0)</f>
        <v>0</v>
      </c>
      <c r="G74" s="3">
        <f>VLOOKUP(C74,'[1]6月汇总'!$C:$D,2,0)</f>
        <v>0</v>
      </c>
      <c r="H74" s="3">
        <f t="shared" si="24"/>
        <v>0</v>
      </c>
      <c r="I74" s="5">
        <f>VLOOKUP(C74,[2]两年对比终版!$A:$C,3,0)</f>
        <v>0</v>
      </c>
      <c r="J74" s="5"/>
      <c r="K74" s="6">
        <f t="shared" si="25"/>
        <v>0</v>
      </c>
      <c r="L74" s="3">
        <v>520</v>
      </c>
      <c r="M74" s="3">
        <v>0</v>
      </c>
      <c r="N74" s="3">
        <f>VLOOKUP(C74,'[1]5月25-5月31日汇总'!$C:$E,3,0)</f>
        <v>0</v>
      </c>
      <c r="O74" s="3">
        <f>VLOOKUP(C74,'[1]6月汇总'!$C:$E,3,0)</f>
        <v>0</v>
      </c>
      <c r="P74" s="3">
        <f t="shared" si="26"/>
        <v>0</v>
      </c>
      <c r="Q74" s="5">
        <f>VLOOKUP(C74,[2]两年对比终版!$A:$F,6,0)</f>
        <v>0</v>
      </c>
      <c r="R74" s="5"/>
      <c r="S74" s="6">
        <f t="shared" si="27"/>
        <v>0</v>
      </c>
      <c r="T74" s="3">
        <v>15</v>
      </c>
      <c r="U74" s="3">
        <v>0</v>
      </c>
      <c r="V74" s="3">
        <f>VLOOKUP(C74,'[1]5月25-5月31日汇总'!$C:$F,4,0)</f>
        <v>0</v>
      </c>
      <c r="W74" s="3">
        <f>VLOOKUP(C74,'[1]6月汇总'!$C:$F,4,0)</f>
        <v>0</v>
      </c>
      <c r="X74" s="3">
        <f t="shared" si="28"/>
        <v>0</v>
      </c>
      <c r="Y74" s="5">
        <f>VLOOKUP(C74,[2]两年对比终版!$A:$N,14,0)</f>
        <v>0</v>
      </c>
      <c r="Z74" s="5"/>
      <c r="AA74" s="6">
        <f t="shared" si="29"/>
        <v>0</v>
      </c>
      <c r="AB74" s="3">
        <v>210</v>
      </c>
      <c r="AC74" s="3">
        <v>0</v>
      </c>
      <c r="AD74" s="3">
        <f>VLOOKUP(C74,'[1]5月25-5月31日汇总'!$C:$G,5,0)</f>
        <v>0</v>
      </c>
      <c r="AE74" s="3">
        <f>VLOOKUP(C74,'[1]6月汇总'!$C:$G,5,0)</f>
        <v>0</v>
      </c>
      <c r="AF74" s="3">
        <f t="shared" si="30"/>
        <v>0</v>
      </c>
      <c r="AG74" s="5">
        <f>VLOOKUP(C74,[2]两年对比终版!$A:$Q,17,0)</f>
        <v>0</v>
      </c>
      <c r="AH74" s="5"/>
      <c r="AI74" s="6">
        <f t="shared" si="31"/>
        <v>0</v>
      </c>
      <c r="AJ74" s="3">
        <v>15</v>
      </c>
      <c r="AK74" s="3">
        <v>0</v>
      </c>
      <c r="AL74" s="3">
        <f>VLOOKUP(C74,'[1]5月25-5月31日汇总'!$C:$H,6,0)</f>
        <v>0</v>
      </c>
      <c r="AM74" s="3">
        <f>VLOOKUP(C74,'[1]6月汇总'!$C:$I,6,0)</f>
        <v>0</v>
      </c>
      <c r="AN74" s="3">
        <f t="shared" si="32"/>
        <v>0</v>
      </c>
      <c r="AO74" s="5">
        <f>VLOOKUP(C74,[2]两年对比终版!$A:$T,20,0)</f>
        <v>0</v>
      </c>
      <c r="AP74" s="5"/>
      <c r="AQ74" s="6">
        <f t="shared" si="33"/>
        <v>0</v>
      </c>
      <c r="AR74" s="3">
        <v>210</v>
      </c>
      <c r="AS74" s="3">
        <v>0</v>
      </c>
      <c r="AT74" s="3">
        <f>VLOOKUP(C74,'[1]5月25-5月31日汇总'!$C:$I,7,0)</f>
        <v>0</v>
      </c>
      <c r="AU74" s="3">
        <f>VLOOKUP(C74,'[1]6月汇总'!$C:$I,7,0)</f>
        <v>0</v>
      </c>
      <c r="AV74" s="3">
        <f t="shared" si="34"/>
        <v>0</v>
      </c>
      <c r="AW74" s="5">
        <f>VLOOKUP(C74,[2]两年对比终版!$A:$X,23,0)</f>
        <v>0</v>
      </c>
      <c r="AX74" s="5"/>
      <c r="AY74" s="6">
        <f t="shared" si="35"/>
        <v>0</v>
      </c>
      <c r="AZ74" s="3">
        <v>200</v>
      </c>
      <c r="BA74" s="3">
        <v>0</v>
      </c>
      <c r="BB74" s="3"/>
      <c r="BC74" s="3"/>
      <c r="BD74" s="3">
        <f t="shared" si="36"/>
        <v>0</v>
      </c>
      <c r="BE74" s="5">
        <f>VLOOKUP(C74,[2]两年对比终版!$A:$AD,30,0)</f>
        <v>0</v>
      </c>
      <c r="BF74" s="6">
        <f t="shared" si="37"/>
        <v>0</v>
      </c>
    </row>
    <row r="75" spans="1:58" hidden="1" x14ac:dyDescent="0.15">
      <c r="A75" s="2">
        <v>64</v>
      </c>
      <c r="B75" s="2" t="s">
        <v>33</v>
      </c>
      <c r="C75" s="2" t="s">
        <v>93</v>
      </c>
      <c r="D75" s="3">
        <v>50</v>
      </c>
      <c r="E75" s="3">
        <v>0</v>
      </c>
      <c r="F75" s="3">
        <f>VLOOKUP(C75,'[1]5月25-5月31日汇总'!$C:$D,2,0)</f>
        <v>0</v>
      </c>
      <c r="G75" s="3">
        <f>VLOOKUP(C75,'[1]6月汇总'!$C:$D,2,0)</f>
        <v>1</v>
      </c>
      <c r="H75" s="3">
        <f t="shared" si="24"/>
        <v>1</v>
      </c>
      <c r="I75" s="5">
        <f>VLOOKUP(C75,[2]两年对比终版!$A:$C,3,0)</f>
        <v>0</v>
      </c>
      <c r="J75" s="5"/>
      <c r="K75" s="6">
        <f t="shared" si="25"/>
        <v>0.02</v>
      </c>
      <c r="L75" s="3">
        <v>500</v>
      </c>
      <c r="M75" s="3">
        <v>0</v>
      </c>
      <c r="N75" s="3">
        <f>VLOOKUP(C75,'[1]5月25-5月31日汇总'!$C:$E,3,0)</f>
        <v>0</v>
      </c>
      <c r="O75" s="3">
        <f>VLOOKUP(C75,'[1]6月汇总'!$C:$E,3,0)</f>
        <v>89</v>
      </c>
      <c r="P75" s="3">
        <f t="shared" si="26"/>
        <v>89</v>
      </c>
      <c r="Q75" s="5">
        <f>VLOOKUP(C75,[2]两年对比终版!$A:$F,6,0)</f>
        <v>0</v>
      </c>
      <c r="R75" s="5"/>
      <c r="S75" s="6">
        <f t="shared" si="27"/>
        <v>0.17799999999999999</v>
      </c>
      <c r="T75" s="3">
        <v>15</v>
      </c>
      <c r="U75" s="3">
        <v>0</v>
      </c>
      <c r="V75" s="3">
        <f>VLOOKUP(C75,'[1]5月25-5月31日汇总'!$C:$F,4,0)</f>
        <v>1</v>
      </c>
      <c r="W75" s="3">
        <f>VLOOKUP(C75,'[1]6月汇总'!$C:$F,4,0)</f>
        <v>0</v>
      </c>
      <c r="X75" s="3">
        <f t="shared" si="28"/>
        <v>1</v>
      </c>
      <c r="Y75" s="5">
        <f>VLOOKUP(C75,[2]两年对比终版!$A:$N,14,0)</f>
        <v>0</v>
      </c>
      <c r="Z75" s="5"/>
      <c r="AA75" s="6">
        <f t="shared" si="29"/>
        <v>6.6666666666666666E-2</v>
      </c>
      <c r="AB75" s="3">
        <v>201</v>
      </c>
      <c r="AC75" s="3">
        <v>0</v>
      </c>
      <c r="AD75" s="3">
        <f>VLOOKUP(C75,'[1]5月25-5月31日汇总'!$C:$G,5,0)</f>
        <v>2.2000000000000002</v>
      </c>
      <c r="AE75" s="3">
        <f>VLOOKUP(C75,'[1]6月汇总'!$C:$G,5,0)</f>
        <v>0</v>
      </c>
      <c r="AF75" s="3">
        <f t="shared" si="30"/>
        <v>2.2000000000000002</v>
      </c>
      <c r="AG75" s="5">
        <f>VLOOKUP(C75,[2]两年对比终版!$A:$Q,17,0)</f>
        <v>0</v>
      </c>
      <c r="AH75" s="5"/>
      <c r="AI75" s="6">
        <f t="shared" si="31"/>
        <v>1.0945273631840797E-2</v>
      </c>
      <c r="AJ75" s="3">
        <v>15</v>
      </c>
      <c r="AK75" s="3">
        <v>0</v>
      </c>
      <c r="AL75" s="3">
        <f>VLOOKUP(C75,'[1]5月25-5月31日汇总'!$C:$H,6,0)</f>
        <v>0</v>
      </c>
      <c r="AM75" s="3">
        <f>VLOOKUP(C75,'[1]6月汇总'!$C:$I,6,0)</f>
        <v>0</v>
      </c>
      <c r="AN75" s="3">
        <f t="shared" si="32"/>
        <v>0</v>
      </c>
      <c r="AO75" s="5">
        <f>VLOOKUP(C75,[2]两年对比终版!$A:$T,20,0)</f>
        <v>0</v>
      </c>
      <c r="AP75" s="5"/>
      <c r="AQ75" s="6">
        <f t="shared" si="33"/>
        <v>0</v>
      </c>
      <c r="AR75" s="3">
        <v>201</v>
      </c>
      <c r="AS75" s="3">
        <v>0</v>
      </c>
      <c r="AT75" s="3">
        <f>VLOOKUP(C75,'[1]5月25-5月31日汇总'!$C:$I,7,0)</f>
        <v>0</v>
      </c>
      <c r="AU75" s="3">
        <f>VLOOKUP(C75,'[1]6月汇总'!$C:$I,7,0)</f>
        <v>0</v>
      </c>
      <c r="AV75" s="3">
        <f t="shared" si="34"/>
        <v>0</v>
      </c>
      <c r="AW75" s="5">
        <f>VLOOKUP(C75,[2]两年对比终版!$A:$X,23,0)</f>
        <v>0</v>
      </c>
      <c r="AX75" s="5"/>
      <c r="AY75" s="6">
        <f t="shared" si="35"/>
        <v>0</v>
      </c>
      <c r="AZ75" s="3">
        <v>190</v>
      </c>
      <c r="BA75" s="3">
        <v>1.0919000000000001</v>
      </c>
      <c r="BB75" s="3"/>
      <c r="BC75" s="3"/>
      <c r="BD75" s="3">
        <f t="shared" si="36"/>
        <v>1.0919000000000001</v>
      </c>
      <c r="BE75" s="5">
        <f>VLOOKUP(C75,[2]两年对比终版!$A:$AD,30,0)</f>
        <v>0</v>
      </c>
      <c r="BF75" s="6">
        <f t="shared" si="37"/>
        <v>5.7468421052631587E-3</v>
      </c>
    </row>
    <row r="76" spans="1:58" hidden="1" x14ac:dyDescent="0.15">
      <c r="A76" s="2">
        <v>65</v>
      </c>
      <c r="B76" s="2" t="s">
        <v>33</v>
      </c>
      <c r="C76" s="2" t="s">
        <v>94</v>
      </c>
      <c r="D76" s="3">
        <v>34</v>
      </c>
      <c r="E76" s="3">
        <v>0</v>
      </c>
      <c r="F76" s="3">
        <f>VLOOKUP(C76,'[1]5月25-5月31日汇总'!$C:$D,2,0)</f>
        <v>0</v>
      </c>
      <c r="G76" s="3">
        <f>VLOOKUP(C76,'[1]6月汇总'!$C:$D,2,0)</f>
        <v>0</v>
      </c>
      <c r="H76" s="3">
        <f t="shared" si="24"/>
        <v>0</v>
      </c>
      <c r="I76" s="5">
        <f>VLOOKUP(C76,[2]两年对比终版!$A:$C,3,0)</f>
        <v>0</v>
      </c>
      <c r="J76" s="5"/>
      <c r="K76" s="6">
        <f t="shared" si="25"/>
        <v>0</v>
      </c>
      <c r="L76" s="3">
        <v>520</v>
      </c>
      <c r="M76" s="3">
        <v>0</v>
      </c>
      <c r="N76" s="3">
        <f>VLOOKUP(C76,'[1]5月25-5月31日汇总'!$C:$E,3,0)</f>
        <v>0</v>
      </c>
      <c r="O76" s="3">
        <f>VLOOKUP(C76,'[1]6月汇总'!$C:$E,3,0)</f>
        <v>6</v>
      </c>
      <c r="P76" s="3">
        <f t="shared" si="26"/>
        <v>6</v>
      </c>
      <c r="Q76" s="5">
        <f>VLOOKUP(C76,[2]两年对比终版!$A:$F,6,0)</f>
        <v>0</v>
      </c>
      <c r="R76" s="5"/>
      <c r="S76" s="6">
        <f t="shared" si="27"/>
        <v>1.1538461538461539E-2</v>
      </c>
      <c r="T76" s="3">
        <v>15</v>
      </c>
      <c r="U76" s="3">
        <v>0</v>
      </c>
      <c r="V76" s="3">
        <f>VLOOKUP(C76,'[1]5月25-5月31日汇总'!$C:$F,4,0)</f>
        <v>0</v>
      </c>
      <c r="W76" s="3">
        <f>VLOOKUP(C76,'[1]6月汇总'!$C:$F,4,0)</f>
        <v>0</v>
      </c>
      <c r="X76" s="3">
        <f t="shared" si="28"/>
        <v>0</v>
      </c>
      <c r="Y76" s="5">
        <f>VLOOKUP(C76,[2]两年对比终版!$A:$N,14,0)</f>
        <v>0</v>
      </c>
      <c r="Z76" s="5"/>
      <c r="AA76" s="6">
        <f t="shared" si="29"/>
        <v>0</v>
      </c>
      <c r="AB76" s="3">
        <v>210</v>
      </c>
      <c r="AC76" s="3">
        <v>0</v>
      </c>
      <c r="AD76" s="3">
        <f>VLOOKUP(C76,'[1]5月25-5月31日汇总'!$C:$G,5,0)</f>
        <v>0</v>
      </c>
      <c r="AE76" s="3">
        <f>VLOOKUP(C76,'[1]6月汇总'!$C:$G,5,0)</f>
        <v>6</v>
      </c>
      <c r="AF76" s="3">
        <f t="shared" si="30"/>
        <v>6</v>
      </c>
      <c r="AG76" s="5">
        <f>VLOOKUP(C76,[2]两年对比终版!$A:$Q,17,0)</f>
        <v>0</v>
      </c>
      <c r="AH76" s="5"/>
      <c r="AI76" s="6">
        <f t="shared" si="31"/>
        <v>2.8571428571428571E-2</v>
      </c>
      <c r="AJ76" s="3">
        <v>15</v>
      </c>
      <c r="AK76" s="3">
        <v>0</v>
      </c>
      <c r="AL76" s="3">
        <f>VLOOKUP(C76,'[1]5月25-5月31日汇总'!$C:$H,6,0)</f>
        <v>0</v>
      </c>
      <c r="AM76" s="3">
        <f>VLOOKUP(C76,'[1]6月汇总'!$C:$I,6,0)</f>
        <v>0</v>
      </c>
      <c r="AN76" s="3">
        <f t="shared" si="32"/>
        <v>0</v>
      </c>
      <c r="AO76" s="5">
        <f>VLOOKUP(C76,[2]两年对比终版!$A:$T,20,0)</f>
        <v>0</v>
      </c>
      <c r="AP76" s="5"/>
      <c r="AQ76" s="6">
        <f t="shared" si="33"/>
        <v>0</v>
      </c>
      <c r="AR76" s="3">
        <v>210</v>
      </c>
      <c r="AS76" s="3">
        <v>0</v>
      </c>
      <c r="AT76" s="3">
        <f>VLOOKUP(C76,'[1]5月25-5月31日汇总'!$C:$I,7,0)</f>
        <v>3</v>
      </c>
      <c r="AU76" s="3">
        <f>VLOOKUP(C76,'[1]6月汇总'!$C:$I,7,0)</f>
        <v>6</v>
      </c>
      <c r="AV76" s="3">
        <f t="shared" si="34"/>
        <v>9</v>
      </c>
      <c r="AW76" s="5">
        <f>VLOOKUP(C76,[2]两年对比终版!$A:$X,23,0)</f>
        <v>0</v>
      </c>
      <c r="AX76" s="5"/>
      <c r="AY76" s="6">
        <f t="shared" si="35"/>
        <v>4.2857142857142858E-2</v>
      </c>
      <c r="AZ76" s="3">
        <v>200</v>
      </c>
      <c r="BA76" s="3">
        <v>2.7262900000000001</v>
      </c>
      <c r="BB76" s="3"/>
      <c r="BC76" s="3"/>
      <c r="BD76" s="3">
        <f t="shared" si="36"/>
        <v>2.7262900000000001</v>
      </c>
      <c r="BE76" s="5">
        <f>VLOOKUP(C76,[2]两年对比终版!$A:$AD,30,0)</f>
        <v>0</v>
      </c>
      <c r="BF76" s="6">
        <f t="shared" si="37"/>
        <v>1.363145E-2</v>
      </c>
    </row>
    <row r="77" spans="1:58" x14ac:dyDescent="0.15">
      <c r="A77" s="16" t="s">
        <v>95</v>
      </c>
      <c r="B77" s="12"/>
      <c r="C77" s="17"/>
      <c r="D77" s="4">
        <f t="shared" ref="D77:I77" si="46">SUM(D74:D76)</f>
        <v>118</v>
      </c>
      <c r="E77" s="4">
        <f t="shared" si="46"/>
        <v>0</v>
      </c>
      <c r="F77" s="4">
        <f t="shared" si="46"/>
        <v>0</v>
      </c>
      <c r="G77" s="4">
        <f t="shared" si="46"/>
        <v>1</v>
      </c>
      <c r="H77" s="4">
        <f t="shared" si="46"/>
        <v>1</v>
      </c>
      <c r="I77" s="7">
        <f t="shared" si="46"/>
        <v>0</v>
      </c>
      <c r="J77" s="10" t="e">
        <f>(H77-I77)/I77</f>
        <v>#DIV/0!</v>
      </c>
      <c r="K77" s="8">
        <f>H77/D77</f>
        <v>8.4745762711864406E-3</v>
      </c>
      <c r="L77" s="4">
        <f t="shared" ref="L77:BE77" si="47">SUM(L74:L76)</f>
        <v>1540</v>
      </c>
      <c r="M77" s="4">
        <f t="shared" si="47"/>
        <v>0</v>
      </c>
      <c r="N77" s="4">
        <f t="shared" si="47"/>
        <v>0</v>
      </c>
      <c r="O77" s="4">
        <f t="shared" si="47"/>
        <v>95</v>
      </c>
      <c r="P77" s="4">
        <f t="shared" si="47"/>
        <v>95</v>
      </c>
      <c r="Q77" s="7">
        <f t="shared" si="47"/>
        <v>0</v>
      </c>
      <c r="R77" s="10" t="e">
        <f>(P77-Q77)/Q77</f>
        <v>#DIV/0!</v>
      </c>
      <c r="S77" s="8">
        <f>P77/L77</f>
        <v>6.1688311688311688E-2</v>
      </c>
      <c r="T77" s="4">
        <f t="shared" si="47"/>
        <v>45</v>
      </c>
      <c r="U77" s="4">
        <f t="shared" si="47"/>
        <v>0</v>
      </c>
      <c r="V77" s="4">
        <f t="shared" si="47"/>
        <v>1</v>
      </c>
      <c r="W77" s="4">
        <f t="shared" si="47"/>
        <v>0</v>
      </c>
      <c r="X77" s="4">
        <f t="shared" si="47"/>
        <v>1</v>
      </c>
      <c r="Y77" s="7">
        <f t="shared" si="47"/>
        <v>0</v>
      </c>
      <c r="Z77" s="10" t="e">
        <f>(X77-Y77)/Y77</f>
        <v>#DIV/0!</v>
      </c>
      <c r="AA77" s="8">
        <f>X77/T77</f>
        <v>2.2222222222222223E-2</v>
      </c>
      <c r="AB77" s="4">
        <f t="shared" si="47"/>
        <v>621</v>
      </c>
      <c r="AC77" s="4">
        <f t="shared" si="47"/>
        <v>0</v>
      </c>
      <c r="AD77" s="4">
        <f t="shared" si="47"/>
        <v>2.2000000000000002</v>
      </c>
      <c r="AE77" s="4">
        <f t="shared" si="47"/>
        <v>6</v>
      </c>
      <c r="AF77" s="4">
        <f t="shared" si="47"/>
        <v>8.1999999999999993</v>
      </c>
      <c r="AG77" s="7">
        <f t="shared" si="47"/>
        <v>0</v>
      </c>
      <c r="AH77" s="10" t="e">
        <f>(AF77-AG77)/AG77</f>
        <v>#DIV/0!</v>
      </c>
      <c r="AI77" s="8">
        <f>AF77/AB77</f>
        <v>1.3204508856682768E-2</v>
      </c>
      <c r="AJ77" s="4">
        <f t="shared" si="47"/>
        <v>45</v>
      </c>
      <c r="AK77" s="4">
        <f t="shared" si="47"/>
        <v>0</v>
      </c>
      <c r="AL77" s="4">
        <f t="shared" si="47"/>
        <v>0</v>
      </c>
      <c r="AM77" s="4">
        <f t="shared" si="47"/>
        <v>0</v>
      </c>
      <c r="AN77" s="4">
        <f t="shared" si="47"/>
        <v>0</v>
      </c>
      <c r="AO77" s="7">
        <f t="shared" si="47"/>
        <v>0</v>
      </c>
      <c r="AP77" s="10" t="e">
        <f>(AN77-AO77)/AO77</f>
        <v>#DIV/0!</v>
      </c>
      <c r="AQ77" s="8">
        <f>AN77/AJ77</f>
        <v>0</v>
      </c>
      <c r="AR77" s="4">
        <f t="shared" si="47"/>
        <v>621</v>
      </c>
      <c r="AS77" s="4">
        <f t="shared" si="47"/>
        <v>0</v>
      </c>
      <c r="AT77" s="4">
        <f t="shared" si="47"/>
        <v>3</v>
      </c>
      <c r="AU77" s="4">
        <f t="shared" si="47"/>
        <v>6</v>
      </c>
      <c r="AV77" s="4">
        <f t="shared" si="47"/>
        <v>9</v>
      </c>
      <c r="AW77" s="7">
        <f t="shared" si="47"/>
        <v>0</v>
      </c>
      <c r="AX77" s="10" t="e">
        <f>(AV77-AW77)/AW77</f>
        <v>#DIV/0!</v>
      </c>
      <c r="AY77" s="8">
        <f>AV77/AR77</f>
        <v>1.4492753623188406E-2</v>
      </c>
      <c r="AZ77" s="4">
        <f t="shared" si="47"/>
        <v>590</v>
      </c>
      <c r="BA77" s="4">
        <f t="shared" si="47"/>
        <v>3.8181900000000004</v>
      </c>
      <c r="BB77" s="4">
        <f t="shared" si="47"/>
        <v>0</v>
      </c>
      <c r="BC77" s="4">
        <f t="shared" si="47"/>
        <v>0</v>
      </c>
      <c r="BD77" s="4">
        <f t="shared" si="47"/>
        <v>3.8181900000000004</v>
      </c>
      <c r="BE77" s="7">
        <f t="shared" si="47"/>
        <v>0</v>
      </c>
      <c r="BF77" s="8">
        <f>BD77/AZ77</f>
        <v>6.4715084745762723E-3</v>
      </c>
    </row>
    <row r="78" spans="1:58" hidden="1" x14ac:dyDescent="0.15">
      <c r="A78" s="2">
        <v>66</v>
      </c>
      <c r="B78" s="2" t="s">
        <v>96</v>
      </c>
      <c r="C78" s="2" t="s">
        <v>97</v>
      </c>
      <c r="D78" s="3">
        <v>0</v>
      </c>
      <c r="E78" s="3">
        <v>0</v>
      </c>
      <c r="F78" s="3">
        <f>VLOOKUP(C78,'[1]5月25-5月31日汇总'!$C:$D,2,0)</f>
        <v>0</v>
      </c>
      <c r="G78" s="3">
        <f>VLOOKUP(C78,'[1]6月汇总'!$C:$D,2,0)</f>
        <v>0</v>
      </c>
      <c r="H78" s="3">
        <f t="shared" si="24"/>
        <v>0</v>
      </c>
      <c r="I78" s="5">
        <f>VLOOKUP(C78,[2]两年对比终版!$A:$C,3,0)</f>
        <v>0</v>
      </c>
      <c r="J78" s="5"/>
      <c r="K78" s="6" t="e">
        <f t="shared" si="25"/>
        <v>#DIV/0!</v>
      </c>
      <c r="L78" s="3">
        <v>1402</v>
      </c>
      <c r="M78" s="3">
        <v>420.70699999999999</v>
      </c>
      <c r="N78" s="3">
        <f>VLOOKUP(C78,'[1]5月25-5月31日汇总'!$C:$E,3,0)</f>
        <v>190</v>
      </c>
      <c r="O78" s="3">
        <f>VLOOKUP(C78,'[1]6月汇总'!$C:$E,3,0)</f>
        <v>316</v>
      </c>
      <c r="P78" s="3">
        <f t="shared" si="26"/>
        <v>926.70699999999999</v>
      </c>
      <c r="Q78" s="5">
        <f>VLOOKUP(C78,[2]两年对比终版!$A:$F,6,0)</f>
        <v>1730.42433504</v>
      </c>
      <c r="R78" s="5"/>
      <c r="S78" s="6">
        <f t="shared" si="27"/>
        <v>0.66098930099857345</v>
      </c>
      <c r="T78" s="3">
        <v>0</v>
      </c>
      <c r="U78" s="3">
        <v>0</v>
      </c>
      <c r="V78" s="3">
        <f>VLOOKUP(C78,'[1]5月25-5月31日汇总'!$C:$F,4,0)</f>
        <v>0</v>
      </c>
      <c r="W78" s="3">
        <f>VLOOKUP(C78,'[1]6月汇总'!$C:$F,4,0)</f>
        <v>0</v>
      </c>
      <c r="X78" s="3">
        <f t="shared" si="28"/>
        <v>0</v>
      </c>
      <c r="Y78" s="5">
        <f>VLOOKUP(C78,[2]两年对比终版!$A:$N,14,0)</f>
        <v>0</v>
      </c>
      <c r="Z78" s="5"/>
      <c r="AA78" s="6" t="e">
        <f t="shared" si="29"/>
        <v>#DIV/0!</v>
      </c>
      <c r="AB78" s="3">
        <v>600</v>
      </c>
      <c r="AC78" s="3">
        <v>178.41399999999999</v>
      </c>
      <c r="AD78" s="3">
        <f>VLOOKUP(C78,'[1]5月25-5月31日汇总'!$C:$G,5,0)</f>
        <v>20</v>
      </c>
      <c r="AE78" s="3">
        <f>VLOOKUP(C78,'[1]6月汇总'!$C:$G,5,0)</f>
        <v>206</v>
      </c>
      <c r="AF78" s="3">
        <f t="shared" si="30"/>
        <v>404.41399999999999</v>
      </c>
      <c r="AG78" s="5">
        <f>VLOOKUP(C78,[2]两年对比终版!$A:$Q,17,0)</f>
        <v>488.30637452069999</v>
      </c>
      <c r="AH78" s="5"/>
      <c r="AI78" s="6">
        <f t="shared" si="31"/>
        <v>0.67402333333333331</v>
      </c>
      <c r="AJ78" s="3">
        <v>0</v>
      </c>
      <c r="AK78" s="3">
        <v>0</v>
      </c>
      <c r="AL78" s="3">
        <f>VLOOKUP(C78,'[1]5月25-5月31日汇总'!$C:$H,6,0)</f>
        <v>0</v>
      </c>
      <c r="AM78" s="3">
        <f>VLOOKUP(C78,'[1]6月汇总'!$C:$I,6,0)</f>
        <v>0</v>
      </c>
      <c r="AN78" s="3">
        <f t="shared" si="32"/>
        <v>0</v>
      </c>
      <c r="AO78" s="5">
        <f>VLOOKUP(C78,[2]两年对比终版!$A:$T,20,0)</f>
        <v>0</v>
      </c>
      <c r="AP78" s="5"/>
      <c r="AQ78" s="6" t="e">
        <f t="shared" si="33"/>
        <v>#DIV/0!</v>
      </c>
      <c r="AR78" s="3">
        <v>600</v>
      </c>
      <c r="AS78" s="3">
        <v>38.547199999999997</v>
      </c>
      <c r="AT78" s="3">
        <f>VLOOKUP(C78,'[1]5月25-5月31日汇总'!$C:$I,7,0)</f>
        <v>8</v>
      </c>
      <c r="AU78" s="3">
        <f>VLOOKUP(C78,'[1]6月汇总'!$C:$I,7,0)</f>
        <v>122</v>
      </c>
      <c r="AV78" s="3">
        <f t="shared" si="34"/>
        <v>168.5472</v>
      </c>
      <c r="AW78" s="5">
        <f>VLOOKUP(C78,[2]两年对比终版!$A:$X,23,0)</f>
        <v>488.30637452069999</v>
      </c>
      <c r="AX78" s="5"/>
      <c r="AY78" s="6">
        <f t="shared" si="35"/>
        <v>0.280912</v>
      </c>
      <c r="AZ78" s="3">
        <v>570</v>
      </c>
      <c r="BA78" s="3">
        <v>0</v>
      </c>
      <c r="BB78" s="3"/>
      <c r="BC78" s="3"/>
      <c r="BD78" s="3">
        <f t="shared" si="36"/>
        <v>0</v>
      </c>
      <c r="BE78" s="5">
        <f>VLOOKUP(C78,[2]两年对比终版!$A:$AD,30,0)</f>
        <v>488.30637452069999</v>
      </c>
      <c r="BF78" s="6">
        <f t="shared" si="37"/>
        <v>0</v>
      </c>
    </row>
    <row r="79" spans="1:58" hidden="1" x14ac:dyDescent="0.15">
      <c r="A79" s="2">
        <v>67</v>
      </c>
      <c r="B79" s="2" t="s">
        <v>96</v>
      </c>
      <c r="C79" s="2" t="s">
        <v>98</v>
      </c>
      <c r="D79" s="3">
        <v>0</v>
      </c>
      <c r="E79" s="3">
        <v>0</v>
      </c>
      <c r="F79" s="3">
        <f>VLOOKUP(C79,'[1]5月25-5月31日汇总'!$C:$D,2,0)</f>
        <v>0</v>
      </c>
      <c r="G79" s="3">
        <f>VLOOKUP(C79,'[1]6月汇总'!$C:$D,2,0)</f>
        <v>0</v>
      </c>
      <c r="H79" s="3">
        <f t="shared" si="24"/>
        <v>0</v>
      </c>
      <c r="I79" s="5">
        <f>VLOOKUP(C79,[2]两年对比终版!$A:$C,3,0)</f>
        <v>0</v>
      </c>
      <c r="J79" s="5"/>
      <c r="K79" s="6" t="e">
        <f t="shared" si="25"/>
        <v>#DIV/0!</v>
      </c>
      <c r="L79" s="3">
        <v>720</v>
      </c>
      <c r="M79" s="3">
        <v>143.33000000000001</v>
      </c>
      <c r="N79" s="3">
        <f>VLOOKUP(C79,'[1]5月25-5月31日汇总'!$C:$E,3,0)</f>
        <v>0</v>
      </c>
      <c r="O79" s="3">
        <f>VLOOKUP(C79,'[1]6月汇总'!$C:$E,3,0)</f>
        <v>0</v>
      </c>
      <c r="P79" s="3">
        <f t="shared" si="26"/>
        <v>143.33000000000001</v>
      </c>
      <c r="Q79" s="5">
        <f>VLOOKUP(C79,[2]两年对比终版!$A:$F,6,0)</f>
        <v>0</v>
      </c>
      <c r="R79" s="5"/>
      <c r="S79" s="6">
        <f t="shared" si="27"/>
        <v>0.19906944444444447</v>
      </c>
      <c r="T79" s="3">
        <v>0</v>
      </c>
      <c r="U79" s="3">
        <v>0</v>
      </c>
      <c r="V79" s="3">
        <f>VLOOKUP(C79,'[1]5月25-5月31日汇总'!$C:$F,4,0)</f>
        <v>0</v>
      </c>
      <c r="W79" s="3">
        <f>VLOOKUP(C79,'[1]6月汇总'!$C:$F,4,0)</f>
        <v>0</v>
      </c>
      <c r="X79" s="3">
        <f t="shared" si="28"/>
        <v>0</v>
      </c>
      <c r="Y79" s="5">
        <f>VLOOKUP(C79,[2]两年对比终版!$A:$N,14,0)</f>
        <v>0</v>
      </c>
      <c r="Z79" s="5"/>
      <c r="AA79" s="6" t="e">
        <f t="shared" si="29"/>
        <v>#DIV/0!</v>
      </c>
      <c r="AB79" s="3">
        <v>300</v>
      </c>
      <c r="AC79" s="3">
        <v>0</v>
      </c>
      <c r="AD79" s="3">
        <f>VLOOKUP(C79,'[1]5月25-5月31日汇总'!$C:$G,5,0)</f>
        <v>0</v>
      </c>
      <c r="AE79" s="3">
        <f>VLOOKUP(C79,'[1]6月汇总'!$C:$G,5,0)</f>
        <v>0</v>
      </c>
      <c r="AF79" s="3">
        <f t="shared" si="30"/>
        <v>0</v>
      </c>
      <c r="AG79" s="5">
        <f>VLOOKUP(C79,[2]两年对比终版!$A:$Q,17,0)</f>
        <v>0</v>
      </c>
      <c r="AH79" s="5"/>
      <c r="AI79" s="6">
        <f t="shared" si="31"/>
        <v>0</v>
      </c>
      <c r="AJ79" s="3">
        <v>0</v>
      </c>
      <c r="AK79" s="3">
        <v>0</v>
      </c>
      <c r="AL79" s="3">
        <f>VLOOKUP(C79,'[1]5月25-5月31日汇总'!$C:$H,6,0)</f>
        <v>0</v>
      </c>
      <c r="AM79" s="3">
        <f>VLOOKUP(C79,'[1]6月汇总'!$C:$I,6,0)</f>
        <v>0</v>
      </c>
      <c r="AN79" s="3">
        <f t="shared" si="32"/>
        <v>0</v>
      </c>
      <c r="AO79" s="5">
        <f>VLOOKUP(C79,[2]两年对比终版!$A:$T,20,0)</f>
        <v>0</v>
      </c>
      <c r="AP79" s="5"/>
      <c r="AQ79" s="6" t="e">
        <f t="shared" si="33"/>
        <v>#DIV/0!</v>
      </c>
      <c r="AR79" s="3">
        <v>300</v>
      </c>
      <c r="AS79" s="3">
        <v>0</v>
      </c>
      <c r="AT79" s="3">
        <f>VLOOKUP(C79,'[1]5月25-5月31日汇总'!$C:$I,7,0)</f>
        <v>0</v>
      </c>
      <c r="AU79" s="3">
        <f>VLOOKUP(C79,'[1]6月汇总'!$C:$I,7,0)</f>
        <v>0</v>
      </c>
      <c r="AV79" s="3">
        <f t="shared" si="34"/>
        <v>0</v>
      </c>
      <c r="AW79" s="5">
        <f>VLOOKUP(C79,[2]两年对比终版!$A:$X,23,0)</f>
        <v>0</v>
      </c>
      <c r="AX79" s="5"/>
      <c r="AY79" s="6">
        <f t="shared" si="35"/>
        <v>0</v>
      </c>
      <c r="AZ79" s="3">
        <v>285</v>
      </c>
      <c r="BA79" s="3">
        <v>0</v>
      </c>
      <c r="BB79" s="3"/>
      <c r="BC79" s="3"/>
      <c r="BD79" s="3">
        <f t="shared" si="36"/>
        <v>0</v>
      </c>
      <c r="BE79" s="5">
        <f>VLOOKUP(C79,[2]两年对比终版!$A:$AD,30,0)</f>
        <v>0</v>
      </c>
      <c r="BF79" s="6">
        <f t="shared" si="37"/>
        <v>0</v>
      </c>
    </row>
    <row r="80" spans="1:58" hidden="1" x14ac:dyDescent="0.15">
      <c r="A80" s="2">
        <v>68</v>
      </c>
      <c r="B80" s="2" t="s">
        <v>96</v>
      </c>
      <c r="C80" s="2" t="s">
        <v>99</v>
      </c>
      <c r="D80" s="3">
        <v>0</v>
      </c>
      <c r="E80" s="3">
        <v>0</v>
      </c>
      <c r="F80" s="3">
        <f>VLOOKUP(C80,'[1]5月25-5月31日汇总'!$C:$D,2,0)</f>
        <v>0</v>
      </c>
      <c r="G80" s="3">
        <f>VLOOKUP(C80,'[1]6月汇总'!$C:$D,2,0)</f>
        <v>0</v>
      </c>
      <c r="H80" s="3">
        <f t="shared" si="24"/>
        <v>0</v>
      </c>
      <c r="I80" s="5">
        <f>VLOOKUP(C80,[2]两年对比终版!$A:$C,3,0)</f>
        <v>0</v>
      </c>
      <c r="J80" s="5"/>
      <c r="K80" s="6" t="e">
        <f t="shared" si="25"/>
        <v>#DIV/0!</v>
      </c>
      <c r="L80" s="3">
        <v>720</v>
      </c>
      <c r="M80" s="3">
        <v>211.179</v>
      </c>
      <c r="N80" s="3">
        <f>VLOOKUP(C80,'[1]5月25-5月31日汇总'!$C:$E,3,0)</f>
        <v>99</v>
      </c>
      <c r="O80" s="3">
        <f>VLOOKUP(C80,'[1]6月汇总'!$C:$E,3,0)</f>
        <v>53</v>
      </c>
      <c r="P80" s="3">
        <f t="shared" si="26"/>
        <v>363.17899999999997</v>
      </c>
      <c r="Q80" s="5">
        <f>VLOOKUP(C80,[2]两年对比终版!$A:$F,6,0)</f>
        <v>0</v>
      </c>
      <c r="R80" s="5"/>
      <c r="S80" s="6">
        <f t="shared" si="27"/>
        <v>0.50441527777777773</v>
      </c>
      <c r="T80" s="3">
        <v>0</v>
      </c>
      <c r="U80" s="3">
        <v>0</v>
      </c>
      <c r="V80" s="3">
        <f>VLOOKUP(C80,'[1]5月25-5月31日汇总'!$C:$F,4,0)</f>
        <v>0</v>
      </c>
      <c r="W80" s="3">
        <f>VLOOKUP(C80,'[1]6月汇总'!$C:$F,4,0)</f>
        <v>0</v>
      </c>
      <c r="X80" s="3">
        <f t="shared" si="28"/>
        <v>0</v>
      </c>
      <c r="Y80" s="5">
        <f>VLOOKUP(C80,[2]两年对比终版!$A:$N,14,0)</f>
        <v>0</v>
      </c>
      <c r="Z80" s="5"/>
      <c r="AA80" s="6" t="e">
        <f t="shared" si="29"/>
        <v>#DIV/0!</v>
      </c>
      <c r="AB80" s="3">
        <v>300</v>
      </c>
      <c r="AC80" s="3">
        <v>7.1211200000000003</v>
      </c>
      <c r="AD80" s="3">
        <f>VLOOKUP(C80,'[1]5月25-5月31日汇总'!$C:$G,5,0)</f>
        <v>0</v>
      </c>
      <c r="AE80" s="3">
        <f>VLOOKUP(C80,'[1]6月汇总'!$C:$G,5,0)</f>
        <v>160</v>
      </c>
      <c r="AF80" s="3">
        <f t="shared" si="30"/>
        <v>167.12111999999999</v>
      </c>
      <c r="AG80" s="5">
        <f>VLOOKUP(C80,[2]两年对比终版!$A:$Q,17,0)</f>
        <v>0</v>
      </c>
      <c r="AH80" s="5"/>
      <c r="AI80" s="6">
        <f t="shared" si="31"/>
        <v>0.55707039999999997</v>
      </c>
      <c r="AJ80" s="3">
        <v>0</v>
      </c>
      <c r="AK80" s="3">
        <v>0</v>
      </c>
      <c r="AL80" s="3">
        <f>VLOOKUP(C80,'[1]5月25-5月31日汇总'!$C:$H,6,0)</f>
        <v>0</v>
      </c>
      <c r="AM80" s="3">
        <f>VLOOKUP(C80,'[1]6月汇总'!$C:$I,6,0)</f>
        <v>0</v>
      </c>
      <c r="AN80" s="3">
        <f t="shared" si="32"/>
        <v>0</v>
      </c>
      <c r="AO80" s="5">
        <f>VLOOKUP(C80,[2]两年对比终版!$A:$T,20,0)</f>
        <v>0</v>
      </c>
      <c r="AP80" s="5"/>
      <c r="AQ80" s="6" t="e">
        <f t="shared" si="33"/>
        <v>#DIV/0!</v>
      </c>
      <c r="AR80" s="3">
        <v>300</v>
      </c>
      <c r="AS80" s="3">
        <v>7.1211200000000003</v>
      </c>
      <c r="AT80" s="3">
        <f>VLOOKUP(C80,'[1]5月25-5月31日汇总'!$C:$I,7,0)</f>
        <v>0</v>
      </c>
      <c r="AU80" s="3">
        <f>VLOOKUP(C80,'[1]6月汇总'!$C:$I,7,0)</f>
        <v>0</v>
      </c>
      <c r="AV80" s="3">
        <f t="shared" si="34"/>
        <v>7.1211200000000003</v>
      </c>
      <c r="AW80" s="5">
        <f>VLOOKUP(C80,[2]两年对比终版!$A:$X,23,0)</f>
        <v>0</v>
      </c>
      <c r="AX80" s="5"/>
      <c r="AY80" s="6">
        <f t="shared" si="35"/>
        <v>2.3737066666666667E-2</v>
      </c>
      <c r="AZ80" s="3">
        <v>285</v>
      </c>
      <c r="BA80" s="3">
        <v>0</v>
      </c>
      <c r="BB80" s="3"/>
      <c r="BC80" s="3"/>
      <c r="BD80" s="3">
        <f t="shared" si="36"/>
        <v>0</v>
      </c>
      <c r="BE80" s="5">
        <f>VLOOKUP(C80,[2]两年对比终版!$A:$AD,30,0)</f>
        <v>0</v>
      </c>
      <c r="BF80" s="6">
        <f t="shared" si="37"/>
        <v>0</v>
      </c>
    </row>
    <row r="81" spans="1:58" hidden="1" x14ac:dyDescent="0.15">
      <c r="A81" s="2">
        <v>69</v>
      </c>
      <c r="B81" s="2" t="s">
        <v>96</v>
      </c>
      <c r="C81" s="2" t="s">
        <v>100</v>
      </c>
      <c r="D81" s="3">
        <v>0</v>
      </c>
      <c r="E81" s="3">
        <v>0</v>
      </c>
      <c r="F81" s="3">
        <f>VLOOKUP(C81,'[1]5月25-5月31日汇总'!$C:$D,2,0)</f>
        <v>0</v>
      </c>
      <c r="G81" s="3">
        <f>VLOOKUP(C81,'[1]6月汇总'!$C:$D,2,0)</f>
        <v>0</v>
      </c>
      <c r="H81" s="3">
        <f t="shared" si="24"/>
        <v>0</v>
      </c>
      <c r="I81" s="5">
        <f>VLOOKUP(C81,[2]两年对比终版!$A:$C,3,0)</f>
        <v>0</v>
      </c>
      <c r="J81" s="5"/>
      <c r="K81" s="6" t="e">
        <f t="shared" si="25"/>
        <v>#DIV/0!</v>
      </c>
      <c r="L81" s="3">
        <v>4800</v>
      </c>
      <c r="M81" s="3">
        <v>1499.58545510197</v>
      </c>
      <c r="N81" s="3">
        <f>VLOOKUP(C81,'[1]5月25-5月31日汇总'!$C:$E,3,0)</f>
        <v>245</v>
      </c>
      <c r="O81" s="3">
        <f>VLOOKUP(C81,'[1]6月汇总'!$C:$E,3,0)</f>
        <v>415</v>
      </c>
      <c r="P81" s="3">
        <f t="shared" si="26"/>
        <v>2159.5854551019702</v>
      </c>
      <c r="Q81" s="5">
        <f>VLOOKUP(C81,[2]两年对比终版!$A:$F,6,0)</f>
        <v>2015.4942814075</v>
      </c>
      <c r="R81" s="5"/>
      <c r="S81" s="6">
        <f t="shared" si="27"/>
        <v>0.44991363647957711</v>
      </c>
      <c r="T81" s="3">
        <v>0</v>
      </c>
      <c r="U81" s="3">
        <v>0</v>
      </c>
      <c r="V81" s="3">
        <f>VLOOKUP(C81,'[1]5月25-5月31日汇总'!$C:$F,4,0)</f>
        <v>0</v>
      </c>
      <c r="W81" s="3">
        <f>VLOOKUP(C81,'[1]6月汇总'!$C:$F,4,0)</f>
        <v>0</v>
      </c>
      <c r="X81" s="3">
        <f t="shared" si="28"/>
        <v>0</v>
      </c>
      <c r="Y81" s="5">
        <f>VLOOKUP(C81,[2]两年对比终版!$A:$N,14,0)</f>
        <v>0</v>
      </c>
      <c r="Z81" s="5"/>
      <c r="AA81" s="6" t="e">
        <f t="shared" si="29"/>
        <v>#DIV/0!</v>
      </c>
      <c r="AB81" s="3">
        <v>2000</v>
      </c>
      <c r="AC81" s="3">
        <v>598.79237372398404</v>
      </c>
      <c r="AD81" s="3">
        <f>VLOOKUP(C81,'[1]5月25-5月31日汇总'!$C:$G,5,0)</f>
        <v>20</v>
      </c>
      <c r="AE81" s="3">
        <f>VLOOKUP(C81,'[1]6月汇总'!$C:$G,5,0)</f>
        <v>290</v>
      </c>
      <c r="AF81" s="3">
        <f t="shared" si="30"/>
        <v>908.79237372398404</v>
      </c>
      <c r="AG81" s="5">
        <f>VLOOKUP(C81,[2]两年对比终版!$A:$Q,17,0)</f>
        <v>752.97</v>
      </c>
      <c r="AH81" s="5"/>
      <c r="AI81" s="6">
        <f t="shared" si="31"/>
        <v>0.45439618686199201</v>
      </c>
      <c r="AJ81" s="3">
        <v>0</v>
      </c>
      <c r="AK81" s="3">
        <v>0</v>
      </c>
      <c r="AL81" s="3">
        <f>VLOOKUP(C81,'[1]5月25-5月31日汇总'!$C:$H,6,0)</f>
        <v>0</v>
      </c>
      <c r="AM81" s="3">
        <f>VLOOKUP(C81,'[1]6月汇总'!$C:$I,6,0)</f>
        <v>0</v>
      </c>
      <c r="AN81" s="3">
        <f t="shared" si="32"/>
        <v>0</v>
      </c>
      <c r="AO81" s="5">
        <f>VLOOKUP(C81,[2]两年对比终版!$A:$T,20,0)</f>
        <v>0</v>
      </c>
      <c r="AP81" s="5"/>
      <c r="AQ81" s="6" t="e">
        <f t="shared" si="33"/>
        <v>#DIV/0!</v>
      </c>
      <c r="AR81" s="3">
        <v>2000</v>
      </c>
      <c r="AS81" s="3">
        <v>524.43510000000003</v>
      </c>
      <c r="AT81" s="3">
        <f>VLOOKUP(C81,'[1]5月25-5月31日汇总'!$C:$I,7,0)</f>
        <v>13</v>
      </c>
      <c r="AU81" s="3">
        <f>VLOOKUP(C81,'[1]6月汇总'!$C:$I,7,0)</f>
        <v>106.39</v>
      </c>
      <c r="AV81" s="3">
        <f t="shared" si="34"/>
        <v>643.82510000000002</v>
      </c>
      <c r="AW81" s="5">
        <f>VLOOKUP(C81,[2]两年对比终版!$A:$X,23,0)</f>
        <v>752.97</v>
      </c>
      <c r="AX81" s="5"/>
      <c r="AY81" s="6">
        <f t="shared" si="35"/>
        <v>0.32191255000000002</v>
      </c>
      <c r="AZ81" s="3">
        <v>1900</v>
      </c>
      <c r="BA81" s="3">
        <v>0</v>
      </c>
      <c r="BB81" s="3"/>
      <c r="BC81" s="3"/>
      <c r="BD81" s="3">
        <f t="shared" si="36"/>
        <v>0</v>
      </c>
      <c r="BE81" s="5">
        <f>VLOOKUP(C81,[2]两年对比终版!$A:$AD,30,0)</f>
        <v>752.97</v>
      </c>
      <c r="BF81" s="6">
        <f t="shared" si="37"/>
        <v>0</v>
      </c>
    </row>
    <row r="82" spans="1:58" hidden="1" x14ac:dyDescent="0.15">
      <c r="A82" s="2">
        <v>70</v>
      </c>
      <c r="B82" s="2" t="s">
        <v>96</v>
      </c>
      <c r="C82" s="2" t="s">
        <v>101</v>
      </c>
      <c r="D82" s="3">
        <v>0</v>
      </c>
      <c r="E82" s="3">
        <v>0</v>
      </c>
      <c r="F82" s="3">
        <f>VLOOKUP(C82,'[1]5月25-5月31日汇总'!$C:$D,2,0)</f>
        <v>0</v>
      </c>
      <c r="G82" s="3">
        <f>VLOOKUP(C82,'[1]6月汇总'!$C:$D,2,0)</f>
        <v>0</v>
      </c>
      <c r="H82" s="3">
        <f t="shared" si="24"/>
        <v>0</v>
      </c>
      <c r="I82" s="5">
        <f>VLOOKUP(C82,[2]两年对比终版!$A:$C,3,0)</f>
        <v>0</v>
      </c>
      <c r="J82" s="5"/>
      <c r="K82" s="6" t="e">
        <f t="shared" si="25"/>
        <v>#DIV/0!</v>
      </c>
      <c r="L82" s="3">
        <v>2400</v>
      </c>
      <c r="M82" s="3">
        <v>635.10064687500005</v>
      </c>
      <c r="N82" s="3">
        <f>VLOOKUP(C82,'[1]5月25-5月31日汇总'!$C:$E,3,0)</f>
        <v>122.5</v>
      </c>
      <c r="O82" s="3">
        <f>VLOOKUP(C82,'[1]6月汇总'!$C:$E,3,0)</f>
        <v>393</v>
      </c>
      <c r="P82" s="3">
        <f t="shared" si="26"/>
        <v>1150.6006468750002</v>
      </c>
      <c r="Q82" s="5">
        <f>VLOOKUP(C82,[2]两年对比终版!$A:$F,6,0)</f>
        <v>0</v>
      </c>
      <c r="R82" s="5"/>
      <c r="S82" s="6">
        <f t="shared" si="27"/>
        <v>0.47941693619791675</v>
      </c>
      <c r="T82" s="3">
        <v>0</v>
      </c>
      <c r="U82" s="3">
        <v>0</v>
      </c>
      <c r="V82" s="3">
        <f>VLOOKUP(C82,'[1]5月25-5月31日汇总'!$C:$F,4,0)</f>
        <v>0</v>
      </c>
      <c r="W82" s="3">
        <f>VLOOKUP(C82,'[1]6月汇总'!$C:$F,4,0)</f>
        <v>0</v>
      </c>
      <c r="X82" s="3">
        <f t="shared" si="28"/>
        <v>0</v>
      </c>
      <c r="Y82" s="5">
        <f>VLOOKUP(C82,[2]两年对比终版!$A:$N,14,0)</f>
        <v>0</v>
      </c>
      <c r="Z82" s="5"/>
      <c r="AA82" s="6" t="e">
        <f t="shared" si="29"/>
        <v>#DIV/0!</v>
      </c>
      <c r="AB82" s="3">
        <v>1000</v>
      </c>
      <c r="AC82" s="3">
        <v>30.39004375</v>
      </c>
      <c r="AD82" s="3">
        <f>VLOOKUP(C82,'[1]5月25-5月31日汇总'!$C:$G,5,0)</f>
        <v>10</v>
      </c>
      <c r="AE82" s="3">
        <f>VLOOKUP(C82,'[1]6月汇总'!$C:$G,5,0)</f>
        <v>450</v>
      </c>
      <c r="AF82" s="3">
        <f t="shared" si="30"/>
        <v>490.39004375000002</v>
      </c>
      <c r="AG82" s="5">
        <f>VLOOKUP(C82,[2]两年对比终版!$A:$Q,17,0)</f>
        <v>0</v>
      </c>
      <c r="AH82" s="5"/>
      <c r="AI82" s="6">
        <f t="shared" si="31"/>
        <v>0.49039004375</v>
      </c>
      <c r="AJ82" s="3">
        <v>0</v>
      </c>
      <c r="AK82" s="3">
        <v>0</v>
      </c>
      <c r="AL82" s="3">
        <f>VLOOKUP(C82,'[1]5月25-5月31日汇总'!$C:$H,6,0)</f>
        <v>0</v>
      </c>
      <c r="AM82" s="3">
        <f>VLOOKUP(C82,'[1]6月汇总'!$C:$I,6,0)</f>
        <v>0</v>
      </c>
      <c r="AN82" s="3">
        <f t="shared" si="32"/>
        <v>0</v>
      </c>
      <c r="AO82" s="5">
        <f>VLOOKUP(C82,[2]两年对比终版!$A:$T,20,0)</f>
        <v>0</v>
      </c>
      <c r="AP82" s="5"/>
      <c r="AQ82" s="6" t="e">
        <f t="shared" si="33"/>
        <v>#DIV/0!</v>
      </c>
      <c r="AR82" s="3">
        <v>1000</v>
      </c>
      <c r="AS82" s="3">
        <v>6.8597999999999999</v>
      </c>
      <c r="AT82" s="3">
        <f>VLOOKUP(C82,'[1]5月25-5月31日汇总'!$C:$I,7,0)</f>
        <v>0</v>
      </c>
      <c r="AU82" s="3">
        <f>VLOOKUP(C82,'[1]6月汇总'!$C:$I,7,0)</f>
        <v>53</v>
      </c>
      <c r="AV82" s="3">
        <f t="shared" si="34"/>
        <v>59.8598</v>
      </c>
      <c r="AW82" s="5">
        <f>VLOOKUP(C82,[2]两年对比终版!$A:$X,23,0)</f>
        <v>0</v>
      </c>
      <c r="AX82" s="5"/>
      <c r="AY82" s="6">
        <f t="shared" si="35"/>
        <v>5.9859799999999998E-2</v>
      </c>
      <c r="AZ82" s="3">
        <v>950</v>
      </c>
      <c r="BA82" s="3">
        <v>0</v>
      </c>
      <c r="BB82" s="3"/>
      <c r="BC82" s="3"/>
      <c r="BD82" s="3">
        <f t="shared" si="36"/>
        <v>0</v>
      </c>
      <c r="BE82" s="5">
        <f>VLOOKUP(C82,[2]两年对比终版!$A:$AD,30,0)</f>
        <v>0</v>
      </c>
      <c r="BF82" s="6">
        <f t="shared" si="37"/>
        <v>0</v>
      </c>
    </row>
    <row r="83" spans="1:58" hidden="1" x14ac:dyDescent="0.15">
      <c r="A83" s="2">
        <v>71</v>
      </c>
      <c r="B83" s="2" t="s">
        <v>96</v>
      </c>
      <c r="C83" s="2" t="s">
        <v>102</v>
      </c>
      <c r="D83" s="3">
        <v>0</v>
      </c>
      <c r="E83" s="3">
        <v>0</v>
      </c>
      <c r="F83" s="3">
        <f>VLOOKUP(C83,'[1]5月25-5月31日汇总'!$C:$D,2,0)</f>
        <v>0</v>
      </c>
      <c r="G83" s="3">
        <f>VLOOKUP(C83,'[1]6月汇总'!$C:$D,2,0)</f>
        <v>0</v>
      </c>
      <c r="H83" s="3">
        <f t="shared" si="24"/>
        <v>0</v>
      </c>
      <c r="I83" s="5">
        <f>VLOOKUP(C83,[2]两年对比终版!$A:$C,3,0)</f>
        <v>0</v>
      </c>
      <c r="J83" s="5"/>
      <c r="K83" s="6" t="e">
        <f t="shared" si="25"/>
        <v>#DIV/0!</v>
      </c>
      <c r="L83" s="3">
        <v>1960</v>
      </c>
      <c r="M83" s="3">
        <v>713.15364899999997</v>
      </c>
      <c r="N83" s="3">
        <f>VLOOKUP(C83,'[1]5月25-5月31日汇总'!$C:$E,3,0)</f>
        <v>110</v>
      </c>
      <c r="O83" s="3">
        <f>VLOOKUP(C83,'[1]6月汇总'!$C:$E,3,0)</f>
        <v>190</v>
      </c>
      <c r="P83" s="3">
        <f t="shared" si="26"/>
        <v>1013.153649</v>
      </c>
      <c r="Q83" s="5">
        <f>VLOOKUP(C83,[2]两年对比终版!$A:$F,6,0)</f>
        <v>272.31968899999998</v>
      </c>
      <c r="R83" s="5"/>
      <c r="S83" s="6">
        <f t="shared" si="27"/>
        <v>0.51691512704081632</v>
      </c>
      <c r="T83" s="3">
        <v>0</v>
      </c>
      <c r="U83" s="3">
        <v>0</v>
      </c>
      <c r="V83" s="3">
        <f>VLOOKUP(C83,'[1]5月25-5月31日汇总'!$C:$F,4,0)</f>
        <v>0</v>
      </c>
      <c r="W83" s="3">
        <f>VLOOKUP(C83,'[1]6月汇总'!$C:$F,4,0)</f>
        <v>0</v>
      </c>
      <c r="X83" s="3">
        <f t="shared" si="28"/>
        <v>0</v>
      </c>
      <c r="Y83" s="5">
        <f>VLOOKUP(C83,[2]两年对比终版!$A:$N,14,0)</f>
        <v>0</v>
      </c>
      <c r="Z83" s="5"/>
      <c r="AA83" s="6" t="e">
        <f t="shared" si="29"/>
        <v>#DIV/0!</v>
      </c>
      <c r="AB83" s="3">
        <v>1000</v>
      </c>
      <c r="AC83" s="3">
        <v>294.01467300000002</v>
      </c>
      <c r="AD83" s="3">
        <f>VLOOKUP(C83,'[1]5月25-5月31日汇总'!$C:$G,5,0)</f>
        <v>50</v>
      </c>
      <c r="AE83" s="3">
        <f>VLOOKUP(C83,'[1]6月汇总'!$C:$G,5,0)</f>
        <v>100</v>
      </c>
      <c r="AF83" s="3">
        <f t="shared" si="30"/>
        <v>444.01467300000002</v>
      </c>
      <c r="AG83" s="5">
        <f>VLOOKUP(C83,[2]两年对比终版!$A:$Q,17,0)</f>
        <v>272.31968899999998</v>
      </c>
      <c r="AH83" s="5"/>
      <c r="AI83" s="6">
        <f t="shared" si="31"/>
        <v>0.44401467300000003</v>
      </c>
      <c r="AJ83" s="3">
        <v>0</v>
      </c>
      <c r="AK83" s="3">
        <v>0</v>
      </c>
      <c r="AL83" s="3">
        <f>VLOOKUP(C83,'[1]5月25-5月31日汇总'!$C:$H,6,0)</f>
        <v>0</v>
      </c>
      <c r="AM83" s="3">
        <f>VLOOKUP(C83,'[1]6月汇总'!$C:$I,6,0)</f>
        <v>0</v>
      </c>
      <c r="AN83" s="3">
        <f t="shared" si="32"/>
        <v>0</v>
      </c>
      <c r="AO83" s="5" t="str">
        <f>VLOOKUP(C83,[2]两年对比终版!$A:$T,20,0)</f>
        <v>-</v>
      </c>
      <c r="AP83" s="5"/>
      <c r="AQ83" s="6" t="e">
        <f t="shared" si="33"/>
        <v>#DIV/0!</v>
      </c>
      <c r="AR83" s="3">
        <v>1000</v>
      </c>
      <c r="AS83" s="3">
        <v>45.716740000000001</v>
      </c>
      <c r="AT83" s="3">
        <f>VLOOKUP(C83,'[1]5月25-5月31日汇总'!$C:$I,7,0)</f>
        <v>20</v>
      </c>
      <c r="AU83" s="3">
        <f>VLOOKUP(C83,'[1]6月汇总'!$C:$I,7,0)</f>
        <v>100</v>
      </c>
      <c r="AV83" s="3">
        <f t="shared" si="34"/>
        <v>165.71674000000002</v>
      </c>
      <c r="AW83" s="5">
        <f>VLOOKUP(C83,[2]两年对比终版!$A:$X,23,0)</f>
        <v>153.30144100000001</v>
      </c>
      <c r="AX83" s="5"/>
      <c r="AY83" s="6">
        <f t="shared" si="35"/>
        <v>0.16571674000000003</v>
      </c>
      <c r="AZ83" s="3">
        <v>950</v>
      </c>
      <c r="BA83" s="3">
        <v>0</v>
      </c>
      <c r="BB83" s="3"/>
      <c r="BC83" s="3"/>
      <c r="BD83" s="3">
        <f t="shared" si="36"/>
        <v>0</v>
      </c>
      <c r="BE83" s="5">
        <f>VLOOKUP(C83,[2]两年对比终版!$A:$AD,30,0)</f>
        <v>175.72447038803099</v>
      </c>
      <c r="BF83" s="6">
        <f t="shared" si="37"/>
        <v>0</v>
      </c>
    </row>
    <row r="84" spans="1:58" x14ac:dyDescent="0.15">
      <c r="A84" s="16" t="s">
        <v>103</v>
      </c>
      <c r="B84" s="12"/>
      <c r="C84" s="17"/>
      <c r="D84" s="4">
        <f t="shared" ref="D84:I84" si="48">SUM(D78:D83)</f>
        <v>0</v>
      </c>
      <c r="E84" s="4">
        <f t="shared" si="48"/>
        <v>0</v>
      </c>
      <c r="F84" s="4">
        <f t="shared" si="48"/>
        <v>0</v>
      </c>
      <c r="G84" s="4">
        <f t="shared" si="48"/>
        <v>0</v>
      </c>
      <c r="H84" s="4">
        <f t="shared" si="48"/>
        <v>0</v>
      </c>
      <c r="I84" s="7">
        <f t="shared" si="48"/>
        <v>0</v>
      </c>
      <c r="J84" s="10" t="e">
        <f t="shared" ref="J84:J85" si="49">(H84-I84)/I84</f>
        <v>#DIV/0!</v>
      </c>
      <c r="K84" s="8" t="e">
        <f>H84/D84</f>
        <v>#DIV/0!</v>
      </c>
      <c r="L84" s="4">
        <f t="shared" ref="L84:BE84" si="50">SUM(L78:L83)</f>
        <v>12002</v>
      </c>
      <c r="M84" s="4">
        <f t="shared" si="50"/>
        <v>3623.0557509769701</v>
      </c>
      <c r="N84" s="4">
        <f t="shared" si="50"/>
        <v>766.5</v>
      </c>
      <c r="O84" s="4">
        <f t="shared" si="50"/>
        <v>1367</v>
      </c>
      <c r="P84" s="4">
        <f t="shared" si="50"/>
        <v>5756.5557509769696</v>
      </c>
      <c r="Q84" s="7">
        <f t="shared" si="50"/>
        <v>4018.2383054474999</v>
      </c>
      <c r="R84" s="10">
        <f t="shared" ref="R84" si="51">(P84-Q84)/Q84</f>
        <v>0.43260685738146587</v>
      </c>
      <c r="S84" s="8">
        <f>P84/L84</f>
        <v>0.4796330404080128</v>
      </c>
      <c r="T84" s="4">
        <f t="shared" si="50"/>
        <v>0</v>
      </c>
      <c r="U84" s="4">
        <f t="shared" si="50"/>
        <v>0</v>
      </c>
      <c r="V84" s="4">
        <f t="shared" si="50"/>
        <v>0</v>
      </c>
      <c r="W84" s="4">
        <f t="shared" si="50"/>
        <v>0</v>
      </c>
      <c r="X84" s="4">
        <f t="shared" si="50"/>
        <v>0</v>
      </c>
      <c r="Y84" s="7">
        <f t="shared" si="50"/>
        <v>0</v>
      </c>
      <c r="Z84" s="10" t="e">
        <f t="shared" ref="Z84:Z85" si="52">(X84-Y84)/Y84</f>
        <v>#DIV/0!</v>
      </c>
      <c r="AA84" s="8" t="e">
        <f>X84/T84</f>
        <v>#DIV/0!</v>
      </c>
      <c r="AB84" s="4">
        <f t="shared" si="50"/>
        <v>5200</v>
      </c>
      <c r="AC84" s="4">
        <f t="shared" si="50"/>
        <v>1108.7322104739842</v>
      </c>
      <c r="AD84" s="4">
        <f t="shared" si="50"/>
        <v>100</v>
      </c>
      <c r="AE84" s="4">
        <f t="shared" si="50"/>
        <v>1206</v>
      </c>
      <c r="AF84" s="4">
        <f t="shared" si="50"/>
        <v>2414.7322104739842</v>
      </c>
      <c r="AG84" s="7">
        <f t="shared" si="50"/>
        <v>1513.5960635207</v>
      </c>
      <c r="AH84" s="10">
        <f t="shared" ref="AH84" si="53">(AF84-AG84)/AG84</f>
        <v>0.59536105350141866</v>
      </c>
      <c r="AI84" s="8">
        <f>AF84/AB84</f>
        <v>0.46437157893730463</v>
      </c>
      <c r="AJ84" s="4">
        <f t="shared" si="50"/>
        <v>0</v>
      </c>
      <c r="AK84" s="4">
        <f t="shared" si="50"/>
        <v>0</v>
      </c>
      <c r="AL84" s="4">
        <f t="shared" si="50"/>
        <v>0</v>
      </c>
      <c r="AM84" s="4">
        <f t="shared" si="50"/>
        <v>0</v>
      </c>
      <c r="AN84" s="4">
        <f t="shared" si="50"/>
        <v>0</v>
      </c>
      <c r="AO84" s="7">
        <f t="shared" si="50"/>
        <v>0</v>
      </c>
      <c r="AP84" s="10" t="e">
        <f t="shared" ref="AP84:AP85" si="54">(AN84-AO84)/AO84</f>
        <v>#DIV/0!</v>
      </c>
      <c r="AQ84" s="8" t="e">
        <f>AN84/AJ84</f>
        <v>#DIV/0!</v>
      </c>
      <c r="AR84" s="4">
        <f t="shared" si="50"/>
        <v>5200</v>
      </c>
      <c r="AS84" s="4">
        <f t="shared" si="50"/>
        <v>622.67995999999994</v>
      </c>
      <c r="AT84" s="4">
        <f t="shared" si="50"/>
        <v>41</v>
      </c>
      <c r="AU84" s="4">
        <f t="shared" si="50"/>
        <v>381.39</v>
      </c>
      <c r="AV84" s="4">
        <f t="shared" si="50"/>
        <v>1045.06996</v>
      </c>
      <c r="AW84" s="7">
        <f t="shared" si="50"/>
        <v>1394.5778155207001</v>
      </c>
      <c r="AX84" s="10">
        <f t="shared" ref="AX84:AX85" si="55">(AV84-AW84)/AW84</f>
        <v>-0.25061911327637371</v>
      </c>
      <c r="AY84" s="8">
        <f>AV84/AR84</f>
        <v>0.20097499230769231</v>
      </c>
      <c r="AZ84" s="4">
        <f t="shared" si="50"/>
        <v>4940</v>
      </c>
      <c r="BA84" s="4">
        <f t="shared" si="50"/>
        <v>0</v>
      </c>
      <c r="BB84" s="4">
        <f t="shared" si="50"/>
        <v>0</v>
      </c>
      <c r="BC84" s="4">
        <f t="shared" si="50"/>
        <v>0</v>
      </c>
      <c r="BD84" s="4">
        <f t="shared" si="50"/>
        <v>0</v>
      </c>
      <c r="BE84" s="7">
        <f t="shared" si="50"/>
        <v>1417.0008449087311</v>
      </c>
      <c r="BF84" s="8">
        <f>BD84/AZ84</f>
        <v>0</v>
      </c>
    </row>
    <row r="85" spans="1:58" x14ac:dyDescent="0.15">
      <c r="A85" s="16" t="s">
        <v>104</v>
      </c>
      <c r="B85" s="12"/>
      <c r="C85" s="17"/>
      <c r="D85" s="4">
        <f t="shared" ref="D85:BE85" si="56">D15+D25+D37+D47+D56+D66+D73+D77+D84</f>
        <v>15930</v>
      </c>
      <c r="E85" s="4">
        <f t="shared" si="56"/>
        <v>4868</v>
      </c>
      <c r="F85" s="4">
        <f t="shared" si="56"/>
        <v>514</v>
      </c>
      <c r="G85" s="4">
        <f t="shared" si="56"/>
        <v>1758</v>
      </c>
      <c r="H85" s="4">
        <f t="shared" si="56"/>
        <v>7140</v>
      </c>
      <c r="I85" s="9">
        <f t="shared" si="56"/>
        <v>7711</v>
      </c>
      <c r="J85" s="10">
        <f t="shared" si="49"/>
        <v>-7.4050058358189605E-2</v>
      </c>
      <c r="K85" s="8">
        <f>H85/D85</f>
        <v>0.44821092278719399</v>
      </c>
      <c r="L85" s="4">
        <f t="shared" si="56"/>
        <v>245000.01699999999</v>
      </c>
      <c r="M85" s="4">
        <f t="shared" si="56"/>
        <v>73426.927250976965</v>
      </c>
      <c r="N85" s="4">
        <f t="shared" si="56"/>
        <v>8962.1167999999998</v>
      </c>
      <c r="O85" s="4">
        <f t="shared" si="56"/>
        <v>21050.517200000002</v>
      </c>
      <c r="P85" s="4">
        <f t="shared" si="56"/>
        <v>103439.56125097699</v>
      </c>
      <c r="Q85" s="9">
        <f t="shared" si="56"/>
        <v>111158.54658744743</v>
      </c>
      <c r="R85" s="10">
        <f>(P85-Q85)/Q85</f>
        <v>-6.9441222231148819E-2</v>
      </c>
      <c r="S85" s="8">
        <f>P85/L85</f>
        <v>0.42220226152464713</v>
      </c>
      <c r="T85" s="4">
        <f t="shared" si="56"/>
        <v>6500.3197</v>
      </c>
      <c r="U85" s="4">
        <f t="shared" si="56"/>
        <v>1859</v>
      </c>
      <c r="V85" s="4">
        <f t="shared" si="56"/>
        <v>107</v>
      </c>
      <c r="W85" s="4">
        <f t="shared" si="56"/>
        <v>582</v>
      </c>
      <c r="X85" s="4">
        <f t="shared" si="56"/>
        <v>2548</v>
      </c>
      <c r="Y85" s="9">
        <f t="shared" si="56"/>
        <v>2387</v>
      </c>
      <c r="Z85" s="10">
        <f t="shared" si="52"/>
        <v>6.7448680351906154E-2</v>
      </c>
      <c r="AA85" s="8">
        <f>X85/T85</f>
        <v>0.39198072057902011</v>
      </c>
      <c r="AB85" s="4">
        <f t="shared" si="56"/>
        <v>100000.413</v>
      </c>
      <c r="AC85" s="4">
        <f t="shared" si="56"/>
        <v>29600.004010473989</v>
      </c>
      <c r="AD85" s="4">
        <f t="shared" si="56"/>
        <v>1539.64</v>
      </c>
      <c r="AE85" s="4">
        <f t="shared" si="56"/>
        <v>7514.4360000000006</v>
      </c>
      <c r="AF85" s="4">
        <f t="shared" si="56"/>
        <v>38654.08001047399</v>
      </c>
      <c r="AG85" s="9">
        <f t="shared" si="56"/>
        <v>36453.58034052069</v>
      </c>
      <c r="AH85" s="10">
        <f>(AF85-AG85)/AG85</f>
        <v>6.0364431954226784E-2</v>
      </c>
      <c r="AI85" s="8">
        <f>AF85/AB85</f>
        <v>0.38653920369782863</v>
      </c>
      <c r="AJ85" s="4">
        <f t="shared" si="56"/>
        <v>6500.3197</v>
      </c>
      <c r="AK85" s="4">
        <f t="shared" si="56"/>
        <v>1439</v>
      </c>
      <c r="AL85" s="4">
        <f t="shared" si="56"/>
        <v>57</v>
      </c>
      <c r="AM85" s="4">
        <f t="shared" si="56"/>
        <v>673</v>
      </c>
      <c r="AN85" s="4">
        <f t="shared" si="56"/>
        <v>2169</v>
      </c>
      <c r="AO85" s="9">
        <f t="shared" si="56"/>
        <v>1643</v>
      </c>
      <c r="AP85" s="10">
        <f t="shared" si="54"/>
        <v>0.32014607425441266</v>
      </c>
      <c r="AQ85" s="8">
        <f>AN85/AJ85</f>
        <v>0.33367589597170122</v>
      </c>
      <c r="AR85" s="4">
        <f t="shared" si="56"/>
        <v>100000.413</v>
      </c>
      <c r="AS85" s="4">
        <f t="shared" si="56"/>
        <v>25798.225360000004</v>
      </c>
      <c r="AT85" s="4">
        <f t="shared" si="56"/>
        <v>646.67000000000007</v>
      </c>
      <c r="AU85" s="4">
        <f t="shared" si="56"/>
        <v>8903.9823636000001</v>
      </c>
      <c r="AV85" s="4">
        <f t="shared" si="56"/>
        <v>35348.877723599995</v>
      </c>
      <c r="AW85" s="9">
        <f t="shared" si="56"/>
        <v>27286.975442520696</v>
      </c>
      <c r="AX85" s="10">
        <f t="shared" si="55"/>
        <v>0.29544873150421114</v>
      </c>
      <c r="AY85" s="8">
        <f>AV85/AR85</f>
        <v>0.35348731733337935</v>
      </c>
      <c r="AZ85" s="4">
        <f t="shared" si="56"/>
        <v>95000</v>
      </c>
      <c r="BA85" s="4">
        <f t="shared" si="56"/>
        <v>13012.734869999998</v>
      </c>
      <c r="BB85" s="4">
        <f t="shared" si="56"/>
        <v>0</v>
      </c>
      <c r="BC85" s="4">
        <f t="shared" si="56"/>
        <v>0</v>
      </c>
      <c r="BD85" s="4">
        <f t="shared" si="56"/>
        <v>13012.734869999998</v>
      </c>
      <c r="BE85" s="9">
        <f t="shared" si="56"/>
        <v>31987.644188834882</v>
      </c>
      <c r="BF85" s="8">
        <f>BD85/AZ85</f>
        <v>0.13697615652631578</v>
      </c>
    </row>
  </sheetData>
  <autoFilter ref="A4:BF85">
    <filterColumn colId="28">
      <colorFilter dxfId="0"/>
    </filterColumn>
  </autoFilter>
  <mergeCells count="21">
    <mergeCell ref="A56:C56"/>
    <mergeCell ref="A1:BF1"/>
    <mergeCell ref="A3:A4"/>
    <mergeCell ref="C3:C4"/>
    <mergeCell ref="D3:K3"/>
    <mergeCell ref="L3:S3"/>
    <mergeCell ref="T3:AA3"/>
    <mergeCell ref="AB3:AI3"/>
    <mergeCell ref="AJ3:AQ3"/>
    <mergeCell ref="AR3:AY3"/>
    <mergeCell ref="A47:C47"/>
    <mergeCell ref="A37:C37"/>
    <mergeCell ref="A25:C25"/>
    <mergeCell ref="A15:C15"/>
    <mergeCell ref="B3:B4"/>
    <mergeCell ref="AZ3:BF3"/>
    <mergeCell ref="A66:C66"/>
    <mergeCell ref="A73:C73"/>
    <mergeCell ref="A77:C77"/>
    <mergeCell ref="A84:C84"/>
    <mergeCell ref="A85:C85"/>
  </mergeCells>
  <phoneticPr fontId="5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85"/>
  <sheetViews>
    <sheetView workbookViewId="0">
      <pane xSplit="3" ySplit="4" topLeftCell="Z5" activePane="bottomRight" state="frozen"/>
      <selection pane="topRight"/>
      <selection pane="bottomLeft"/>
      <selection pane="bottomRight" activeCell="Z34" sqref="Z34"/>
    </sheetView>
  </sheetViews>
  <sheetFormatPr defaultColWidth="9" defaultRowHeight="13.5" x14ac:dyDescent="0.15"/>
  <cols>
    <col min="1" max="1" width="6" customWidth="1"/>
    <col min="2" max="2" width="8" customWidth="1"/>
    <col min="3" max="3" width="18" customWidth="1"/>
    <col min="4" max="45" width="10" customWidth="1"/>
    <col min="46" max="52" width="10" hidden="1" customWidth="1"/>
  </cols>
  <sheetData>
    <row r="1" spans="1:52" ht="18.75" x14ac:dyDescent="0.1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</row>
    <row r="2" spans="1:52" x14ac:dyDescent="0.15">
      <c r="AT2" t="s">
        <v>1</v>
      </c>
    </row>
    <row r="3" spans="1:52" x14ac:dyDescent="0.15">
      <c r="A3" s="15" t="s">
        <v>2</v>
      </c>
      <c r="B3" s="15" t="s">
        <v>3</v>
      </c>
      <c r="C3" s="15" t="s">
        <v>4</v>
      </c>
      <c r="D3" s="15" t="s">
        <v>5</v>
      </c>
      <c r="E3" s="12"/>
      <c r="F3" s="12"/>
      <c r="G3" s="12"/>
      <c r="H3" s="12"/>
      <c r="I3" s="12"/>
      <c r="J3" s="12"/>
      <c r="K3" s="15" t="s">
        <v>6</v>
      </c>
      <c r="L3" s="12"/>
      <c r="M3" s="12"/>
      <c r="N3" s="12"/>
      <c r="O3" s="12"/>
      <c r="P3" s="12"/>
      <c r="Q3" s="12"/>
      <c r="R3" s="15" t="s">
        <v>7</v>
      </c>
      <c r="S3" s="12"/>
      <c r="T3" s="12"/>
      <c r="U3" s="12"/>
      <c r="V3" s="12"/>
      <c r="W3" s="12"/>
      <c r="X3" s="12"/>
      <c r="Y3" s="15" t="s">
        <v>8</v>
      </c>
      <c r="Z3" s="12"/>
      <c r="AA3" s="12"/>
      <c r="AB3" s="12"/>
      <c r="AC3" s="12"/>
      <c r="AD3" s="12"/>
      <c r="AE3" s="12"/>
      <c r="AF3" s="15" t="s">
        <v>9</v>
      </c>
      <c r="AG3" s="12"/>
      <c r="AH3" s="12"/>
      <c r="AI3" s="12"/>
      <c r="AJ3" s="12"/>
      <c r="AK3" s="12"/>
      <c r="AL3" s="12"/>
      <c r="AM3" s="15" t="s">
        <v>10</v>
      </c>
      <c r="AN3" s="12"/>
      <c r="AO3" s="12"/>
      <c r="AP3" s="12"/>
      <c r="AQ3" s="12"/>
      <c r="AR3" s="12"/>
      <c r="AS3" s="12"/>
      <c r="AT3" s="15" t="s">
        <v>11</v>
      </c>
      <c r="AU3" s="12"/>
      <c r="AV3" s="12"/>
      <c r="AW3" s="12"/>
      <c r="AX3" s="12"/>
      <c r="AY3" s="12"/>
      <c r="AZ3" s="12"/>
    </row>
    <row r="4" spans="1:52" x14ac:dyDescent="0.15">
      <c r="A4" s="12"/>
      <c r="B4" s="12"/>
      <c r="C4" s="12"/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12</v>
      </c>
      <c r="S4" s="1" t="s">
        <v>13</v>
      </c>
      <c r="T4" s="1" t="s">
        <v>14</v>
      </c>
      <c r="U4" s="1" t="s">
        <v>15</v>
      </c>
      <c r="V4" s="1" t="s">
        <v>16</v>
      </c>
      <c r="W4" s="1" t="s">
        <v>17</v>
      </c>
      <c r="X4" s="1" t="s">
        <v>18</v>
      </c>
      <c r="Y4" s="1" t="s">
        <v>12</v>
      </c>
      <c r="Z4" s="1" t="s">
        <v>13</v>
      </c>
      <c r="AA4" s="1" t="s">
        <v>14</v>
      </c>
      <c r="AB4" s="1" t="s">
        <v>15</v>
      </c>
      <c r="AC4" s="1" t="s">
        <v>16</v>
      </c>
      <c r="AD4" s="1" t="s">
        <v>17</v>
      </c>
      <c r="AE4" s="1" t="s">
        <v>18</v>
      </c>
      <c r="AF4" s="1" t="s">
        <v>12</v>
      </c>
      <c r="AG4" s="1" t="s">
        <v>13</v>
      </c>
      <c r="AH4" s="1" t="s">
        <v>14</v>
      </c>
      <c r="AI4" s="1" t="s">
        <v>15</v>
      </c>
      <c r="AJ4" s="1" t="s">
        <v>16</v>
      </c>
      <c r="AK4" s="1" t="s">
        <v>17</v>
      </c>
      <c r="AL4" s="1" t="s">
        <v>18</v>
      </c>
      <c r="AM4" s="1" t="s">
        <v>12</v>
      </c>
      <c r="AN4" s="1" t="s">
        <v>13</v>
      </c>
      <c r="AO4" s="1" t="s">
        <v>14</v>
      </c>
      <c r="AP4" s="1" t="s">
        <v>15</v>
      </c>
      <c r="AQ4" s="1" t="s">
        <v>16</v>
      </c>
      <c r="AR4" s="1" t="s">
        <v>17</v>
      </c>
      <c r="AS4" s="1" t="s">
        <v>18</v>
      </c>
      <c r="AT4" s="1" t="s">
        <v>12</v>
      </c>
      <c r="AU4" s="1" t="s">
        <v>13</v>
      </c>
      <c r="AV4" s="1" t="s">
        <v>14</v>
      </c>
      <c r="AW4" s="1" t="s">
        <v>15</v>
      </c>
      <c r="AX4" s="1" t="s">
        <v>16</v>
      </c>
      <c r="AY4" s="1" t="s">
        <v>17</v>
      </c>
      <c r="AZ4" s="1" t="s">
        <v>18</v>
      </c>
    </row>
    <row r="5" spans="1:52" x14ac:dyDescent="0.15">
      <c r="A5" s="2">
        <v>1</v>
      </c>
      <c r="B5" s="2" t="s">
        <v>19</v>
      </c>
      <c r="C5" s="2" t="s">
        <v>20</v>
      </c>
      <c r="D5" s="3">
        <v>1683</v>
      </c>
      <c r="E5" s="3">
        <v>437</v>
      </c>
      <c r="F5" s="3">
        <f>VLOOKUP(C5,'[1]5月25-5月31日汇总'!$C:$D,2,0)</f>
        <v>0</v>
      </c>
      <c r="G5" s="3">
        <f>VLOOKUP(C5,'[1]6月汇总'!$C:$D,2,0)</f>
        <v>100</v>
      </c>
      <c r="H5" s="3">
        <f>SUM(E5:G5)</f>
        <v>537</v>
      </c>
      <c r="I5" s="5">
        <f>VLOOKUP(C5,[2]两年对比终版!$A:$C,3,0)</f>
        <v>714</v>
      </c>
      <c r="J5" s="6">
        <f>H5/D5</f>
        <v>0.31907308377896598</v>
      </c>
      <c r="K5" s="3">
        <v>35680</v>
      </c>
      <c r="L5" s="3">
        <v>8416.64</v>
      </c>
      <c r="M5" s="3">
        <f>VLOOKUP(C5,'[1]5月25-5月31日汇总'!$C:$E,3,0)</f>
        <v>0</v>
      </c>
      <c r="N5" s="3">
        <f>VLOOKUP(C5,'[1]6月汇总'!$C:$E,3,0)</f>
        <v>1800</v>
      </c>
      <c r="O5" s="3">
        <f>SUM(L5:N5)</f>
        <v>10216.64</v>
      </c>
      <c r="P5" s="5">
        <f>VLOOKUP(C5,[2]两年对比终版!$A:$F,6,0)</f>
        <v>12662.34146</v>
      </c>
      <c r="Q5" s="6">
        <f>O5/K5</f>
        <v>0.28634080717488802</v>
      </c>
      <c r="R5" s="3">
        <v>750</v>
      </c>
      <c r="S5" s="3">
        <v>309</v>
      </c>
      <c r="T5" s="3">
        <f>VLOOKUP(C5,'[1]5月25-5月31日汇总'!$C:$F,4,0)</f>
        <v>0</v>
      </c>
      <c r="U5" s="3">
        <f>VLOOKUP(C5,'[1]6月汇总'!$C:$F,4,0)</f>
        <v>19</v>
      </c>
      <c r="V5" s="3">
        <f>SUM(S5:U5)</f>
        <v>328</v>
      </c>
      <c r="W5" s="5">
        <f>VLOOKUP(C5,[2]两年对比终版!$A:$N,14,0)</f>
        <v>371</v>
      </c>
      <c r="X5" s="6">
        <f>V5/R5</f>
        <v>0.43733333333333302</v>
      </c>
      <c r="Y5" s="3">
        <v>14500</v>
      </c>
      <c r="Z5" s="3">
        <v>5700.21</v>
      </c>
      <c r="AA5" s="3">
        <f>VLOOKUP(C5,'[1]5月25-5月31日汇总'!$C:$G,5,0)</f>
        <v>0</v>
      </c>
      <c r="AB5" s="3">
        <f>VLOOKUP(C5,'[1]6月汇总'!$C:$G,5,0)</f>
        <v>350</v>
      </c>
      <c r="AC5" s="3">
        <f>SUM(Z5:AB5)</f>
        <v>6050.21</v>
      </c>
      <c r="AD5" s="5">
        <f>VLOOKUP(C5,[2]两年对比终版!$A:$Q,17,0)</f>
        <v>6707.2803599999997</v>
      </c>
      <c r="AE5" s="6">
        <f>AC5/Y5</f>
        <v>0.41725586206896598</v>
      </c>
      <c r="AF5" s="3">
        <v>750</v>
      </c>
      <c r="AG5" s="3">
        <v>259</v>
      </c>
      <c r="AH5" s="3">
        <f>VLOOKUP(C5,'[1]5月25-5月31日汇总'!$C:$H,6,0)</f>
        <v>0</v>
      </c>
      <c r="AI5" s="3">
        <f>VLOOKUP(C5,'[1]6月汇总'!$C:$I,6,0)</f>
        <v>182</v>
      </c>
      <c r="AJ5" s="3">
        <f>SUM(AG5:AI5)</f>
        <v>441</v>
      </c>
      <c r="AK5" s="5">
        <f>VLOOKUP(C5,[2]两年对比终版!$A:$T,20,0)</f>
        <v>223</v>
      </c>
      <c r="AL5" s="6">
        <f>AJ5/AF5</f>
        <v>0.58799999999999997</v>
      </c>
      <c r="AM5" s="3">
        <v>14500</v>
      </c>
      <c r="AN5" s="3">
        <v>5724.95</v>
      </c>
      <c r="AO5" s="3">
        <f>VLOOKUP(C5,'[1]5月25-5月31日汇总'!$C:$I,7,0)</f>
        <v>0</v>
      </c>
      <c r="AP5" s="3">
        <f>VLOOKUP(C5,'[1]6月汇总'!$C:$I,7,0)</f>
        <v>2937</v>
      </c>
      <c r="AQ5" s="3">
        <f>SUM(AN5:AP5)</f>
        <v>8661.9500000000007</v>
      </c>
      <c r="AR5" s="5">
        <f>VLOOKUP(C5,[2]两年对比终版!$A:$X,23,0)</f>
        <v>4120.0565999999999</v>
      </c>
      <c r="AS5" s="6">
        <f>AQ5/AM5</f>
        <v>0.59737586206896598</v>
      </c>
      <c r="AT5" s="3">
        <v>13775</v>
      </c>
      <c r="AU5" s="3">
        <v>3848.89</v>
      </c>
      <c r="AV5" s="3"/>
      <c r="AW5" s="3"/>
      <c r="AX5" s="3">
        <f>SUM(AU5:AW5)</f>
        <v>3848.89</v>
      </c>
      <c r="AY5" s="5">
        <f>VLOOKUP(C5,[2]两年对比终版!$A:$AD,30,0)</f>
        <v>5003.1689406249898</v>
      </c>
      <c r="AZ5" s="6">
        <f>AX5/AT5</f>
        <v>0.27941125226860303</v>
      </c>
    </row>
    <row r="6" spans="1:52" x14ac:dyDescent="0.15">
      <c r="A6" s="2">
        <v>2</v>
      </c>
      <c r="B6" s="2" t="s">
        <v>19</v>
      </c>
      <c r="C6" s="2" t="s">
        <v>21</v>
      </c>
      <c r="D6" s="3">
        <v>1683</v>
      </c>
      <c r="E6" s="3">
        <v>433</v>
      </c>
      <c r="F6" s="3">
        <f>VLOOKUP(C6,'[1]5月25-5月31日汇总'!$C:$D,2,0)</f>
        <v>0</v>
      </c>
      <c r="G6" s="3">
        <f>VLOOKUP(C6,'[1]6月汇总'!$C:$D,2,0)</f>
        <v>25</v>
      </c>
      <c r="H6" s="3">
        <f t="shared" ref="H6:H36" si="0">SUM(E6:G6)</f>
        <v>458</v>
      </c>
      <c r="I6" s="5">
        <f>VLOOKUP(C6,[2]两年对比终版!$A:$C,3,0)</f>
        <v>500</v>
      </c>
      <c r="J6" s="6">
        <f t="shared" ref="J6:J36" si="1">H6/D6</f>
        <v>0.27213309566250699</v>
      </c>
      <c r="K6" s="3">
        <v>35680</v>
      </c>
      <c r="L6" s="3">
        <v>9375.82</v>
      </c>
      <c r="M6" s="3">
        <f>VLOOKUP(C6,'[1]5月25-5月31日汇总'!$C:$E,3,0)</f>
        <v>0</v>
      </c>
      <c r="N6" s="3">
        <f>VLOOKUP(C6,'[1]6月汇总'!$C:$E,3,0)</f>
        <v>450</v>
      </c>
      <c r="O6" s="3">
        <f t="shared" ref="O6:O36" si="2">SUM(L6:N6)</f>
        <v>9825.82</v>
      </c>
      <c r="P6" s="5">
        <f>VLOOKUP(C6,[2]两年对比终版!$A:$F,6,0)</f>
        <v>9367.9865399999999</v>
      </c>
      <c r="Q6" s="6">
        <f t="shared" ref="Q6:Q36" si="3">O6/K6</f>
        <v>0.27538733183856501</v>
      </c>
      <c r="R6" s="3">
        <v>750</v>
      </c>
      <c r="S6" s="3">
        <v>304</v>
      </c>
      <c r="T6" s="3">
        <f>VLOOKUP(C6,'[1]5月25-5月31日汇总'!$C:$F,4,0)</f>
        <v>44</v>
      </c>
      <c r="U6" s="3">
        <f>VLOOKUP(C6,'[1]6月汇总'!$C:$F,4,0)</f>
        <v>36</v>
      </c>
      <c r="V6" s="3">
        <f t="shared" ref="V6:V36" si="4">SUM(S6:U6)</f>
        <v>384</v>
      </c>
      <c r="W6" s="5">
        <f>VLOOKUP(C6,[2]两年对比终版!$A:$N,14,0)</f>
        <v>207</v>
      </c>
      <c r="X6" s="6">
        <f t="shared" ref="X6:X36" si="5">V6/R6</f>
        <v>0.51200000000000001</v>
      </c>
      <c r="Y6" s="3">
        <v>14500</v>
      </c>
      <c r="Z6" s="3">
        <v>4876.1899999999996</v>
      </c>
      <c r="AA6" s="3">
        <f>VLOOKUP(C6,'[1]5月25-5月31日汇总'!$C:$G,5,0)</f>
        <v>660.1</v>
      </c>
      <c r="AB6" s="3">
        <f>VLOOKUP(C6,'[1]6月汇总'!$C:$G,5,0)</f>
        <v>550</v>
      </c>
      <c r="AC6" s="3">
        <f t="shared" ref="AC6:AC36" si="6">SUM(Z6:AB6)</f>
        <v>6086.29</v>
      </c>
      <c r="AD6" s="5">
        <f>VLOOKUP(C6,[2]两年对比终版!$A:$Q,17,0)</f>
        <v>4230.2511999999997</v>
      </c>
      <c r="AE6" s="6">
        <f t="shared" ref="AE6:AE36" si="7">AC6/Y6</f>
        <v>0.41974413793103399</v>
      </c>
      <c r="AF6" s="3">
        <v>750</v>
      </c>
      <c r="AG6" s="3">
        <v>183</v>
      </c>
      <c r="AH6" s="3">
        <f>VLOOKUP(C6,'[1]5月25-5月31日汇总'!$C:$H,6,0)</f>
        <v>0</v>
      </c>
      <c r="AI6" s="3">
        <f>VLOOKUP(C6,'[1]6月汇总'!$C:$I,6,0)</f>
        <v>0</v>
      </c>
      <c r="AJ6" s="3">
        <f t="shared" ref="AJ6:AJ36" si="8">SUM(AG6:AI6)</f>
        <v>183</v>
      </c>
      <c r="AK6" s="5">
        <f>VLOOKUP(C6,[2]两年对比终版!$A:$T,20,0)</f>
        <v>121</v>
      </c>
      <c r="AL6" s="6">
        <f t="shared" ref="AL6:AL36" si="9">AJ6/AF6</f>
        <v>0.24399999999999999</v>
      </c>
      <c r="AM6" s="3">
        <v>14500</v>
      </c>
      <c r="AN6" s="3">
        <v>3464.95</v>
      </c>
      <c r="AO6" s="3">
        <f>VLOOKUP(C6,'[1]5月25-5月31日汇总'!$C:$I,7,0)</f>
        <v>0</v>
      </c>
      <c r="AP6" s="3">
        <f>VLOOKUP(C6,'[1]6月汇总'!$C:$I,7,0)</f>
        <v>0</v>
      </c>
      <c r="AQ6" s="3">
        <f t="shared" ref="AQ6:AQ36" si="10">SUM(AN6:AP6)</f>
        <v>3464.95</v>
      </c>
      <c r="AR6" s="5">
        <f>VLOOKUP(C6,[2]两年对比终版!$A:$X,23,0)</f>
        <v>2814.2512000000002</v>
      </c>
      <c r="AS6" s="6">
        <f t="shared" ref="AS6:AS36" si="11">AQ6/AM6</f>
        <v>0.238962068965517</v>
      </c>
      <c r="AT6" s="3">
        <v>13775</v>
      </c>
      <c r="AU6" s="3">
        <v>2098.04</v>
      </c>
      <c r="AV6" s="3"/>
      <c r="AW6" s="3"/>
      <c r="AX6" s="3">
        <f t="shared" ref="AX6:AX36" si="12">SUM(AU6:AW6)</f>
        <v>2098.04</v>
      </c>
      <c r="AY6" s="5">
        <f>VLOOKUP(C6,[2]两年对比终版!$A:$AD,30,0)</f>
        <v>3283.8379</v>
      </c>
      <c r="AZ6" s="6">
        <f t="shared" ref="AZ6:AZ36" si="13">AX6/AT6</f>
        <v>0.15230780399273999</v>
      </c>
    </row>
    <row r="7" spans="1:52" x14ac:dyDescent="0.15">
      <c r="A7" s="2">
        <v>3</v>
      </c>
      <c r="B7" s="2" t="s">
        <v>19</v>
      </c>
      <c r="C7" s="2" t="s">
        <v>22</v>
      </c>
      <c r="D7" s="3">
        <v>400</v>
      </c>
      <c r="E7" s="3">
        <v>210</v>
      </c>
      <c r="F7" s="3">
        <f>VLOOKUP(C7,'[1]5月25-5月31日汇总'!$C:$D,2,0)</f>
        <v>0</v>
      </c>
      <c r="G7" s="3">
        <f>VLOOKUP(C7,'[1]6月汇总'!$C:$D,2,0)</f>
        <v>31</v>
      </c>
      <c r="H7" s="3">
        <f t="shared" si="0"/>
        <v>241</v>
      </c>
      <c r="I7" s="5">
        <f>VLOOKUP(C7,[2]两年对比终版!$A:$C,3,0)</f>
        <v>446</v>
      </c>
      <c r="J7" s="6">
        <f t="shared" si="1"/>
        <v>0.60250000000000004</v>
      </c>
      <c r="K7" s="3">
        <v>6544</v>
      </c>
      <c r="L7" s="3">
        <v>3909.41</v>
      </c>
      <c r="M7" s="3">
        <f>VLOOKUP(C7,'[1]5月25-5月31日汇总'!$C:$E,3,0)</f>
        <v>0</v>
      </c>
      <c r="N7" s="3">
        <f>VLOOKUP(C7,'[1]6月汇总'!$C:$E,3,0)</f>
        <v>364</v>
      </c>
      <c r="O7" s="3">
        <f t="shared" si="2"/>
        <v>4273.41</v>
      </c>
      <c r="P7" s="5">
        <f>VLOOKUP(C7,[2]两年对比终版!$A:$F,6,0)</f>
        <v>6485.9782999999998</v>
      </c>
      <c r="Q7" s="6">
        <f t="shared" si="3"/>
        <v>0.65302720048899798</v>
      </c>
      <c r="R7" s="3">
        <v>160</v>
      </c>
      <c r="S7" s="3">
        <v>98</v>
      </c>
      <c r="T7" s="3">
        <f>VLOOKUP(C7,'[1]5月25-5月31日汇总'!$C:$F,4,0)</f>
        <v>0</v>
      </c>
      <c r="U7" s="3">
        <f>VLOOKUP(C7,'[1]6月汇总'!$C:$F,4,0)</f>
        <v>10</v>
      </c>
      <c r="V7" s="3">
        <f t="shared" si="4"/>
        <v>108</v>
      </c>
      <c r="W7" s="5">
        <f>VLOOKUP(C7,[2]两年对比终版!$A:$N,14,0)</f>
        <v>126</v>
      </c>
      <c r="X7" s="6">
        <f t="shared" si="5"/>
        <v>0.67500000000000004</v>
      </c>
      <c r="Y7" s="3">
        <v>2657</v>
      </c>
      <c r="Z7" s="3">
        <v>1280.19</v>
      </c>
      <c r="AA7" s="3">
        <f>VLOOKUP(C7,'[1]5月25-5月31日汇总'!$C:$G,5,0)</f>
        <v>0</v>
      </c>
      <c r="AB7" s="3">
        <f>VLOOKUP(C7,'[1]6月汇总'!$C:$G,5,0)</f>
        <v>180</v>
      </c>
      <c r="AC7" s="3">
        <f t="shared" si="6"/>
        <v>1460.19</v>
      </c>
      <c r="AD7" s="5">
        <f>VLOOKUP(C7,[2]两年对比终版!$A:$Q,17,0)</f>
        <v>1887.3783000000001</v>
      </c>
      <c r="AE7" s="6">
        <f t="shared" si="7"/>
        <v>0.54956341738803205</v>
      </c>
      <c r="AF7" s="3">
        <v>160</v>
      </c>
      <c r="AG7" s="3">
        <v>58</v>
      </c>
      <c r="AH7" s="3">
        <f>VLOOKUP(C7,'[1]5月25-5月31日汇总'!$C:$H,6,0)</f>
        <v>4</v>
      </c>
      <c r="AI7" s="3">
        <f>VLOOKUP(C7,'[1]6月汇总'!$C:$I,6,0)</f>
        <v>27</v>
      </c>
      <c r="AJ7" s="3">
        <f t="shared" si="8"/>
        <v>89</v>
      </c>
      <c r="AK7" s="5">
        <f>VLOOKUP(C7,[2]两年对比终版!$A:$T,20,0)</f>
        <v>125</v>
      </c>
      <c r="AL7" s="6">
        <f t="shared" si="9"/>
        <v>0.55625000000000002</v>
      </c>
      <c r="AM7" s="3">
        <v>2657</v>
      </c>
      <c r="AN7" s="3">
        <v>712.73</v>
      </c>
      <c r="AO7" s="3">
        <f>VLOOKUP(C7,'[1]5月25-5月31日汇总'!$C:$I,7,0)</f>
        <v>72</v>
      </c>
      <c r="AP7" s="3">
        <f>VLOOKUP(C7,'[1]6月汇总'!$C:$I,7,0)</f>
        <v>374</v>
      </c>
      <c r="AQ7" s="3">
        <f t="shared" si="10"/>
        <v>1158.73</v>
      </c>
      <c r="AR7" s="5">
        <f>VLOOKUP(C7,[2]两年对比终版!$A:$X,23,0)</f>
        <v>1964.9377999999999</v>
      </c>
      <c r="AS7" s="6">
        <f t="shared" si="11"/>
        <v>0.43610462928114402</v>
      </c>
      <c r="AT7" s="3">
        <v>2524</v>
      </c>
      <c r="AU7" s="3">
        <v>761.99400000000003</v>
      </c>
      <c r="AV7" s="3"/>
      <c r="AW7" s="3"/>
      <c r="AX7" s="3">
        <f t="shared" si="12"/>
        <v>761.99400000000003</v>
      </c>
      <c r="AY7" s="5">
        <f>VLOOKUP(C7,[2]两年对比终版!$A:$AD,30,0)</f>
        <v>2215.7523999999999</v>
      </c>
      <c r="AZ7" s="6">
        <f t="shared" si="13"/>
        <v>0.30189936608557799</v>
      </c>
    </row>
    <row r="8" spans="1:52" x14ac:dyDescent="0.15">
      <c r="A8" s="2">
        <v>4</v>
      </c>
      <c r="B8" s="2" t="s">
        <v>19</v>
      </c>
      <c r="C8" s="2" t="s">
        <v>23</v>
      </c>
      <c r="D8" s="3">
        <v>270</v>
      </c>
      <c r="E8" s="3">
        <v>43</v>
      </c>
      <c r="F8" s="3">
        <f>VLOOKUP(C8,'[1]5月25-5月31日汇总'!$C:$D,2,0)</f>
        <v>0</v>
      </c>
      <c r="G8" s="3">
        <f>VLOOKUP(C8,'[1]6月汇总'!$C:$D,2,0)</f>
        <v>33</v>
      </c>
      <c r="H8" s="3">
        <f t="shared" si="0"/>
        <v>76</v>
      </c>
      <c r="I8" s="5">
        <f>VLOOKUP(C8,[2]两年对比终版!$A:$C,3,0)</f>
        <v>0</v>
      </c>
      <c r="J8" s="6">
        <f t="shared" si="1"/>
        <v>0.281481481481481</v>
      </c>
      <c r="K8" s="3">
        <v>4428</v>
      </c>
      <c r="L8" s="3">
        <v>904.52</v>
      </c>
      <c r="M8" s="3">
        <f>VLOOKUP(C8,'[1]5月25-5月31日汇总'!$C:$E,3,0)</f>
        <v>0</v>
      </c>
      <c r="N8" s="3">
        <f>VLOOKUP(C8,'[1]6月汇总'!$C:$E,3,0)</f>
        <v>354</v>
      </c>
      <c r="O8" s="3">
        <f t="shared" si="2"/>
        <v>1258.52</v>
      </c>
      <c r="P8" s="5">
        <f>VLOOKUP(C8,[2]两年对比终版!$A:$F,6,0)</f>
        <v>0</v>
      </c>
      <c r="Q8" s="6">
        <f t="shared" si="3"/>
        <v>0.28421860885275502</v>
      </c>
      <c r="R8" s="3">
        <v>120</v>
      </c>
      <c r="S8" s="3">
        <v>14</v>
      </c>
      <c r="T8" s="3">
        <f>VLOOKUP(C8,'[1]5月25-5月31日汇总'!$C:$F,4,0)</f>
        <v>1</v>
      </c>
      <c r="U8" s="3">
        <f>VLOOKUP(C8,'[1]6月汇总'!$C:$F,4,0)</f>
        <v>13</v>
      </c>
      <c r="V8" s="3">
        <f t="shared" si="4"/>
        <v>28</v>
      </c>
      <c r="W8" s="5">
        <f>VLOOKUP(C8,[2]两年对比终版!$A:$N,14,0)</f>
        <v>0</v>
      </c>
      <c r="X8" s="6">
        <f t="shared" si="5"/>
        <v>0.233333333333333</v>
      </c>
      <c r="Y8" s="3">
        <v>1800</v>
      </c>
      <c r="Z8" s="3">
        <v>139.5</v>
      </c>
      <c r="AA8" s="3">
        <f>VLOOKUP(C8,'[1]5月25-5月31日汇总'!$C:$G,5,0)</f>
        <v>8</v>
      </c>
      <c r="AB8" s="3">
        <f>VLOOKUP(C8,'[1]6月汇总'!$C:$G,5,0)</f>
        <v>176</v>
      </c>
      <c r="AC8" s="3">
        <f t="shared" si="6"/>
        <v>323.5</v>
      </c>
      <c r="AD8" s="5">
        <f>VLOOKUP(C8,[2]两年对比终版!$A:$Q,17,0)</f>
        <v>0</v>
      </c>
      <c r="AE8" s="6">
        <f t="shared" si="7"/>
        <v>0.17972222222222201</v>
      </c>
      <c r="AF8" s="3">
        <v>120</v>
      </c>
      <c r="AG8" s="3">
        <v>10</v>
      </c>
      <c r="AH8" s="3">
        <f>VLOOKUP(C8,'[1]5月25-5月31日汇总'!$C:$H,6,0)</f>
        <v>0</v>
      </c>
      <c r="AI8" s="3">
        <f>VLOOKUP(C8,'[1]6月汇总'!$C:$I,6,0)</f>
        <v>4</v>
      </c>
      <c r="AJ8" s="3">
        <f t="shared" si="8"/>
        <v>14</v>
      </c>
      <c r="AK8" s="5">
        <f>VLOOKUP(C8,[2]两年对比终版!$A:$T,20,0)</f>
        <v>0</v>
      </c>
      <c r="AL8" s="6">
        <f t="shared" si="9"/>
        <v>0.116666666666667</v>
      </c>
      <c r="AM8" s="3">
        <v>1800</v>
      </c>
      <c r="AN8" s="3">
        <v>102.4</v>
      </c>
      <c r="AO8" s="3">
        <f>VLOOKUP(C8,'[1]5月25-5月31日汇总'!$C:$I,7,0)</f>
        <v>0</v>
      </c>
      <c r="AP8" s="3">
        <f>VLOOKUP(C8,'[1]6月汇总'!$C:$I,7,0)</f>
        <v>37</v>
      </c>
      <c r="AQ8" s="3">
        <f t="shared" si="10"/>
        <v>139.4</v>
      </c>
      <c r="AR8" s="5">
        <f>VLOOKUP(C8,[2]两年对比终版!$A:$X,23,0)</f>
        <v>0</v>
      </c>
      <c r="AS8" s="6">
        <f t="shared" si="11"/>
        <v>7.7444444444444399E-2</v>
      </c>
      <c r="AT8" s="3">
        <v>1710</v>
      </c>
      <c r="AU8" s="3">
        <v>116.49299999999999</v>
      </c>
      <c r="AV8" s="3"/>
      <c r="AW8" s="3"/>
      <c r="AX8" s="3">
        <f t="shared" si="12"/>
        <v>116.49299999999999</v>
      </c>
      <c r="AY8" s="5">
        <f>VLOOKUP(C8,[2]两年对比终版!$A:$AD,30,0)</f>
        <v>0</v>
      </c>
      <c r="AZ8" s="6">
        <f t="shared" si="13"/>
        <v>6.8124561403508796E-2</v>
      </c>
    </row>
    <row r="9" spans="1:52" x14ac:dyDescent="0.15">
      <c r="A9" s="2">
        <v>5</v>
      </c>
      <c r="B9" s="2" t="s">
        <v>19</v>
      </c>
      <c r="C9" s="2" t="s">
        <v>24</v>
      </c>
      <c r="D9" s="3">
        <v>270</v>
      </c>
      <c r="E9" s="3">
        <v>181</v>
      </c>
      <c r="F9" s="3">
        <f>VLOOKUP(C9,'[1]5月25-5月31日汇总'!$C:$D,2,0)</f>
        <v>13</v>
      </c>
      <c r="G9" s="3">
        <f>VLOOKUP(C9,'[1]6月汇总'!$C:$D,2,0)</f>
        <v>12</v>
      </c>
      <c r="H9" s="3">
        <f t="shared" si="0"/>
        <v>206</v>
      </c>
      <c r="I9" s="5">
        <f>VLOOKUP(C9,[2]两年对比终版!$A:$C,3,0)</f>
        <v>0</v>
      </c>
      <c r="J9" s="6">
        <f t="shared" si="1"/>
        <v>0.76296296296296295</v>
      </c>
      <c r="K9" s="3">
        <v>4428</v>
      </c>
      <c r="L9" s="3">
        <v>2347.34</v>
      </c>
      <c r="M9" s="3">
        <f>VLOOKUP(C9,'[1]5月25-5月31日汇总'!$C:$E,3,0)</f>
        <v>343.6</v>
      </c>
      <c r="N9" s="3">
        <f>VLOOKUP(C9,'[1]6月汇总'!$C:$E,3,0)</f>
        <v>134.1</v>
      </c>
      <c r="O9" s="3">
        <f t="shared" si="2"/>
        <v>2825.04</v>
      </c>
      <c r="P9" s="5">
        <f>VLOOKUP(C9,[2]两年对比终版!$A:$F,6,0)</f>
        <v>0</v>
      </c>
      <c r="Q9" s="6">
        <f t="shared" si="3"/>
        <v>0.637994579945799</v>
      </c>
      <c r="R9" s="3">
        <v>120</v>
      </c>
      <c r="S9" s="3">
        <v>47</v>
      </c>
      <c r="T9" s="3">
        <f>VLOOKUP(C9,'[1]5月25-5月31日汇总'!$C:$F,4,0)</f>
        <v>4</v>
      </c>
      <c r="U9" s="3">
        <f>VLOOKUP(C9,'[1]6月汇总'!$C:$F,4,0)</f>
        <v>20</v>
      </c>
      <c r="V9" s="3">
        <f t="shared" si="4"/>
        <v>71</v>
      </c>
      <c r="W9" s="5">
        <f>VLOOKUP(C9,[2]两年对比终版!$A:$N,14,0)</f>
        <v>0</v>
      </c>
      <c r="X9" s="6">
        <f t="shared" si="5"/>
        <v>0.59166666666666701</v>
      </c>
      <c r="Y9" s="3">
        <v>1800</v>
      </c>
      <c r="Z9" s="3">
        <v>500.36599999999999</v>
      </c>
      <c r="AA9" s="3">
        <f>VLOOKUP(C9,'[1]5月25-5月31日汇总'!$C:$G,5,0)</f>
        <v>43.4</v>
      </c>
      <c r="AB9" s="3">
        <f>VLOOKUP(C9,'[1]6月汇总'!$C:$G,5,0)</f>
        <v>169.3</v>
      </c>
      <c r="AC9" s="3">
        <f t="shared" si="6"/>
        <v>713.06600000000003</v>
      </c>
      <c r="AD9" s="5">
        <f>VLOOKUP(C9,[2]两年对比终版!$A:$Q,17,0)</f>
        <v>0</v>
      </c>
      <c r="AE9" s="6">
        <f t="shared" si="7"/>
        <v>0.39614777777777799</v>
      </c>
      <c r="AF9" s="3">
        <v>120</v>
      </c>
      <c r="AG9" s="3">
        <v>43</v>
      </c>
      <c r="AH9" s="3">
        <f>VLOOKUP(C9,'[1]5月25-5月31日汇总'!$C:$H,6,0)</f>
        <v>0</v>
      </c>
      <c r="AI9" s="3">
        <f>VLOOKUP(C9,'[1]6月汇总'!$C:$I,6,0)</f>
        <v>4</v>
      </c>
      <c r="AJ9" s="3">
        <f t="shared" si="8"/>
        <v>47</v>
      </c>
      <c r="AK9" s="5">
        <f>VLOOKUP(C9,[2]两年对比终版!$A:$T,20,0)</f>
        <v>0</v>
      </c>
      <c r="AL9" s="6">
        <f t="shared" si="9"/>
        <v>0.391666666666667</v>
      </c>
      <c r="AM9" s="3">
        <v>1800</v>
      </c>
      <c r="AN9" s="3">
        <v>456.92599999999999</v>
      </c>
      <c r="AO9" s="3">
        <f>VLOOKUP(C9,'[1]5月25-5月31日汇总'!$C:$I,7,0)</f>
        <v>0</v>
      </c>
      <c r="AP9" s="3">
        <f>VLOOKUP(C9,'[1]6月汇总'!$C:$I,7,0)</f>
        <v>43.4</v>
      </c>
      <c r="AQ9" s="3">
        <f t="shared" si="10"/>
        <v>500.32600000000002</v>
      </c>
      <c r="AR9" s="5">
        <f>VLOOKUP(C9,[2]两年对比终版!$A:$X,23,0)</f>
        <v>0</v>
      </c>
      <c r="AS9" s="6">
        <f t="shared" si="11"/>
        <v>0.27795888888888898</v>
      </c>
      <c r="AT9" s="3">
        <v>1710</v>
      </c>
      <c r="AU9" s="3">
        <v>419.48599999999999</v>
      </c>
      <c r="AV9" s="3"/>
      <c r="AW9" s="3"/>
      <c r="AX9" s="3">
        <f t="shared" si="12"/>
        <v>419.48599999999999</v>
      </c>
      <c r="AY9" s="5">
        <f>VLOOKUP(C9,[2]两年对比终版!$A:$AD,30,0)</f>
        <v>0</v>
      </c>
      <c r="AZ9" s="6">
        <f t="shared" si="13"/>
        <v>0.24531345029239801</v>
      </c>
    </row>
    <row r="10" spans="1:52" x14ac:dyDescent="0.15">
      <c r="A10" s="2">
        <v>6</v>
      </c>
      <c r="B10" s="2" t="s">
        <v>25</v>
      </c>
      <c r="C10" s="2" t="s">
        <v>26</v>
      </c>
      <c r="D10" s="3">
        <v>245</v>
      </c>
      <c r="E10" s="3">
        <v>30</v>
      </c>
      <c r="F10" s="3">
        <f>VLOOKUP(C10,'[1]5月25-5月31日汇总'!$C:$D,2,0)</f>
        <v>28</v>
      </c>
      <c r="G10" s="3">
        <f>VLOOKUP(C10,'[1]6月汇总'!$C:$D,2,0)</f>
        <v>70</v>
      </c>
      <c r="H10" s="3">
        <f t="shared" si="0"/>
        <v>128</v>
      </c>
      <c r="I10" s="5">
        <f>VLOOKUP(C10,[2]两年对比终版!$A:$C,3,0)</f>
        <v>79</v>
      </c>
      <c r="J10" s="6">
        <f t="shared" si="1"/>
        <v>0.522448979591837</v>
      </c>
      <c r="K10" s="3">
        <v>4200</v>
      </c>
      <c r="L10" s="3">
        <v>329.38600000000002</v>
      </c>
      <c r="M10" s="3">
        <f>VLOOKUP(C10,'[1]5月25-5月31日汇总'!$C:$E,3,0)</f>
        <v>472.51</v>
      </c>
      <c r="N10" s="3">
        <f>VLOOKUP(C10,'[1]6月汇总'!$C:$E,3,0)</f>
        <v>900</v>
      </c>
      <c r="O10" s="3">
        <f t="shared" si="2"/>
        <v>1701.896</v>
      </c>
      <c r="P10" s="5">
        <f>VLOOKUP(C10,[2]两年对比终版!$A:$F,6,0)</f>
        <v>1044.9259999999999</v>
      </c>
      <c r="Q10" s="6">
        <f t="shared" si="3"/>
        <v>0.40521333333333298</v>
      </c>
      <c r="R10" s="3">
        <v>100</v>
      </c>
      <c r="S10" s="3">
        <v>17</v>
      </c>
      <c r="T10" s="3">
        <f>VLOOKUP(C10,'[1]5月25-5月31日汇总'!$C:$F,4,0)</f>
        <v>4</v>
      </c>
      <c r="U10" s="3">
        <f>VLOOKUP(C10,'[1]6月汇总'!$C:$F,4,0)</f>
        <v>25</v>
      </c>
      <c r="V10" s="3">
        <f t="shared" si="4"/>
        <v>46</v>
      </c>
      <c r="W10" s="5">
        <f>VLOOKUP(C10,[2]两年对比终版!$A:$N,14,0)</f>
        <v>30</v>
      </c>
      <c r="X10" s="6">
        <f t="shared" si="5"/>
        <v>0.46</v>
      </c>
      <c r="Y10" s="3">
        <v>1778</v>
      </c>
      <c r="Z10" s="3">
        <v>174.65600000000001</v>
      </c>
      <c r="AA10" s="3">
        <f>VLOOKUP(C10,'[1]5月25-5月31日汇总'!$C:$G,5,0)</f>
        <v>74.599999999999994</v>
      </c>
      <c r="AB10" s="3">
        <f>VLOOKUP(C10,'[1]6月汇总'!$C:$G,5,0)</f>
        <v>300</v>
      </c>
      <c r="AC10" s="3">
        <f t="shared" si="6"/>
        <v>549.25599999999997</v>
      </c>
      <c r="AD10" s="5">
        <f>VLOOKUP(C10,[2]两年对比终版!$A:$Q,17,0)</f>
        <v>487.23200000000003</v>
      </c>
      <c r="AE10" s="6">
        <f t="shared" si="7"/>
        <v>0.308917885264342</v>
      </c>
      <c r="AF10" s="3">
        <v>100</v>
      </c>
      <c r="AG10" s="3">
        <v>12</v>
      </c>
      <c r="AH10" s="3">
        <f>VLOOKUP(C10,'[1]5月25-5月31日汇总'!$C:$H,6,0)</f>
        <v>3</v>
      </c>
      <c r="AI10" s="3">
        <f>VLOOKUP(C10,'[1]6月汇总'!$C:$I,6,0)</f>
        <v>31</v>
      </c>
      <c r="AJ10" s="3">
        <f t="shared" si="8"/>
        <v>46</v>
      </c>
      <c r="AK10" s="5">
        <f>VLOOKUP(C10,[2]两年对比终版!$A:$T,20,0)</f>
        <v>36</v>
      </c>
      <c r="AL10" s="6">
        <f t="shared" si="9"/>
        <v>0.46</v>
      </c>
      <c r="AM10" s="3">
        <v>1778</v>
      </c>
      <c r="AN10" s="3">
        <v>148.86000000000001</v>
      </c>
      <c r="AO10" s="3">
        <f>VLOOKUP(C10,'[1]5月25-5月31日汇总'!$C:$I,7,0)</f>
        <v>31.17</v>
      </c>
      <c r="AP10" s="3">
        <f>VLOOKUP(C10,'[1]6月汇总'!$C:$I,7,0)</f>
        <v>292.71660000000003</v>
      </c>
      <c r="AQ10" s="3">
        <f t="shared" si="10"/>
        <v>472.7466</v>
      </c>
      <c r="AR10" s="5">
        <f>VLOOKUP(C10,[2]两年对比终版!$A:$X,23,0)</f>
        <v>515.13199999999995</v>
      </c>
      <c r="AS10" s="6">
        <f t="shared" si="11"/>
        <v>0.26588672665916802</v>
      </c>
      <c r="AT10" s="3">
        <v>1689</v>
      </c>
      <c r="AU10" s="3">
        <v>145.87</v>
      </c>
      <c r="AV10" s="3"/>
      <c r="AW10" s="3"/>
      <c r="AX10" s="3">
        <f t="shared" si="12"/>
        <v>145.87</v>
      </c>
      <c r="AY10" s="5">
        <f>VLOOKUP(C10,[2]两年对比终版!$A:$AD,30,0)</f>
        <v>545.38060764770501</v>
      </c>
      <c r="AZ10" s="6">
        <f t="shared" si="13"/>
        <v>8.6364712847839004E-2</v>
      </c>
    </row>
    <row r="11" spans="1:52" x14ac:dyDescent="0.15">
      <c r="A11" s="2">
        <v>7</v>
      </c>
      <c r="B11" s="2" t="s">
        <v>25</v>
      </c>
      <c r="C11" s="2" t="s">
        <v>27</v>
      </c>
      <c r="D11" s="3">
        <v>489</v>
      </c>
      <c r="E11" s="3">
        <v>64</v>
      </c>
      <c r="F11" s="3">
        <f>VLOOKUP(C11,'[1]5月25-5月31日汇总'!$C:$D,2,0)</f>
        <v>10</v>
      </c>
      <c r="G11" s="3">
        <f>VLOOKUP(C11,'[1]6月汇总'!$C:$D,2,0)</f>
        <v>80</v>
      </c>
      <c r="H11" s="3">
        <f t="shared" si="0"/>
        <v>154</v>
      </c>
      <c r="I11" s="5">
        <f>VLOOKUP(C11,[2]两年对比终版!$A:$C,3,0)</f>
        <v>415</v>
      </c>
      <c r="J11" s="6">
        <f t="shared" si="1"/>
        <v>0.31492842535787302</v>
      </c>
      <c r="K11" s="3">
        <v>7525.12</v>
      </c>
      <c r="L11" s="3">
        <v>1474.22</v>
      </c>
      <c r="M11" s="3">
        <f>VLOOKUP(C11,'[1]5月25-5月31日汇总'!$C:$E,3,0)</f>
        <v>130</v>
      </c>
      <c r="N11" s="3">
        <f>VLOOKUP(C11,'[1]6月汇总'!$C:$E,3,0)</f>
        <v>1600</v>
      </c>
      <c r="O11" s="3">
        <f t="shared" si="2"/>
        <v>3204.22</v>
      </c>
      <c r="P11" s="5">
        <f>VLOOKUP(C11,[2]两年对比终版!$A:$F,6,0)</f>
        <v>7818.7330000000002</v>
      </c>
      <c r="Q11" s="6">
        <f t="shared" si="3"/>
        <v>0.42580317656063998</v>
      </c>
      <c r="R11" s="3">
        <v>210</v>
      </c>
      <c r="S11" s="3">
        <v>28</v>
      </c>
      <c r="T11" s="3">
        <f>VLOOKUP(C11,'[1]5月25-5月31日汇总'!$C:$F,4,0)</f>
        <v>0</v>
      </c>
      <c r="U11" s="3">
        <f>VLOOKUP(C11,'[1]6月汇总'!$C:$F,4,0)</f>
        <v>23</v>
      </c>
      <c r="V11" s="3">
        <f t="shared" si="4"/>
        <v>51</v>
      </c>
      <c r="W11" s="5">
        <f>VLOOKUP(C11,[2]两年对比终版!$A:$N,14,0)</f>
        <v>156</v>
      </c>
      <c r="X11" s="6">
        <f t="shared" si="5"/>
        <v>0.24285714285714299</v>
      </c>
      <c r="Y11" s="3">
        <v>2972</v>
      </c>
      <c r="Z11" s="3">
        <v>328.07299999999998</v>
      </c>
      <c r="AA11" s="3">
        <f>VLOOKUP(C11,'[1]5月25-5月31日汇总'!$C:$G,5,0)</f>
        <v>0</v>
      </c>
      <c r="AB11" s="3">
        <f>VLOOKUP(C11,'[1]6月汇总'!$C:$G,5,0)</f>
        <v>370</v>
      </c>
      <c r="AC11" s="3">
        <f t="shared" si="6"/>
        <v>698.07299999999998</v>
      </c>
      <c r="AD11" s="5">
        <f>VLOOKUP(C11,[2]两年对比终版!$A:$Q,17,0)</f>
        <v>2594.4504999999999</v>
      </c>
      <c r="AE11" s="6">
        <f t="shared" si="7"/>
        <v>0.234883243606999</v>
      </c>
      <c r="AF11" s="3">
        <v>210</v>
      </c>
      <c r="AG11" s="3">
        <v>24</v>
      </c>
      <c r="AH11" s="3">
        <f>VLOOKUP(C11,'[1]5月25-5月31日汇总'!$C:$H,6,0)</f>
        <v>0</v>
      </c>
      <c r="AI11" s="3">
        <f>VLOOKUP(C11,'[1]6月汇总'!$C:$I,6,0)</f>
        <v>4</v>
      </c>
      <c r="AJ11" s="3">
        <f t="shared" si="8"/>
        <v>28</v>
      </c>
      <c r="AK11" s="5">
        <f>VLOOKUP(C11,[2]两年对比终版!$A:$T,20,0)</f>
        <v>108</v>
      </c>
      <c r="AL11" s="6">
        <f t="shared" si="9"/>
        <v>0.133333333333333</v>
      </c>
      <c r="AM11" s="3">
        <v>2972</v>
      </c>
      <c r="AN11" s="3">
        <v>276.233</v>
      </c>
      <c r="AO11" s="3">
        <f>VLOOKUP(C11,'[1]5月25-5月31日汇总'!$C:$I,7,0)</f>
        <v>0</v>
      </c>
      <c r="AP11" s="3">
        <f>VLOOKUP(C11,'[1]6月汇总'!$C:$I,7,0)</f>
        <v>53</v>
      </c>
      <c r="AQ11" s="3">
        <f t="shared" si="10"/>
        <v>329.233</v>
      </c>
      <c r="AR11" s="5">
        <f>VLOOKUP(C11,[2]两年对比终版!$A:$X,23,0)</f>
        <v>1970.7394999999999</v>
      </c>
      <c r="AS11" s="6">
        <f t="shared" si="11"/>
        <v>0.11077826379542401</v>
      </c>
      <c r="AT11" s="3">
        <v>2822</v>
      </c>
      <c r="AU11" s="3">
        <v>16.713000000000001</v>
      </c>
      <c r="AV11" s="3"/>
      <c r="AW11" s="3"/>
      <c r="AX11" s="3">
        <f t="shared" si="12"/>
        <v>16.713000000000001</v>
      </c>
      <c r="AY11" s="5">
        <f>VLOOKUP(C11,[2]两年对比终版!$A:$AD,30,0)</f>
        <v>2067.2918998657201</v>
      </c>
      <c r="AZ11" s="6">
        <f t="shared" si="13"/>
        <v>5.9223954642097804E-3</v>
      </c>
    </row>
    <row r="12" spans="1:52" x14ac:dyDescent="0.15">
      <c r="A12" s="2">
        <v>8</v>
      </c>
      <c r="B12" s="2" t="s">
        <v>28</v>
      </c>
      <c r="C12" s="2" t="s">
        <v>29</v>
      </c>
      <c r="D12" s="3">
        <v>72</v>
      </c>
      <c r="E12" s="3">
        <v>2</v>
      </c>
      <c r="F12" s="3">
        <f>VLOOKUP(C12,'[1]5月25-5月31日汇总'!$C:$D,2,0)</f>
        <v>8</v>
      </c>
      <c r="G12" s="3">
        <f>VLOOKUP(C12,'[1]6月汇总'!$C:$D,2,0)</f>
        <v>14</v>
      </c>
      <c r="H12" s="3">
        <f t="shared" si="0"/>
        <v>24</v>
      </c>
      <c r="I12" s="5">
        <f>VLOOKUP(C12,[2]两年对比终版!$A:$C,3,0)</f>
        <v>0</v>
      </c>
      <c r="J12" s="6">
        <f t="shared" si="1"/>
        <v>0.33333333333333298</v>
      </c>
      <c r="K12" s="3">
        <v>1085</v>
      </c>
      <c r="L12" s="3">
        <v>22.84</v>
      </c>
      <c r="M12" s="3">
        <f>VLOOKUP(C12,'[1]5月25-5月31日汇总'!$C:$E,3,0)</f>
        <v>100</v>
      </c>
      <c r="N12" s="3">
        <f>VLOOKUP(C12,'[1]6月汇总'!$C:$E,3,0)</f>
        <v>118</v>
      </c>
      <c r="O12" s="3">
        <f t="shared" si="2"/>
        <v>240.84</v>
      </c>
      <c r="P12" s="5">
        <f>VLOOKUP(C12,[2]两年对比终版!$A:$F,6,0)</f>
        <v>0</v>
      </c>
      <c r="Q12" s="6">
        <f t="shared" si="3"/>
        <v>0.22197235023041501</v>
      </c>
      <c r="R12" s="3">
        <v>30</v>
      </c>
      <c r="S12" s="3">
        <v>2</v>
      </c>
      <c r="T12" s="3">
        <f>VLOOKUP(C12,'[1]5月25-5月31日汇总'!$C:$F,4,0)</f>
        <v>0</v>
      </c>
      <c r="U12" s="3">
        <f>VLOOKUP(C12,'[1]6月汇总'!$C:$F,4,0)</f>
        <v>6</v>
      </c>
      <c r="V12" s="3">
        <f t="shared" si="4"/>
        <v>8</v>
      </c>
      <c r="W12" s="5">
        <f>VLOOKUP(C12,[2]两年对比终版!$A:$N,14,0)</f>
        <v>0</v>
      </c>
      <c r="X12" s="6">
        <f t="shared" si="5"/>
        <v>0.266666666666667</v>
      </c>
      <c r="Y12" s="3">
        <v>450</v>
      </c>
      <c r="Z12" s="3">
        <v>22.84</v>
      </c>
      <c r="AA12" s="3">
        <f>VLOOKUP(C12,'[1]5月25-5月31日汇总'!$C:$G,5,0)</f>
        <v>0</v>
      </c>
      <c r="AB12" s="3">
        <f>VLOOKUP(C12,'[1]6月汇总'!$C:$G,5,0)</f>
        <v>49</v>
      </c>
      <c r="AC12" s="3">
        <f t="shared" si="6"/>
        <v>71.84</v>
      </c>
      <c r="AD12" s="5">
        <f>VLOOKUP(C12,[2]两年对比终版!$A:$Q,17,0)</f>
        <v>0</v>
      </c>
      <c r="AE12" s="6">
        <f t="shared" si="7"/>
        <v>0.15964444444444401</v>
      </c>
      <c r="AF12" s="3">
        <v>30</v>
      </c>
      <c r="AG12" s="3">
        <v>2</v>
      </c>
      <c r="AH12" s="3">
        <f>VLOOKUP(C12,'[1]5月25-5月31日汇总'!$C:$H,6,0)</f>
        <v>0</v>
      </c>
      <c r="AI12" s="3">
        <f>VLOOKUP(C12,'[1]6月汇总'!$C:$I,6,0)</f>
        <v>6</v>
      </c>
      <c r="AJ12" s="3">
        <f t="shared" si="8"/>
        <v>8</v>
      </c>
      <c r="AK12" s="5">
        <f>VLOOKUP(C12,[2]两年对比终版!$A:$T,20,0)</f>
        <v>0</v>
      </c>
      <c r="AL12" s="6">
        <f t="shared" si="9"/>
        <v>0.266666666666667</v>
      </c>
      <c r="AM12" s="3">
        <v>450</v>
      </c>
      <c r="AN12" s="3">
        <v>22.84</v>
      </c>
      <c r="AO12" s="3">
        <f>VLOOKUP(C12,'[1]5月25-5月31日汇总'!$C:$I,7,0)</f>
        <v>0</v>
      </c>
      <c r="AP12" s="3">
        <f>VLOOKUP(C12,'[1]6月汇总'!$C:$I,7,0)</f>
        <v>49</v>
      </c>
      <c r="AQ12" s="3">
        <f t="shared" si="10"/>
        <v>71.84</v>
      </c>
      <c r="AR12" s="5">
        <f>VLOOKUP(C12,[2]两年对比终版!$A:$X,23,0)</f>
        <v>0</v>
      </c>
      <c r="AS12" s="6">
        <f t="shared" si="11"/>
        <v>0.15964444444444401</v>
      </c>
      <c r="AT12" s="3">
        <v>428</v>
      </c>
      <c r="AU12" s="3">
        <v>22.12</v>
      </c>
      <c r="AV12" s="3"/>
      <c r="AW12" s="3"/>
      <c r="AX12" s="3">
        <f t="shared" si="12"/>
        <v>22.12</v>
      </c>
      <c r="AY12" s="5">
        <f>VLOOKUP(C12,[2]两年对比终版!$A:$AD,30,0)</f>
        <v>0</v>
      </c>
      <c r="AZ12" s="6">
        <f t="shared" si="13"/>
        <v>5.1682242990654201E-2</v>
      </c>
    </row>
    <row r="13" spans="1:52" x14ac:dyDescent="0.15">
      <c r="A13" s="2">
        <v>9</v>
      </c>
      <c r="B13" s="2" t="s">
        <v>28</v>
      </c>
      <c r="C13" s="2" t="s">
        <v>30</v>
      </c>
      <c r="D13" s="3">
        <v>72</v>
      </c>
      <c r="E13" s="3">
        <v>0</v>
      </c>
      <c r="F13" s="3">
        <f>VLOOKUP(C13,'[1]5月25-5月31日汇总'!$C:$D,2,0)</f>
        <v>0</v>
      </c>
      <c r="G13" s="3">
        <f>VLOOKUP(C13,'[1]6月汇总'!$C:$D,2,0)</f>
        <v>0</v>
      </c>
      <c r="H13" s="3">
        <f t="shared" si="0"/>
        <v>0</v>
      </c>
      <c r="I13" s="5">
        <f>VLOOKUP(C13,[2]两年对比终版!$A:$C,3,0)</f>
        <v>0</v>
      </c>
      <c r="J13" s="6">
        <f t="shared" si="1"/>
        <v>0</v>
      </c>
      <c r="K13" s="3">
        <v>1085</v>
      </c>
      <c r="L13" s="3">
        <v>0</v>
      </c>
      <c r="M13" s="3">
        <f>VLOOKUP(C13,'[1]5月25-5月31日汇总'!$C:$E,3,0)</f>
        <v>0</v>
      </c>
      <c r="N13" s="3">
        <f>VLOOKUP(C13,'[1]6月汇总'!$C:$E,3,0)</f>
        <v>0</v>
      </c>
      <c r="O13" s="3">
        <f t="shared" si="2"/>
        <v>0</v>
      </c>
      <c r="P13" s="5">
        <f>VLOOKUP(C13,[2]两年对比终版!$A:$F,6,0)</f>
        <v>0</v>
      </c>
      <c r="Q13" s="6">
        <f t="shared" si="3"/>
        <v>0</v>
      </c>
      <c r="R13" s="3">
        <v>30</v>
      </c>
      <c r="S13" s="3">
        <v>0</v>
      </c>
      <c r="T13" s="3">
        <f>VLOOKUP(C13,'[1]5月25-5月31日汇总'!$C:$F,4,0)</f>
        <v>0</v>
      </c>
      <c r="U13" s="3">
        <f>VLOOKUP(C13,'[1]6月汇总'!$C:$F,4,0)</f>
        <v>0</v>
      </c>
      <c r="V13" s="3">
        <f t="shared" si="4"/>
        <v>0</v>
      </c>
      <c r="W13" s="5">
        <f>VLOOKUP(C13,[2]两年对比终版!$A:$N,14,0)</f>
        <v>0</v>
      </c>
      <c r="X13" s="6">
        <f t="shared" si="5"/>
        <v>0</v>
      </c>
      <c r="Y13" s="3">
        <v>450</v>
      </c>
      <c r="Z13" s="3">
        <v>0</v>
      </c>
      <c r="AA13" s="3">
        <f>VLOOKUP(C13,'[1]5月25-5月31日汇总'!$C:$G,5,0)</f>
        <v>0</v>
      </c>
      <c r="AB13" s="3">
        <f>VLOOKUP(C13,'[1]6月汇总'!$C:$G,5,0)</f>
        <v>0</v>
      </c>
      <c r="AC13" s="3">
        <f t="shared" si="6"/>
        <v>0</v>
      </c>
      <c r="AD13" s="5">
        <f>VLOOKUP(C13,[2]两年对比终版!$A:$Q,17,0)</f>
        <v>0</v>
      </c>
      <c r="AE13" s="6">
        <f t="shared" si="7"/>
        <v>0</v>
      </c>
      <c r="AF13" s="3">
        <v>30</v>
      </c>
      <c r="AG13" s="3">
        <v>0</v>
      </c>
      <c r="AH13" s="3">
        <f>VLOOKUP(C13,'[1]5月25-5月31日汇总'!$C:$H,6,0)</f>
        <v>0</v>
      </c>
      <c r="AI13" s="3">
        <f>VLOOKUP(C13,'[1]6月汇总'!$C:$I,6,0)</f>
        <v>0</v>
      </c>
      <c r="AJ13" s="3">
        <f t="shared" si="8"/>
        <v>0</v>
      </c>
      <c r="AK13" s="5">
        <f>VLOOKUP(C13,[2]两年对比终版!$A:$T,20,0)</f>
        <v>0</v>
      </c>
      <c r="AL13" s="6">
        <f t="shared" si="9"/>
        <v>0</v>
      </c>
      <c r="AM13" s="3">
        <v>450</v>
      </c>
      <c r="AN13" s="3">
        <v>0</v>
      </c>
      <c r="AO13" s="3">
        <f>VLOOKUP(C13,'[1]5月25-5月31日汇总'!$C:$I,7,0)</f>
        <v>0</v>
      </c>
      <c r="AP13" s="3">
        <f>VLOOKUP(C13,'[1]6月汇总'!$C:$I,7,0)</f>
        <v>0</v>
      </c>
      <c r="AQ13" s="3">
        <f t="shared" si="10"/>
        <v>0</v>
      </c>
      <c r="AR13" s="5">
        <f>VLOOKUP(C13,[2]两年对比终版!$A:$X,23,0)</f>
        <v>0</v>
      </c>
      <c r="AS13" s="6">
        <f t="shared" si="11"/>
        <v>0</v>
      </c>
      <c r="AT13" s="3">
        <v>428</v>
      </c>
      <c r="AU13" s="3">
        <v>0</v>
      </c>
      <c r="AV13" s="3"/>
      <c r="AW13" s="3"/>
      <c r="AX13" s="3">
        <f t="shared" si="12"/>
        <v>0</v>
      </c>
      <c r="AY13" s="5">
        <f>VLOOKUP(C13,[2]两年对比终版!$A:$AD,30,0)</f>
        <v>0</v>
      </c>
      <c r="AZ13" s="6">
        <f t="shared" si="13"/>
        <v>0</v>
      </c>
    </row>
    <row r="14" spans="1:52" x14ac:dyDescent="0.15">
      <c r="A14" s="2">
        <v>10</v>
      </c>
      <c r="B14" s="2" t="s">
        <v>28</v>
      </c>
      <c r="C14" s="2" t="s">
        <v>31</v>
      </c>
      <c r="D14" s="3">
        <v>72</v>
      </c>
      <c r="E14" s="3">
        <v>0</v>
      </c>
      <c r="F14" s="3">
        <f>VLOOKUP(C14,'[1]5月25-5月31日汇总'!$C:$D,2,0)</f>
        <v>0</v>
      </c>
      <c r="G14" s="3">
        <f>VLOOKUP(C14,'[1]6月汇总'!$C:$D,2,0)</f>
        <v>0</v>
      </c>
      <c r="H14" s="3">
        <f t="shared" si="0"/>
        <v>0</v>
      </c>
      <c r="I14" s="5">
        <f>VLOOKUP(C14,[2]两年对比终版!$A:$C,3,0)</f>
        <v>0</v>
      </c>
      <c r="J14" s="6">
        <f t="shared" si="1"/>
        <v>0</v>
      </c>
      <c r="K14" s="3">
        <v>1085</v>
      </c>
      <c r="L14" s="3">
        <v>0</v>
      </c>
      <c r="M14" s="3">
        <f>VLOOKUP(C14,'[1]5月25-5月31日汇总'!$C:$E,3,0)</f>
        <v>0</v>
      </c>
      <c r="N14" s="3">
        <f>VLOOKUP(C14,'[1]6月汇总'!$C:$E,3,0)</f>
        <v>0</v>
      </c>
      <c r="O14" s="3">
        <f t="shared" si="2"/>
        <v>0</v>
      </c>
      <c r="P14" s="5">
        <f>VLOOKUP(C14,[2]两年对比终版!$A:$F,6,0)</f>
        <v>0</v>
      </c>
      <c r="Q14" s="6">
        <f t="shared" si="3"/>
        <v>0</v>
      </c>
      <c r="R14" s="3">
        <v>30</v>
      </c>
      <c r="S14" s="3">
        <v>0</v>
      </c>
      <c r="T14" s="3">
        <f>VLOOKUP(C14,'[1]5月25-5月31日汇总'!$C:$F,4,0)</f>
        <v>0</v>
      </c>
      <c r="U14" s="3">
        <f>VLOOKUP(C14,'[1]6月汇总'!$C:$F,4,0)</f>
        <v>0</v>
      </c>
      <c r="V14" s="3">
        <f t="shared" si="4"/>
        <v>0</v>
      </c>
      <c r="W14" s="5">
        <f>VLOOKUP(C14,[2]两年对比终版!$A:$N,14,0)</f>
        <v>0</v>
      </c>
      <c r="X14" s="6">
        <f t="shared" si="5"/>
        <v>0</v>
      </c>
      <c r="Y14" s="3">
        <v>450</v>
      </c>
      <c r="Z14" s="3">
        <v>0</v>
      </c>
      <c r="AA14" s="3">
        <f>VLOOKUP(C14,'[1]5月25-5月31日汇总'!$C:$G,5,0)</f>
        <v>0</v>
      </c>
      <c r="AB14" s="3">
        <f>VLOOKUP(C14,'[1]6月汇总'!$C:$G,5,0)</f>
        <v>0</v>
      </c>
      <c r="AC14" s="3">
        <f t="shared" si="6"/>
        <v>0</v>
      </c>
      <c r="AD14" s="5">
        <f>VLOOKUP(C14,[2]两年对比终版!$A:$Q,17,0)</f>
        <v>0</v>
      </c>
      <c r="AE14" s="6">
        <f t="shared" si="7"/>
        <v>0</v>
      </c>
      <c r="AF14" s="3">
        <v>30</v>
      </c>
      <c r="AG14" s="3">
        <v>0</v>
      </c>
      <c r="AH14" s="3">
        <f>VLOOKUP(C14,'[1]5月25-5月31日汇总'!$C:$H,6,0)</f>
        <v>0</v>
      </c>
      <c r="AI14" s="3">
        <f>VLOOKUP(C14,'[1]6月汇总'!$C:$I,6,0)</f>
        <v>0</v>
      </c>
      <c r="AJ14" s="3">
        <f t="shared" si="8"/>
        <v>0</v>
      </c>
      <c r="AK14" s="5">
        <f>VLOOKUP(C14,[2]两年对比终版!$A:$T,20,0)</f>
        <v>0</v>
      </c>
      <c r="AL14" s="6">
        <f t="shared" si="9"/>
        <v>0</v>
      </c>
      <c r="AM14" s="3">
        <v>450</v>
      </c>
      <c r="AN14" s="3">
        <v>0</v>
      </c>
      <c r="AO14" s="3">
        <f>VLOOKUP(C14,'[1]5月25-5月31日汇总'!$C:$I,7,0)</f>
        <v>0</v>
      </c>
      <c r="AP14" s="3">
        <f>VLOOKUP(C14,'[1]6月汇总'!$C:$I,7,0)</f>
        <v>0</v>
      </c>
      <c r="AQ14" s="3">
        <f t="shared" si="10"/>
        <v>0</v>
      </c>
      <c r="AR14" s="5">
        <f>VLOOKUP(C14,[2]两年对比终版!$A:$X,23,0)</f>
        <v>0</v>
      </c>
      <c r="AS14" s="6">
        <f t="shared" si="11"/>
        <v>0</v>
      </c>
      <c r="AT14" s="3">
        <v>428</v>
      </c>
      <c r="AU14" s="3">
        <v>0</v>
      </c>
      <c r="AV14" s="3"/>
      <c r="AW14" s="3"/>
      <c r="AX14" s="3">
        <f t="shared" si="12"/>
        <v>0</v>
      </c>
      <c r="AY14" s="5">
        <f>VLOOKUP(C14,[2]两年对比终版!$A:$AD,30,0)</f>
        <v>0</v>
      </c>
      <c r="AZ14" s="6">
        <f t="shared" si="13"/>
        <v>0</v>
      </c>
    </row>
    <row r="15" spans="1:52" x14ac:dyDescent="0.15">
      <c r="A15" s="11" t="s">
        <v>32</v>
      </c>
      <c r="B15" s="12"/>
      <c r="C15" s="12"/>
      <c r="D15" s="4">
        <f t="shared" ref="D15:I15" si="14">SUM(D5:D14)</f>
        <v>5256</v>
      </c>
      <c r="E15" s="4">
        <f t="shared" si="14"/>
        <v>1400</v>
      </c>
      <c r="F15" s="4">
        <f t="shared" si="14"/>
        <v>59</v>
      </c>
      <c r="G15" s="4">
        <f t="shared" si="14"/>
        <v>365</v>
      </c>
      <c r="H15" s="4">
        <f t="shared" si="14"/>
        <v>1824</v>
      </c>
      <c r="I15" s="7">
        <f t="shared" si="14"/>
        <v>2154</v>
      </c>
      <c r="J15" s="8">
        <f t="shared" si="1"/>
        <v>0.34703196347032</v>
      </c>
      <c r="K15" s="4">
        <f t="shared" ref="K15:O15" si="15">SUM(K5:K14)</f>
        <v>101740.12</v>
      </c>
      <c r="L15" s="4">
        <f t="shared" si="15"/>
        <v>26780.175999999999</v>
      </c>
      <c r="M15" s="4">
        <f t="shared" si="15"/>
        <v>1046.1099999999999</v>
      </c>
      <c r="N15" s="4">
        <f t="shared" si="15"/>
        <v>5720.1</v>
      </c>
      <c r="O15" s="4">
        <f t="shared" si="15"/>
        <v>33546.385999999999</v>
      </c>
      <c r="P15" s="7">
        <f>SUM(P5:P14)</f>
        <v>37379.965299999996</v>
      </c>
      <c r="Q15" s="8">
        <f t="shared" si="3"/>
        <v>0.32972622796198803</v>
      </c>
      <c r="R15" s="4">
        <f t="shared" ref="R15:V15" si="16">SUM(R5:R14)</f>
        <v>2300</v>
      </c>
      <c r="S15" s="4">
        <f t="shared" si="16"/>
        <v>819</v>
      </c>
      <c r="T15" s="4">
        <f t="shared" si="16"/>
        <v>53</v>
      </c>
      <c r="U15" s="4">
        <f t="shared" si="16"/>
        <v>152</v>
      </c>
      <c r="V15" s="4">
        <f t="shared" si="16"/>
        <v>1024</v>
      </c>
      <c r="W15" s="7">
        <f>SUM(W5:W14)</f>
        <v>890</v>
      </c>
      <c r="X15" s="8">
        <f t="shared" si="5"/>
        <v>0.44521739130434801</v>
      </c>
      <c r="Y15" s="4">
        <f t="shared" ref="Y15:AC15" si="17">SUM(Y5:Y14)</f>
        <v>41357</v>
      </c>
      <c r="Z15" s="4">
        <f t="shared" si="17"/>
        <v>13022.025</v>
      </c>
      <c r="AA15" s="4">
        <f t="shared" si="17"/>
        <v>786.1</v>
      </c>
      <c r="AB15" s="4">
        <f t="shared" si="17"/>
        <v>2144.3000000000002</v>
      </c>
      <c r="AC15" s="4">
        <f t="shared" si="17"/>
        <v>15952.424999999999</v>
      </c>
      <c r="AD15" s="7">
        <f>SUM(AD5:AD14)</f>
        <v>15906.592359999999</v>
      </c>
      <c r="AE15" s="8">
        <f t="shared" si="7"/>
        <v>0.385724907512634</v>
      </c>
      <c r="AF15" s="4">
        <f t="shared" ref="AF15:AJ15" si="18">SUM(AF5:AF14)</f>
        <v>2300</v>
      </c>
      <c r="AG15" s="4">
        <f t="shared" si="18"/>
        <v>591</v>
      </c>
      <c r="AH15" s="4">
        <f t="shared" si="18"/>
        <v>7</v>
      </c>
      <c r="AI15" s="4">
        <f t="shared" si="18"/>
        <v>258</v>
      </c>
      <c r="AJ15" s="4">
        <f t="shared" si="18"/>
        <v>856</v>
      </c>
      <c r="AK15" s="7">
        <f>SUM(AK5:AK14)</f>
        <v>613</v>
      </c>
      <c r="AL15" s="8">
        <f t="shared" si="9"/>
        <v>0.37217391304347802</v>
      </c>
      <c r="AM15" s="4">
        <f t="shared" ref="AM15:AQ15" si="19">SUM(AM5:AM14)</f>
        <v>41357</v>
      </c>
      <c r="AN15" s="4">
        <f t="shared" si="19"/>
        <v>10909.888999999999</v>
      </c>
      <c r="AO15" s="4">
        <f t="shared" si="19"/>
        <v>103.17</v>
      </c>
      <c r="AP15" s="4">
        <f t="shared" si="19"/>
        <v>3786.1165999999998</v>
      </c>
      <c r="AQ15" s="4">
        <f t="shared" si="19"/>
        <v>14799.1756</v>
      </c>
      <c r="AR15" s="7">
        <f>SUM(AR5:AR14)</f>
        <v>11385.117099999999</v>
      </c>
      <c r="AS15" s="8">
        <f t="shared" si="11"/>
        <v>0.35783967889353702</v>
      </c>
      <c r="AT15" s="4">
        <f t="shared" ref="AT15:AX15" si="20">SUM(AT5:AT14)</f>
        <v>39289</v>
      </c>
      <c r="AU15" s="4">
        <f t="shared" si="20"/>
        <v>7429.6059999999998</v>
      </c>
      <c r="AV15" s="4">
        <f t="shared" si="20"/>
        <v>0</v>
      </c>
      <c r="AW15" s="4">
        <f t="shared" si="20"/>
        <v>0</v>
      </c>
      <c r="AX15" s="4">
        <f t="shared" si="20"/>
        <v>7429.6059999999998</v>
      </c>
      <c r="AY15" s="7">
        <f>SUM(AY5:AY14)</f>
        <v>13115.431748138415</v>
      </c>
      <c r="AZ15" s="8">
        <f t="shared" si="13"/>
        <v>0.18910142788057699</v>
      </c>
    </row>
    <row r="16" spans="1:52" x14ac:dyDescent="0.15">
      <c r="A16" s="2">
        <v>11</v>
      </c>
      <c r="B16" s="2" t="s">
        <v>33</v>
      </c>
      <c r="C16" s="2" t="s">
        <v>34</v>
      </c>
      <c r="D16" s="3">
        <v>54</v>
      </c>
      <c r="E16" s="3">
        <v>34</v>
      </c>
      <c r="F16" s="3">
        <f>VLOOKUP(C16,'[1]5月25-5月31日汇总'!$C:$D,2,0)</f>
        <v>0</v>
      </c>
      <c r="G16" s="3">
        <f>VLOOKUP(C16,'[1]6月汇总'!$C:$D,2,0)</f>
        <v>10</v>
      </c>
      <c r="H16" s="3">
        <f t="shared" si="0"/>
        <v>44</v>
      </c>
      <c r="I16" s="5">
        <f>VLOOKUP(C16,[2]两年对比终版!$A:$C,3,0)</f>
        <v>35</v>
      </c>
      <c r="J16" s="6">
        <f t="shared" si="1"/>
        <v>0.81481481481481499</v>
      </c>
      <c r="K16" s="3">
        <v>540</v>
      </c>
      <c r="L16" s="3">
        <v>293.5</v>
      </c>
      <c r="M16" s="3">
        <f>VLOOKUP(C16,'[1]5月25-5月31日汇总'!$C:$E,3,0)</f>
        <v>0</v>
      </c>
      <c r="N16" s="3">
        <f>VLOOKUP(C16,'[1]6月汇总'!$C:$E,3,0)</f>
        <v>8</v>
      </c>
      <c r="O16" s="3">
        <f t="shared" si="2"/>
        <v>301.5</v>
      </c>
      <c r="P16" s="5">
        <f>VLOOKUP(C16,[2]两年对比终版!$A:$F,6,0)</f>
        <v>287.19</v>
      </c>
      <c r="Q16" s="6">
        <f t="shared" si="3"/>
        <v>0.55833333333333302</v>
      </c>
      <c r="R16" s="3">
        <v>32</v>
      </c>
      <c r="S16" s="3">
        <v>4</v>
      </c>
      <c r="T16" s="3">
        <f>VLOOKUP(C16,'[1]5月25-5月31日汇总'!$C:$F,4,0)</f>
        <v>0</v>
      </c>
      <c r="U16" s="3">
        <f>VLOOKUP(C16,'[1]6月汇总'!$C:$F,4,0)</f>
        <v>8</v>
      </c>
      <c r="V16" s="3">
        <f t="shared" si="4"/>
        <v>12</v>
      </c>
      <c r="W16" s="5">
        <f>VLOOKUP(C16,[2]两年对比终版!$A:$N,14,0)</f>
        <v>1</v>
      </c>
      <c r="X16" s="6">
        <f t="shared" si="5"/>
        <v>0.375</v>
      </c>
      <c r="Y16" s="3">
        <v>264.16300000000001</v>
      </c>
      <c r="Z16" s="3">
        <v>36.200000000000003</v>
      </c>
      <c r="AA16" s="3">
        <f>VLOOKUP(C16,'[1]5月25-5月31日汇总'!$C:$G,5,0)</f>
        <v>0</v>
      </c>
      <c r="AB16" s="3">
        <f>VLOOKUP(C16,'[1]6月汇总'!$C:$G,5,0)</f>
        <v>48</v>
      </c>
      <c r="AC16" s="3">
        <f t="shared" si="6"/>
        <v>84.2</v>
      </c>
      <c r="AD16" s="5">
        <f>VLOOKUP(C16,[2]两年对比终版!$A:$Q,17,0)</f>
        <v>7.6</v>
      </c>
      <c r="AE16" s="6">
        <f t="shared" si="7"/>
        <v>0.31874259453443499</v>
      </c>
      <c r="AF16" s="3">
        <v>32</v>
      </c>
      <c r="AG16" s="3">
        <v>6</v>
      </c>
      <c r="AH16" s="3">
        <f>VLOOKUP(C16,'[1]5月25-5月31日汇总'!$C:$H,6,0)</f>
        <v>0</v>
      </c>
      <c r="AI16" s="3">
        <f>VLOOKUP(C16,'[1]6月汇总'!$C:$I,6,0)</f>
        <v>6</v>
      </c>
      <c r="AJ16" s="3">
        <f t="shared" si="8"/>
        <v>12</v>
      </c>
      <c r="AK16" s="5">
        <f>VLOOKUP(C16,[2]两年对比终版!$A:$T,20,0)</f>
        <v>1</v>
      </c>
      <c r="AL16" s="6">
        <f t="shared" si="9"/>
        <v>0.375</v>
      </c>
      <c r="AM16" s="3">
        <v>264.16300000000001</v>
      </c>
      <c r="AN16" s="3">
        <v>55.487099999999998</v>
      </c>
      <c r="AO16" s="3">
        <f>VLOOKUP(C16,'[1]5月25-5月31日汇总'!$C:$I,7,0)</f>
        <v>0</v>
      </c>
      <c r="AP16" s="3">
        <f>VLOOKUP(C16,'[1]6月汇总'!$C:$I,7,0)</f>
        <v>60</v>
      </c>
      <c r="AQ16" s="3">
        <f t="shared" si="10"/>
        <v>115.4871</v>
      </c>
      <c r="AR16" s="5">
        <f>VLOOKUP(C16,[2]两年对比终版!$A:$X,23,0)</f>
        <v>7.6</v>
      </c>
      <c r="AS16" s="6">
        <f t="shared" si="11"/>
        <v>0.43718121008619698</v>
      </c>
      <c r="AT16" s="3">
        <v>251</v>
      </c>
      <c r="AU16" s="3">
        <v>4.8</v>
      </c>
      <c r="AV16" s="3"/>
      <c r="AW16" s="3"/>
      <c r="AX16" s="3">
        <f t="shared" si="12"/>
        <v>4.8</v>
      </c>
      <c r="AY16" s="5">
        <f>VLOOKUP(C16,[2]两年对比终版!$A:$AD,30,0)</f>
        <v>7.6</v>
      </c>
      <c r="AZ16" s="6">
        <f t="shared" si="13"/>
        <v>1.9123505976095599E-2</v>
      </c>
    </row>
    <row r="17" spans="1:52" x14ac:dyDescent="0.15">
      <c r="A17" s="2">
        <v>12</v>
      </c>
      <c r="B17" s="2" t="s">
        <v>19</v>
      </c>
      <c r="C17" s="2" t="s">
        <v>35</v>
      </c>
      <c r="D17" s="3">
        <v>277</v>
      </c>
      <c r="E17" s="3">
        <v>67</v>
      </c>
      <c r="F17" s="3">
        <f>VLOOKUP(C17,'[1]5月25-5月31日汇总'!$C:$D,2,0)</f>
        <v>20</v>
      </c>
      <c r="G17" s="3">
        <f>VLOOKUP(C17,'[1]6月汇总'!$C:$D,2,0)</f>
        <v>47</v>
      </c>
      <c r="H17" s="3">
        <f t="shared" si="0"/>
        <v>134</v>
      </c>
      <c r="I17" s="5">
        <f>VLOOKUP(C17,[2]两年对比终版!$A:$C,3,0)</f>
        <v>196</v>
      </c>
      <c r="J17" s="6">
        <f t="shared" si="1"/>
        <v>0.483754512635379</v>
      </c>
      <c r="K17" s="3">
        <v>6100</v>
      </c>
      <c r="L17" s="3">
        <v>1640.06</v>
      </c>
      <c r="M17" s="3">
        <f>VLOOKUP(C17,'[1]5月25-5月31日汇总'!$C:$E,3,0)</f>
        <v>1000</v>
      </c>
      <c r="N17" s="3">
        <f>VLOOKUP(C17,'[1]6月汇总'!$C:$E,3,0)</f>
        <v>1000</v>
      </c>
      <c r="O17" s="3">
        <f t="shared" si="2"/>
        <v>3640.06</v>
      </c>
      <c r="P17" s="5">
        <f>VLOOKUP(C17,[2]两年对比终版!$A:$F,6,0)</f>
        <v>4135.4804710000099</v>
      </c>
      <c r="Q17" s="6">
        <f t="shared" si="3"/>
        <v>0.596731147540984</v>
      </c>
      <c r="R17" s="3">
        <v>101</v>
      </c>
      <c r="S17" s="3">
        <v>4</v>
      </c>
      <c r="T17" s="3">
        <f>VLOOKUP(C17,'[1]5月25-5月31日汇总'!$C:$F,4,0)</f>
        <v>0</v>
      </c>
      <c r="U17" s="3">
        <f>VLOOKUP(C17,'[1]6月汇总'!$C:$F,4,0)</f>
        <v>0</v>
      </c>
      <c r="V17" s="3">
        <f t="shared" si="4"/>
        <v>4</v>
      </c>
      <c r="W17" s="5">
        <f>VLOOKUP(C17,[2]两年对比终版!$A:$N,14,0)</f>
        <v>77</v>
      </c>
      <c r="X17" s="6">
        <f t="shared" si="5"/>
        <v>3.9603960396039598E-2</v>
      </c>
      <c r="Y17" s="3">
        <v>2153</v>
      </c>
      <c r="Z17" s="3">
        <v>74.276200000000003</v>
      </c>
      <c r="AA17" s="3">
        <f>VLOOKUP(C17,'[1]5月25-5月31日汇总'!$C:$G,5,0)</f>
        <v>0</v>
      </c>
      <c r="AB17" s="3">
        <f>VLOOKUP(C17,'[1]6月汇总'!$C:$G,5,0)</f>
        <v>0</v>
      </c>
      <c r="AC17" s="3">
        <f t="shared" si="6"/>
        <v>74.276200000000003</v>
      </c>
      <c r="AD17" s="5">
        <f>VLOOKUP(C17,[2]两年对比终版!$A:$Q,17,0)</f>
        <v>1734.6186439999999</v>
      </c>
      <c r="AE17" s="6">
        <f t="shared" si="7"/>
        <v>3.4498931723177001E-2</v>
      </c>
      <c r="AF17" s="3">
        <v>101</v>
      </c>
      <c r="AG17" s="3">
        <v>28</v>
      </c>
      <c r="AH17" s="3">
        <f>VLOOKUP(C17,'[1]5月25-5月31日汇总'!$C:$H,6,0)</f>
        <v>4</v>
      </c>
      <c r="AI17" s="3">
        <f>VLOOKUP(C17,'[1]6月汇总'!$C:$I,6,0)</f>
        <v>9</v>
      </c>
      <c r="AJ17" s="3">
        <f t="shared" si="8"/>
        <v>41</v>
      </c>
      <c r="AK17" s="5">
        <f>VLOOKUP(C17,[2]两年对比终版!$A:$T,20,0)</f>
        <v>25</v>
      </c>
      <c r="AL17" s="6">
        <f t="shared" si="9"/>
        <v>0.40594059405940602</v>
      </c>
      <c r="AM17" s="3">
        <v>2153</v>
      </c>
      <c r="AN17" s="3">
        <v>530.43799999999999</v>
      </c>
      <c r="AO17" s="3">
        <f>VLOOKUP(C17,'[1]5月25-5月31日汇总'!$C:$I,7,0)</f>
        <v>80</v>
      </c>
      <c r="AP17" s="3">
        <f>VLOOKUP(C17,'[1]6月汇总'!$C:$I,7,0)</f>
        <v>180</v>
      </c>
      <c r="AQ17" s="3">
        <f t="shared" si="10"/>
        <v>790.43799999999999</v>
      </c>
      <c r="AR17" s="5">
        <f>VLOOKUP(C17,[2]两年对比终版!$A:$X,23,0)</f>
        <v>619.60194100000001</v>
      </c>
      <c r="AS17" s="6">
        <f t="shared" si="11"/>
        <v>0.36713330236878799</v>
      </c>
      <c r="AT17" s="3">
        <v>2045</v>
      </c>
      <c r="AU17" s="3">
        <v>478.41</v>
      </c>
      <c r="AV17" s="3"/>
      <c r="AW17" s="3"/>
      <c r="AX17" s="3">
        <f t="shared" si="12"/>
        <v>478.41</v>
      </c>
      <c r="AY17" s="5">
        <f>VLOOKUP(C17,[2]两年对比终版!$A:$AD,30,0)</f>
        <v>1226.4742136985001</v>
      </c>
      <c r="AZ17" s="6">
        <f t="shared" si="13"/>
        <v>0.23394132029339901</v>
      </c>
    </row>
    <row r="18" spans="1:52" x14ac:dyDescent="0.15">
      <c r="A18" s="2">
        <v>13</v>
      </c>
      <c r="B18" s="2" t="s">
        <v>19</v>
      </c>
      <c r="C18" s="2" t="s">
        <v>36</v>
      </c>
      <c r="D18" s="3">
        <v>566</v>
      </c>
      <c r="E18" s="3">
        <v>243</v>
      </c>
      <c r="F18" s="3">
        <f>VLOOKUP(C18,'[1]5月25-5月31日汇总'!$C:$D,2,0)</f>
        <v>75</v>
      </c>
      <c r="G18" s="3">
        <f>VLOOKUP(C18,'[1]6月汇总'!$C:$D,2,0)</f>
        <v>49</v>
      </c>
      <c r="H18" s="3">
        <f t="shared" si="0"/>
        <v>367</v>
      </c>
      <c r="I18" s="5">
        <f>VLOOKUP(C18,[2]两年对比终版!$A:$C,3,0)</f>
        <v>260</v>
      </c>
      <c r="J18" s="6">
        <f t="shared" si="1"/>
        <v>0.64840989399293303</v>
      </c>
      <c r="K18" s="3">
        <v>20400</v>
      </c>
      <c r="L18" s="3">
        <v>5502.59</v>
      </c>
      <c r="M18" s="3">
        <f>VLOOKUP(C18,'[1]5月25-5月31日汇总'!$C:$E,3,0)</f>
        <v>2600</v>
      </c>
      <c r="N18" s="3">
        <f>VLOOKUP(C18,'[1]6月汇总'!$C:$E,3,0)</f>
        <v>1010</v>
      </c>
      <c r="O18" s="3">
        <f t="shared" si="2"/>
        <v>9112.59</v>
      </c>
      <c r="P18" s="5">
        <f>VLOOKUP(C18,[2]两年对比终版!$A:$F,6,0)</f>
        <v>5925.60401799999</v>
      </c>
      <c r="Q18" s="6">
        <f t="shared" si="3"/>
        <v>0.44669558823529398</v>
      </c>
      <c r="R18" s="3">
        <v>260</v>
      </c>
      <c r="S18" s="3">
        <v>140</v>
      </c>
      <c r="T18" s="3">
        <f>VLOOKUP(C18,'[1]5月25-5月31日汇总'!$C:$F,4,0)</f>
        <v>0</v>
      </c>
      <c r="U18" s="3">
        <f>VLOOKUP(C18,'[1]6月汇总'!$C:$F,4,0)</f>
        <v>10</v>
      </c>
      <c r="V18" s="3">
        <f t="shared" si="4"/>
        <v>150</v>
      </c>
      <c r="W18" s="5">
        <f>VLOOKUP(C18,[2]两年对比终版!$A:$N,14,0)</f>
        <v>106</v>
      </c>
      <c r="X18" s="6">
        <f t="shared" si="5"/>
        <v>0.57692307692307698</v>
      </c>
      <c r="Y18" s="3">
        <v>8500</v>
      </c>
      <c r="Z18" s="3">
        <v>6203.39</v>
      </c>
      <c r="AA18" s="3">
        <f>VLOOKUP(C18,'[1]5月25-5月31日汇总'!$C:$G,5,0)</f>
        <v>0</v>
      </c>
      <c r="AB18" s="3">
        <f>VLOOKUP(C18,'[1]6月汇总'!$C:$G,5,0)</f>
        <v>400</v>
      </c>
      <c r="AC18" s="3">
        <f t="shared" si="6"/>
        <v>6603.39</v>
      </c>
      <c r="AD18" s="5">
        <f>VLOOKUP(C18,[2]两年对比终版!$A:$Q,17,0)</f>
        <v>3966.071629</v>
      </c>
      <c r="AE18" s="6">
        <f t="shared" si="7"/>
        <v>0.77686941176470603</v>
      </c>
      <c r="AF18" s="3">
        <v>260</v>
      </c>
      <c r="AG18" s="3">
        <v>155</v>
      </c>
      <c r="AH18" s="3">
        <f>VLOOKUP(C18,'[1]5月25-5月31日汇总'!$C:$H,6,0)</f>
        <v>3</v>
      </c>
      <c r="AI18" s="3">
        <f>VLOOKUP(C18,'[1]6月汇总'!$C:$I,6,0)</f>
        <v>13</v>
      </c>
      <c r="AJ18" s="3">
        <f t="shared" si="8"/>
        <v>171</v>
      </c>
      <c r="AK18" s="5">
        <f>VLOOKUP(C18,[2]两年对比终版!$A:$T,20,0)</f>
        <v>10</v>
      </c>
      <c r="AL18" s="6">
        <f t="shared" si="9"/>
        <v>0.65769230769230802</v>
      </c>
      <c r="AM18" s="3">
        <v>8500</v>
      </c>
      <c r="AN18" s="3">
        <v>6707.44</v>
      </c>
      <c r="AO18" s="3">
        <f>VLOOKUP(C18,'[1]5月25-5月31日汇总'!$C:$I,7,0)</f>
        <v>100</v>
      </c>
      <c r="AP18" s="3">
        <f>VLOOKUP(C18,'[1]6月汇总'!$C:$I,7,0)</f>
        <v>470</v>
      </c>
      <c r="AQ18" s="3">
        <f t="shared" si="10"/>
        <v>7277.44</v>
      </c>
      <c r="AR18" s="5">
        <f>VLOOKUP(C18,[2]两年对比终版!$A:$X,23,0)</f>
        <v>374.14792599999998</v>
      </c>
      <c r="AS18" s="6">
        <f t="shared" si="11"/>
        <v>0.85616941176470596</v>
      </c>
      <c r="AT18" s="3">
        <v>8075</v>
      </c>
      <c r="AU18" s="3">
        <v>23.422599999999999</v>
      </c>
      <c r="AV18" s="3"/>
      <c r="AW18" s="3"/>
      <c r="AX18" s="3">
        <f t="shared" si="12"/>
        <v>23.422599999999999</v>
      </c>
      <c r="AY18" s="5">
        <f>VLOOKUP(C18,[2]两年对比终版!$A:$AD,30,0)</f>
        <v>15.197813281249999</v>
      </c>
      <c r="AZ18" s="6">
        <f t="shared" si="13"/>
        <v>2.9006315789473699E-3</v>
      </c>
    </row>
    <row r="19" spans="1:52" x14ac:dyDescent="0.15">
      <c r="A19" s="2">
        <v>14</v>
      </c>
      <c r="B19" s="2" t="s">
        <v>33</v>
      </c>
      <c r="C19" s="2" t="s">
        <v>37</v>
      </c>
      <c r="D19" s="3">
        <v>90</v>
      </c>
      <c r="E19" s="3">
        <v>25</v>
      </c>
      <c r="F19" s="3">
        <f>VLOOKUP(C19,'[1]5月25-5月31日汇总'!$C:$D,2,0)</f>
        <v>3</v>
      </c>
      <c r="G19" s="3">
        <f>VLOOKUP(C19,'[1]6月汇总'!$C:$D,2,0)</f>
        <v>10</v>
      </c>
      <c r="H19" s="3">
        <f t="shared" si="0"/>
        <v>38</v>
      </c>
      <c r="I19" s="5">
        <f>VLOOKUP(C19,[2]两年对比终版!$A:$C,3,0)</f>
        <v>52</v>
      </c>
      <c r="J19" s="6">
        <f t="shared" si="1"/>
        <v>0.422222222222222</v>
      </c>
      <c r="K19" s="3">
        <v>840</v>
      </c>
      <c r="L19" s="3">
        <v>336.43900000000002</v>
      </c>
      <c r="M19" s="3">
        <f>VLOOKUP(C19,'[1]5月25-5月31日汇总'!$C:$E,3,0)</f>
        <v>24</v>
      </c>
      <c r="N19" s="3">
        <f>VLOOKUP(C19,'[1]6月汇总'!$C:$E,3,0)</f>
        <v>80</v>
      </c>
      <c r="O19" s="3">
        <f t="shared" si="2"/>
        <v>440.43900000000002</v>
      </c>
      <c r="P19" s="5">
        <f>VLOOKUP(C19,[2]两年对比终版!$A:$F,6,0)</f>
        <v>517.46812299999999</v>
      </c>
      <c r="Q19" s="6">
        <f t="shared" si="3"/>
        <v>0.52433214285714302</v>
      </c>
      <c r="R19" s="3">
        <v>25</v>
      </c>
      <c r="S19" s="3">
        <v>5</v>
      </c>
      <c r="T19" s="3">
        <f>VLOOKUP(C19,'[1]5月25-5月31日汇总'!$C:$F,4,0)</f>
        <v>1</v>
      </c>
      <c r="U19" s="3">
        <f>VLOOKUP(C19,'[1]6月汇总'!$C:$F,4,0)</f>
        <v>2</v>
      </c>
      <c r="V19" s="3">
        <f t="shared" si="4"/>
        <v>8</v>
      </c>
      <c r="W19" s="5">
        <f>VLOOKUP(C19,[2]两年对比终版!$A:$N,14,0)</f>
        <v>26</v>
      </c>
      <c r="X19" s="6">
        <f t="shared" si="5"/>
        <v>0.32</v>
      </c>
      <c r="Y19" s="3">
        <v>200</v>
      </c>
      <c r="Z19" s="3">
        <v>58.990299999999998</v>
      </c>
      <c r="AA19" s="3">
        <f>VLOOKUP(C19,'[1]5月25-5月31日汇总'!$C:$G,5,0)</f>
        <v>15.54</v>
      </c>
      <c r="AB19" s="3">
        <f>VLOOKUP(C19,'[1]6月汇总'!$C:$G,5,0)</f>
        <v>18.34</v>
      </c>
      <c r="AC19" s="3">
        <f t="shared" si="6"/>
        <v>92.8703</v>
      </c>
      <c r="AD19" s="5">
        <f>VLOOKUP(C19,[2]两年对比终版!$A:$Q,17,0)</f>
        <v>239.82782900000001</v>
      </c>
      <c r="AE19" s="6">
        <f t="shared" si="7"/>
        <v>0.46435149999999997</v>
      </c>
      <c r="AF19" s="3">
        <v>25</v>
      </c>
      <c r="AG19" s="3">
        <v>5</v>
      </c>
      <c r="AH19" s="3">
        <f>VLOOKUP(C19,'[1]5月25-5月31日汇总'!$C:$H,6,0)</f>
        <v>0</v>
      </c>
      <c r="AI19" s="3">
        <f>VLOOKUP(C19,'[1]6月汇总'!$C:$I,6,0)</f>
        <v>3</v>
      </c>
      <c r="AJ19" s="3">
        <f t="shared" si="8"/>
        <v>8</v>
      </c>
      <c r="AK19" s="5">
        <f>VLOOKUP(C19,[2]两年对比终版!$A:$T,20,0)</f>
        <v>25</v>
      </c>
      <c r="AL19" s="6">
        <f t="shared" si="9"/>
        <v>0.32</v>
      </c>
      <c r="AM19" s="3">
        <v>200</v>
      </c>
      <c r="AN19" s="3">
        <v>56.312100000000001</v>
      </c>
      <c r="AO19" s="3">
        <f>VLOOKUP(C19,'[1]5月25-5月31日汇总'!$C:$I,7,0)</f>
        <v>0</v>
      </c>
      <c r="AP19" s="3">
        <f>VLOOKUP(C19,'[1]6月汇总'!$C:$I,7,0)</f>
        <v>37.729999999999997</v>
      </c>
      <c r="AQ19" s="3">
        <f t="shared" si="10"/>
        <v>94.042100000000005</v>
      </c>
      <c r="AR19" s="5">
        <f>VLOOKUP(C19,[2]两年对比终版!$A:$X,23,0)</f>
        <v>233.58912900000001</v>
      </c>
      <c r="AS19" s="6">
        <f t="shared" si="11"/>
        <v>0.47021049999999998</v>
      </c>
      <c r="AT19" s="3">
        <v>190</v>
      </c>
      <c r="AU19" s="3">
        <v>22.531500000000001</v>
      </c>
      <c r="AV19" s="3"/>
      <c r="AW19" s="3"/>
      <c r="AX19" s="3">
        <f t="shared" si="12"/>
        <v>22.531500000000001</v>
      </c>
      <c r="AY19" s="5">
        <f>VLOOKUP(C19,[2]两年对比终版!$A:$AD,30,0)</f>
        <v>283.50055184783901</v>
      </c>
      <c r="AZ19" s="6">
        <f t="shared" si="13"/>
        <v>0.118586842105263</v>
      </c>
    </row>
    <row r="20" spans="1:52" x14ac:dyDescent="0.15">
      <c r="A20" s="2">
        <v>15</v>
      </c>
      <c r="B20" s="2" t="s">
        <v>33</v>
      </c>
      <c r="C20" s="2" t="s">
        <v>38</v>
      </c>
      <c r="D20" s="3">
        <v>136</v>
      </c>
      <c r="E20" s="3">
        <v>49</v>
      </c>
      <c r="F20" s="3">
        <f>VLOOKUP(C20,'[1]5月25-5月31日汇总'!$C:$D,2,0)</f>
        <v>2</v>
      </c>
      <c r="G20" s="3">
        <f>VLOOKUP(C20,'[1]6月汇总'!$C:$D,2,0)</f>
        <v>20</v>
      </c>
      <c r="H20" s="3">
        <f t="shared" si="0"/>
        <v>71</v>
      </c>
      <c r="I20" s="5">
        <f>VLOOKUP(C20,[2]两年对比终版!$A:$C,3,0)</f>
        <v>0</v>
      </c>
      <c r="J20" s="6">
        <f t="shared" si="1"/>
        <v>0.52205882352941202</v>
      </c>
      <c r="K20" s="3">
        <v>1200</v>
      </c>
      <c r="L20" s="3">
        <v>429.24</v>
      </c>
      <c r="M20" s="3">
        <f>VLOOKUP(C20,'[1]5月25-5月31日汇总'!$C:$E,3,0)</f>
        <v>13</v>
      </c>
      <c r="N20" s="3">
        <f>VLOOKUP(C20,'[1]6月汇总'!$C:$E,3,0)</f>
        <v>160</v>
      </c>
      <c r="O20" s="3">
        <f t="shared" si="2"/>
        <v>602.24</v>
      </c>
      <c r="P20" s="5">
        <f>VLOOKUP(C20,[2]两年对比终版!$A:$F,6,0)</f>
        <v>0</v>
      </c>
      <c r="Q20" s="6">
        <f t="shared" si="3"/>
        <v>0.50186666666666702</v>
      </c>
      <c r="R20" s="3">
        <v>36</v>
      </c>
      <c r="S20" s="3">
        <v>12</v>
      </c>
      <c r="T20" s="3">
        <f>VLOOKUP(C20,'[1]5月25-5月31日汇总'!$C:$F,4,0)</f>
        <v>0</v>
      </c>
      <c r="U20" s="3">
        <f>VLOOKUP(C20,'[1]6月汇总'!$C:$F,4,0)</f>
        <v>10</v>
      </c>
      <c r="V20" s="3">
        <f t="shared" si="4"/>
        <v>22</v>
      </c>
      <c r="W20" s="5">
        <f>VLOOKUP(C20,[2]两年对比终版!$A:$N,14,0)</f>
        <v>0</v>
      </c>
      <c r="X20" s="6">
        <f t="shared" si="5"/>
        <v>0.61111111111111105</v>
      </c>
      <c r="Y20" s="3">
        <v>300</v>
      </c>
      <c r="Z20" s="3">
        <v>100.68</v>
      </c>
      <c r="AA20" s="3">
        <f>VLOOKUP(C20,'[1]5月25-5月31日汇总'!$C:$G,5,0)</f>
        <v>0</v>
      </c>
      <c r="AB20" s="3">
        <f>VLOOKUP(C20,'[1]6月汇总'!$C:$G,5,0)</f>
        <v>100</v>
      </c>
      <c r="AC20" s="3">
        <f t="shared" si="6"/>
        <v>200.68</v>
      </c>
      <c r="AD20" s="5">
        <f>VLOOKUP(C20,[2]两年对比终版!$A:$Q,17,0)</f>
        <v>0</v>
      </c>
      <c r="AE20" s="6">
        <f t="shared" si="7"/>
        <v>0.66893333333333305</v>
      </c>
      <c r="AF20" s="3">
        <v>36</v>
      </c>
      <c r="AG20" s="3">
        <v>9</v>
      </c>
      <c r="AH20" s="3">
        <f>VLOOKUP(C20,'[1]5月25-5月31日汇总'!$C:$H,6,0)</f>
        <v>0</v>
      </c>
      <c r="AI20" s="3">
        <f>VLOOKUP(C20,'[1]6月汇总'!$C:$I,6,0)</f>
        <v>5</v>
      </c>
      <c r="AJ20" s="3">
        <f t="shared" si="8"/>
        <v>14</v>
      </c>
      <c r="AK20" s="5">
        <f>VLOOKUP(C20,[2]两年对比终版!$A:$T,20,0)</f>
        <v>0</v>
      </c>
      <c r="AL20" s="6">
        <f t="shared" si="9"/>
        <v>0.38888888888888901</v>
      </c>
      <c r="AM20" s="3">
        <v>300</v>
      </c>
      <c r="AN20" s="3">
        <v>74.13</v>
      </c>
      <c r="AO20" s="3">
        <f>VLOOKUP(C20,'[1]5月25-5月31日汇总'!$C:$I,7,0)</f>
        <v>0</v>
      </c>
      <c r="AP20" s="3">
        <f>VLOOKUP(C20,'[1]6月汇总'!$C:$I,7,0)</f>
        <v>40</v>
      </c>
      <c r="AQ20" s="3">
        <f t="shared" si="10"/>
        <v>114.13</v>
      </c>
      <c r="AR20" s="5">
        <f>VLOOKUP(C20,[2]两年对比终版!$A:$X,23,0)</f>
        <v>0</v>
      </c>
      <c r="AS20" s="6">
        <f t="shared" si="11"/>
        <v>0.38043333333333301</v>
      </c>
      <c r="AT20" s="3">
        <v>285</v>
      </c>
      <c r="AU20" s="3">
        <v>106.129</v>
      </c>
      <c r="AV20" s="3"/>
      <c r="AW20" s="3"/>
      <c r="AX20" s="3">
        <f t="shared" si="12"/>
        <v>106.129</v>
      </c>
      <c r="AY20" s="5">
        <f>VLOOKUP(C20,[2]两年对比终版!$A:$AD,30,0)</f>
        <v>0</v>
      </c>
      <c r="AZ20" s="6">
        <f t="shared" si="13"/>
        <v>0.37238245614035098</v>
      </c>
    </row>
    <row r="21" spans="1:52" x14ac:dyDescent="0.15">
      <c r="A21" s="2">
        <v>16</v>
      </c>
      <c r="B21" s="2" t="s">
        <v>33</v>
      </c>
      <c r="C21" s="2" t="s">
        <v>39</v>
      </c>
      <c r="D21" s="3">
        <v>40</v>
      </c>
      <c r="E21" s="3">
        <v>5</v>
      </c>
      <c r="F21" s="3">
        <f>VLOOKUP(C21,'[1]5月25-5月31日汇总'!$C:$D,2,0)</f>
        <v>0</v>
      </c>
      <c r="G21" s="3">
        <f>VLOOKUP(C21,'[1]6月汇总'!$C:$D,2,0)</f>
        <v>6</v>
      </c>
      <c r="H21" s="3">
        <f t="shared" si="0"/>
        <v>11</v>
      </c>
      <c r="I21" s="5">
        <f>VLOOKUP(C21,[2]两年对比终版!$A:$C,3,0)</f>
        <v>94</v>
      </c>
      <c r="J21" s="6">
        <f t="shared" si="1"/>
        <v>0.27500000000000002</v>
      </c>
      <c r="K21" s="3">
        <v>200</v>
      </c>
      <c r="L21" s="3">
        <v>40.681399999999996</v>
      </c>
      <c r="M21" s="3">
        <f>VLOOKUP(C21,'[1]5月25-5月31日汇总'!$C:$E,3,0)</f>
        <v>0</v>
      </c>
      <c r="N21" s="3">
        <f>VLOOKUP(C21,'[1]6月汇总'!$C:$E,3,0)</f>
        <v>30</v>
      </c>
      <c r="O21" s="3">
        <f t="shared" si="2"/>
        <v>70.681399999999996</v>
      </c>
      <c r="P21" s="5">
        <f>VLOOKUP(C21,[2]两年对比终版!$A:$F,6,0)</f>
        <v>1146.336677</v>
      </c>
      <c r="Q21" s="6">
        <f t="shared" si="3"/>
        <v>0.35340700000000003</v>
      </c>
      <c r="R21" s="3">
        <v>36</v>
      </c>
      <c r="S21" s="3">
        <v>0</v>
      </c>
      <c r="T21" s="3">
        <f>VLOOKUP(C21,'[1]5月25-5月31日汇总'!$C:$F,4,0)</f>
        <v>0</v>
      </c>
      <c r="U21" s="3">
        <f>VLOOKUP(C21,'[1]6月汇总'!$C:$F,4,0)</f>
        <v>0</v>
      </c>
      <c r="V21" s="3">
        <f t="shared" si="4"/>
        <v>0</v>
      </c>
      <c r="W21" s="5">
        <f>VLOOKUP(C21,[2]两年对比终版!$A:$N,14,0)</f>
        <v>0</v>
      </c>
      <c r="X21" s="6">
        <f t="shared" si="5"/>
        <v>0</v>
      </c>
      <c r="Y21" s="3">
        <v>200</v>
      </c>
      <c r="Z21" s="3">
        <v>0</v>
      </c>
      <c r="AA21" s="3">
        <f>VLOOKUP(C21,'[1]5月25-5月31日汇总'!$C:$G,5,0)</f>
        <v>0</v>
      </c>
      <c r="AB21" s="3">
        <f>VLOOKUP(C21,'[1]6月汇总'!$C:$G,5,0)</f>
        <v>0</v>
      </c>
      <c r="AC21" s="3">
        <f t="shared" si="6"/>
        <v>0</v>
      </c>
      <c r="AD21" s="5">
        <f>VLOOKUP(C21,[2]两年对比终版!$A:$Q,17,0)</f>
        <v>0</v>
      </c>
      <c r="AE21" s="6">
        <f t="shared" si="7"/>
        <v>0</v>
      </c>
      <c r="AF21" s="3">
        <v>36</v>
      </c>
      <c r="AG21" s="3">
        <v>0</v>
      </c>
      <c r="AH21" s="3">
        <f>VLOOKUP(C21,'[1]5月25-5月31日汇总'!$C:$H,6,0)</f>
        <v>0</v>
      </c>
      <c r="AI21" s="3">
        <f>VLOOKUP(C21,'[1]6月汇总'!$C:$I,6,0)</f>
        <v>0</v>
      </c>
      <c r="AJ21" s="3">
        <f t="shared" si="8"/>
        <v>0</v>
      </c>
      <c r="AK21" s="5">
        <f>VLOOKUP(C21,[2]两年对比终版!$A:$T,20,0)</f>
        <v>0</v>
      </c>
      <c r="AL21" s="6">
        <f t="shared" si="9"/>
        <v>0</v>
      </c>
      <c r="AM21" s="3">
        <v>200</v>
      </c>
      <c r="AN21" s="3">
        <v>0</v>
      </c>
      <c r="AO21" s="3">
        <f>VLOOKUP(C21,'[1]5月25-5月31日汇总'!$C:$I,7,0)</f>
        <v>0</v>
      </c>
      <c r="AP21" s="3">
        <f>VLOOKUP(C21,'[1]6月汇总'!$C:$I,7,0)</f>
        <v>0</v>
      </c>
      <c r="AQ21" s="3">
        <f t="shared" si="10"/>
        <v>0</v>
      </c>
      <c r="AR21" s="5">
        <f>VLOOKUP(C21,[2]两年对比终版!$A:$X,23,0)</f>
        <v>0</v>
      </c>
      <c r="AS21" s="6">
        <f t="shared" si="11"/>
        <v>0</v>
      </c>
      <c r="AT21" s="3">
        <v>190</v>
      </c>
      <c r="AU21" s="3">
        <v>0</v>
      </c>
      <c r="AV21" s="3"/>
      <c r="AW21" s="3"/>
      <c r="AX21" s="3">
        <f t="shared" si="12"/>
        <v>0</v>
      </c>
      <c r="AY21" s="5">
        <f>VLOOKUP(C21,[2]两年对比终版!$A:$AD,30,0)</f>
        <v>0</v>
      </c>
      <c r="AZ21" s="6">
        <f t="shared" si="13"/>
        <v>0</v>
      </c>
    </row>
    <row r="22" spans="1:52" x14ac:dyDescent="0.15">
      <c r="A22" s="2">
        <v>17</v>
      </c>
      <c r="B22" s="2" t="s">
        <v>25</v>
      </c>
      <c r="C22" s="2" t="s">
        <v>40</v>
      </c>
      <c r="D22" s="3">
        <v>109</v>
      </c>
      <c r="E22" s="3">
        <v>48</v>
      </c>
      <c r="F22" s="3">
        <f>VLOOKUP(C22,'[1]5月25-5月31日汇总'!$C:$D,2,0)</f>
        <v>0</v>
      </c>
      <c r="G22" s="3">
        <f>VLOOKUP(C22,'[1]6月汇总'!$C:$D,2,0)</f>
        <v>2</v>
      </c>
      <c r="H22" s="3">
        <f t="shared" si="0"/>
        <v>50</v>
      </c>
      <c r="I22" s="5">
        <f>VLOOKUP(C22,[2]两年对比终版!$A:$C,3,0)</f>
        <v>66</v>
      </c>
      <c r="J22" s="6">
        <f t="shared" si="1"/>
        <v>0.45871559633027498</v>
      </c>
      <c r="K22" s="3">
        <v>900</v>
      </c>
      <c r="L22" s="3">
        <v>788.548</v>
      </c>
      <c r="M22" s="3">
        <f>VLOOKUP(C22,'[1]5月25-5月31日汇总'!$C:$E,3,0)</f>
        <v>0</v>
      </c>
      <c r="N22" s="3">
        <f>VLOOKUP(C22,'[1]6月汇总'!$C:$E,3,0)</f>
        <v>47</v>
      </c>
      <c r="O22" s="3">
        <f t="shared" si="2"/>
        <v>835.548</v>
      </c>
      <c r="P22" s="5">
        <f>VLOOKUP(C22,[2]两年对比终版!$A:$F,6,0)</f>
        <v>1463.75</v>
      </c>
      <c r="Q22" s="6">
        <f t="shared" si="3"/>
        <v>0.92838666666666703</v>
      </c>
      <c r="R22" s="3">
        <v>61</v>
      </c>
      <c r="S22" s="3">
        <v>19</v>
      </c>
      <c r="T22" s="3">
        <f>VLOOKUP(C22,'[1]5月25-5月31日汇总'!$C:$F,4,0)</f>
        <v>0</v>
      </c>
      <c r="U22" s="3">
        <f>VLOOKUP(C22,'[1]6月汇总'!$C:$F,4,0)</f>
        <v>9</v>
      </c>
      <c r="V22" s="3">
        <f t="shared" si="4"/>
        <v>28</v>
      </c>
      <c r="W22" s="5">
        <f>VLOOKUP(C22,[2]两年对比终版!$A:$N,14,0)</f>
        <v>16</v>
      </c>
      <c r="X22" s="6">
        <f t="shared" si="5"/>
        <v>0.45901639344262302</v>
      </c>
      <c r="Y22" s="3">
        <v>521</v>
      </c>
      <c r="Z22" s="3">
        <v>403.57</v>
      </c>
      <c r="AA22" s="3">
        <f>VLOOKUP(C22,'[1]5月25-5月31日汇总'!$C:$G,5,0)</f>
        <v>0</v>
      </c>
      <c r="AB22" s="3">
        <f>VLOOKUP(C22,'[1]6月汇总'!$C:$G,5,0)</f>
        <v>200</v>
      </c>
      <c r="AC22" s="3">
        <f t="shared" si="6"/>
        <v>603.57000000000005</v>
      </c>
      <c r="AD22" s="5">
        <f>VLOOKUP(C22,[2]两年对比终版!$A:$Q,17,0)</f>
        <v>132.08500000000001</v>
      </c>
      <c r="AE22" s="6">
        <f t="shared" si="7"/>
        <v>1.1584836852207301</v>
      </c>
      <c r="AF22" s="3">
        <v>61</v>
      </c>
      <c r="AG22" s="3">
        <v>16</v>
      </c>
      <c r="AH22" s="3">
        <f>VLOOKUP(C22,'[1]5月25-5月31日汇总'!$C:$H,6,0)</f>
        <v>0</v>
      </c>
      <c r="AI22" s="3">
        <f>VLOOKUP(C22,'[1]6月汇总'!$C:$I,6,0)</f>
        <v>12</v>
      </c>
      <c r="AJ22" s="3">
        <f t="shared" si="8"/>
        <v>28</v>
      </c>
      <c r="AK22" s="5">
        <f>VLOOKUP(C22,[2]两年对比终版!$A:$T,20,0)</f>
        <v>17</v>
      </c>
      <c r="AL22" s="6">
        <f t="shared" si="9"/>
        <v>0.45901639344262302</v>
      </c>
      <c r="AM22" s="3">
        <v>521</v>
      </c>
      <c r="AN22" s="3">
        <v>246.33</v>
      </c>
      <c r="AO22" s="3">
        <f>VLOOKUP(C22,'[1]5月25-5月31日汇总'!$C:$I,7,0)</f>
        <v>0</v>
      </c>
      <c r="AP22" s="3">
        <f>VLOOKUP(C22,'[1]6月汇总'!$C:$I,7,0)</f>
        <v>260</v>
      </c>
      <c r="AQ22" s="3">
        <f t="shared" si="10"/>
        <v>506.33</v>
      </c>
      <c r="AR22" s="5">
        <f>VLOOKUP(C22,[2]两年对比终版!$A:$X,23,0)</f>
        <v>140.47499999999999</v>
      </c>
      <c r="AS22" s="6">
        <f t="shared" si="11"/>
        <v>0.971842610364683</v>
      </c>
      <c r="AT22" s="3">
        <v>495</v>
      </c>
      <c r="AU22" s="3">
        <v>71.587100000000007</v>
      </c>
      <c r="AV22" s="3"/>
      <c r="AW22" s="3"/>
      <c r="AX22" s="3">
        <f t="shared" si="12"/>
        <v>71.587100000000007</v>
      </c>
      <c r="AY22" s="5">
        <f>VLOOKUP(C22,[2]两年对比终版!$A:$AD,30,0)</f>
        <v>225.573031640625</v>
      </c>
      <c r="AZ22" s="6">
        <f t="shared" si="13"/>
        <v>0.14462040404040399</v>
      </c>
    </row>
    <row r="23" spans="1:52" x14ac:dyDescent="0.15">
      <c r="A23" s="2">
        <v>18</v>
      </c>
      <c r="B23" s="2" t="s">
        <v>33</v>
      </c>
      <c r="C23" s="2" t="s">
        <v>41</v>
      </c>
      <c r="D23" s="3">
        <v>36</v>
      </c>
      <c r="E23" s="3">
        <v>29</v>
      </c>
      <c r="F23" s="3">
        <f>VLOOKUP(C23,'[1]5月25-5月31日汇总'!$C:$D,2,0)</f>
        <v>0</v>
      </c>
      <c r="G23" s="3">
        <f>VLOOKUP(C23,'[1]6月汇总'!$C:$D,2,0)</f>
        <v>4</v>
      </c>
      <c r="H23" s="3">
        <f t="shared" si="0"/>
        <v>33</v>
      </c>
      <c r="I23" s="5">
        <f>VLOOKUP(C23,[2]两年对比终版!$A:$C,3,0)</f>
        <v>37</v>
      </c>
      <c r="J23" s="6">
        <f t="shared" si="1"/>
        <v>0.91666666666666696</v>
      </c>
      <c r="K23" s="3">
        <v>630</v>
      </c>
      <c r="L23" s="3">
        <v>334.05399999999997</v>
      </c>
      <c r="M23" s="3">
        <f>VLOOKUP(C23,'[1]5月25-5月31日汇总'!$C:$E,3,0)</f>
        <v>0</v>
      </c>
      <c r="N23" s="3">
        <f>VLOOKUP(C23,'[1]6月汇总'!$C:$E,3,0)</f>
        <v>40</v>
      </c>
      <c r="O23" s="3">
        <f t="shared" si="2"/>
        <v>374.05399999999997</v>
      </c>
      <c r="P23" s="5">
        <f>VLOOKUP(C23,[2]两年对比终版!$A:$F,6,0)</f>
        <v>543.86292400000002</v>
      </c>
      <c r="Q23" s="6">
        <f t="shared" si="3"/>
        <v>0.59373650793650801</v>
      </c>
      <c r="R23" s="3">
        <v>17</v>
      </c>
      <c r="S23" s="3">
        <v>6</v>
      </c>
      <c r="T23" s="3">
        <f>VLOOKUP(C23,'[1]5月25-5月31日汇总'!$C:$F,4,0)</f>
        <v>0</v>
      </c>
      <c r="U23" s="3">
        <f>VLOOKUP(C23,'[1]6月汇总'!$C:$F,4,0)</f>
        <v>2</v>
      </c>
      <c r="V23" s="3">
        <f t="shared" si="4"/>
        <v>8</v>
      </c>
      <c r="W23" s="5">
        <f>VLOOKUP(C23,[2]两年对比终版!$A:$N,14,0)</f>
        <v>7</v>
      </c>
      <c r="X23" s="6">
        <f t="shared" si="5"/>
        <v>0.47058823529411797</v>
      </c>
      <c r="Y23" s="3">
        <v>264.16300000000001</v>
      </c>
      <c r="Z23" s="3">
        <v>61.235399999999998</v>
      </c>
      <c r="AA23" s="3">
        <f>VLOOKUP(C23,'[1]5月25-5月31日汇总'!$C:$G,5,0)</f>
        <v>0</v>
      </c>
      <c r="AB23" s="3">
        <f>VLOOKUP(C23,'[1]6月汇总'!$C:$G,5,0)</f>
        <v>20</v>
      </c>
      <c r="AC23" s="3">
        <f t="shared" si="6"/>
        <v>81.235399999999998</v>
      </c>
      <c r="AD23" s="5">
        <f>VLOOKUP(C23,[2]两年对比终版!$A:$Q,17,0)</f>
        <v>96.411316999999997</v>
      </c>
      <c r="AE23" s="6">
        <f t="shared" si="7"/>
        <v>0.30751997819528099</v>
      </c>
      <c r="AF23" s="3">
        <v>17</v>
      </c>
      <c r="AG23" s="3">
        <v>3</v>
      </c>
      <c r="AH23" s="3">
        <f>VLOOKUP(C23,'[1]5月25-5月31日汇总'!$C:$H,6,0)</f>
        <v>1</v>
      </c>
      <c r="AI23" s="3">
        <f>VLOOKUP(C23,'[1]6月汇总'!$C:$I,6,0)</f>
        <v>4</v>
      </c>
      <c r="AJ23" s="3">
        <f t="shared" si="8"/>
        <v>8</v>
      </c>
      <c r="AK23" s="5">
        <f>VLOOKUP(C23,[2]两年对比终版!$A:$T,20,0)</f>
        <v>16</v>
      </c>
      <c r="AL23" s="6">
        <f t="shared" si="9"/>
        <v>0.47058823529411797</v>
      </c>
      <c r="AM23" s="3">
        <v>264.16300000000001</v>
      </c>
      <c r="AN23" s="3">
        <v>30.5291</v>
      </c>
      <c r="AO23" s="3">
        <f>VLOOKUP(C23,'[1]5月25-5月31日汇总'!$C:$I,7,0)</f>
        <v>12</v>
      </c>
      <c r="AP23" s="3">
        <f>VLOOKUP(C23,'[1]6月汇总'!$C:$I,7,0)</f>
        <v>30</v>
      </c>
      <c r="AQ23" s="3">
        <f t="shared" si="10"/>
        <v>72.5291</v>
      </c>
      <c r="AR23" s="5">
        <f>VLOOKUP(C23,[2]两年对比终版!$A:$X,23,0)</f>
        <v>3354.1559590000002</v>
      </c>
      <c r="AS23" s="6">
        <f t="shared" si="11"/>
        <v>0.27456191820958997</v>
      </c>
      <c r="AT23" s="3">
        <v>251</v>
      </c>
      <c r="AU23" s="3">
        <v>38.246000000000002</v>
      </c>
      <c r="AV23" s="3"/>
      <c r="AW23" s="3"/>
      <c r="AX23" s="3">
        <f t="shared" si="12"/>
        <v>38.246000000000002</v>
      </c>
      <c r="AY23" s="5">
        <f>VLOOKUP(C23,[2]两年对比终版!$A:$AD,30,0)</f>
        <v>3983.1595076976701</v>
      </c>
      <c r="AZ23" s="6">
        <f t="shared" si="13"/>
        <v>0.15237450199203201</v>
      </c>
    </row>
    <row r="24" spans="1:52" x14ac:dyDescent="0.15">
      <c r="A24" s="2">
        <v>19</v>
      </c>
      <c r="B24" s="2" t="s">
        <v>33</v>
      </c>
      <c r="C24" s="2" t="s">
        <v>42</v>
      </c>
      <c r="D24" s="3">
        <v>20</v>
      </c>
      <c r="E24" s="3">
        <v>8</v>
      </c>
      <c r="F24" s="3">
        <f>VLOOKUP(C24,'[1]5月25-5月31日汇总'!$C:$D,2,0)</f>
        <v>0</v>
      </c>
      <c r="G24" s="3">
        <f>VLOOKUP(C24,'[1]6月汇总'!$C:$D,2,0)</f>
        <v>10</v>
      </c>
      <c r="H24" s="3">
        <f t="shared" si="0"/>
        <v>18</v>
      </c>
      <c r="I24" s="5">
        <f>VLOOKUP(C24,[2]两年对比终版!$A:$C,3,0)</f>
        <v>0</v>
      </c>
      <c r="J24" s="6">
        <f t="shared" si="1"/>
        <v>0.9</v>
      </c>
      <c r="K24" s="3">
        <v>200</v>
      </c>
      <c r="L24" s="3">
        <v>50.38</v>
      </c>
      <c r="M24" s="3">
        <f>VLOOKUP(C24,'[1]5月25-5月31日汇总'!$C:$E,3,0)</f>
        <v>0</v>
      </c>
      <c r="N24" s="3">
        <f>VLOOKUP(C24,'[1]6月汇总'!$C:$E,3,0)</f>
        <v>50</v>
      </c>
      <c r="O24" s="3">
        <f t="shared" si="2"/>
        <v>100.38</v>
      </c>
      <c r="P24" s="5">
        <f>VLOOKUP(C24,[2]两年对比终版!$A:$F,6,0)</f>
        <v>0</v>
      </c>
      <c r="Q24" s="6">
        <f t="shared" si="3"/>
        <v>0.50190000000000001</v>
      </c>
      <c r="R24" s="3">
        <v>15</v>
      </c>
      <c r="S24" s="3">
        <v>0</v>
      </c>
      <c r="T24" s="3">
        <f>VLOOKUP(C24,'[1]5月25-5月31日汇总'!$C:$F,4,0)</f>
        <v>0</v>
      </c>
      <c r="U24" s="3">
        <f>VLOOKUP(C24,'[1]6月汇总'!$C:$F,4,0)</f>
        <v>0</v>
      </c>
      <c r="V24" s="3">
        <f t="shared" si="4"/>
        <v>0</v>
      </c>
      <c r="W24" s="5">
        <f>VLOOKUP(C24,[2]两年对比终版!$A:$N,14,0)</f>
        <v>0</v>
      </c>
      <c r="X24" s="6">
        <f t="shared" si="5"/>
        <v>0</v>
      </c>
      <c r="Y24" s="3">
        <v>200</v>
      </c>
      <c r="Z24" s="3">
        <v>0</v>
      </c>
      <c r="AA24" s="3">
        <f>VLOOKUP(C24,'[1]5月25-5月31日汇总'!$C:$G,5,0)</f>
        <v>0</v>
      </c>
      <c r="AB24" s="3">
        <f>VLOOKUP(C24,'[1]6月汇总'!$C:$G,5,0)</f>
        <v>0</v>
      </c>
      <c r="AC24" s="3">
        <f t="shared" si="6"/>
        <v>0</v>
      </c>
      <c r="AD24" s="5">
        <f>VLOOKUP(C24,[2]两年对比终版!$A:$Q,17,0)</f>
        <v>0</v>
      </c>
      <c r="AE24" s="6">
        <f t="shared" si="7"/>
        <v>0</v>
      </c>
      <c r="AF24" s="3">
        <v>15</v>
      </c>
      <c r="AG24" s="3">
        <v>0</v>
      </c>
      <c r="AH24" s="3">
        <f>VLOOKUP(C24,'[1]5月25-5月31日汇总'!$C:$H,6,0)</f>
        <v>0</v>
      </c>
      <c r="AI24" s="3">
        <f>VLOOKUP(C24,'[1]6月汇总'!$C:$I,6,0)</f>
        <v>0</v>
      </c>
      <c r="AJ24" s="3">
        <f t="shared" si="8"/>
        <v>0</v>
      </c>
      <c r="AK24" s="5">
        <f>VLOOKUP(C24,[2]两年对比终版!$A:$T,20,0)</f>
        <v>0</v>
      </c>
      <c r="AL24" s="6">
        <f t="shared" si="9"/>
        <v>0</v>
      </c>
      <c r="AM24" s="3">
        <v>200</v>
      </c>
      <c r="AN24" s="3">
        <v>0</v>
      </c>
      <c r="AO24" s="3">
        <f>VLOOKUP(C24,'[1]5月25-5月31日汇总'!$C:$I,7,0)</f>
        <v>0</v>
      </c>
      <c r="AP24" s="3">
        <f>VLOOKUP(C24,'[1]6月汇总'!$C:$I,7,0)</f>
        <v>0</v>
      </c>
      <c r="AQ24" s="3">
        <f t="shared" si="10"/>
        <v>0</v>
      </c>
      <c r="AR24" s="5">
        <f>VLOOKUP(C24,[2]两年对比终版!$A:$X,23,0)</f>
        <v>0</v>
      </c>
      <c r="AS24" s="6">
        <f t="shared" si="11"/>
        <v>0</v>
      </c>
      <c r="AT24" s="3">
        <v>190</v>
      </c>
      <c r="AU24" s="3">
        <v>0</v>
      </c>
      <c r="AV24" s="3"/>
      <c r="AW24" s="3"/>
      <c r="AX24" s="3">
        <f t="shared" si="12"/>
        <v>0</v>
      </c>
      <c r="AY24" s="5">
        <f>VLOOKUP(C24,[2]两年对比终版!$A:$AD,30,0)</f>
        <v>0</v>
      </c>
      <c r="AZ24" s="6">
        <f t="shared" si="13"/>
        <v>0</v>
      </c>
    </row>
    <row r="25" spans="1:52" x14ac:dyDescent="0.15">
      <c r="A25" s="11" t="s">
        <v>43</v>
      </c>
      <c r="B25" s="12"/>
      <c r="C25" s="12"/>
      <c r="D25" s="4">
        <f>SUM(D16:D24)</f>
        <v>1328</v>
      </c>
      <c r="E25" s="4">
        <f>SUM(E16:E24)</f>
        <v>508</v>
      </c>
      <c r="F25" s="4">
        <f>SUM(F16:F24)</f>
        <v>100</v>
      </c>
      <c r="G25" s="4">
        <f>SUM(G16:G24)</f>
        <v>158</v>
      </c>
      <c r="H25" s="4">
        <f>SUM(H16:H24)</f>
        <v>766</v>
      </c>
      <c r="I25" s="7">
        <f t="shared" ref="I25:AY25" si="21">SUM(I16:I24)</f>
        <v>740</v>
      </c>
      <c r="J25" s="8">
        <f>H25/D25</f>
        <v>0.57680722891566305</v>
      </c>
      <c r="K25" s="4">
        <f t="shared" si="21"/>
        <v>31010</v>
      </c>
      <c r="L25" s="4">
        <f t="shared" si="21"/>
        <v>9415.4923999999992</v>
      </c>
      <c r="M25" s="4">
        <f t="shared" si="21"/>
        <v>3637</v>
      </c>
      <c r="N25" s="4">
        <f t="shared" si="21"/>
        <v>2425</v>
      </c>
      <c r="O25" s="4">
        <f t="shared" si="21"/>
        <v>15477.492399999999</v>
      </c>
      <c r="P25" s="7">
        <f>SUM(P16:P24)</f>
        <v>14019.692212999998</v>
      </c>
      <c r="Q25" s="8">
        <f>O25/K25</f>
        <v>0.49911294421154501</v>
      </c>
      <c r="R25" s="4">
        <f t="shared" si="21"/>
        <v>583</v>
      </c>
      <c r="S25" s="4">
        <f t="shared" si="21"/>
        <v>190</v>
      </c>
      <c r="T25" s="4">
        <f t="shared" si="21"/>
        <v>1</v>
      </c>
      <c r="U25" s="4">
        <f t="shared" si="21"/>
        <v>41</v>
      </c>
      <c r="V25" s="4">
        <f t="shared" si="21"/>
        <v>232</v>
      </c>
      <c r="W25" s="7">
        <f t="shared" si="21"/>
        <v>233</v>
      </c>
      <c r="X25" s="8">
        <f>V25/R25</f>
        <v>0.39794168096054899</v>
      </c>
      <c r="Y25" s="4">
        <f t="shared" si="21"/>
        <v>12602.325999999999</v>
      </c>
      <c r="Z25" s="4">
        <f t="shared" si="21"/>
        <v>6938.3419000000004</v>
      </c>
      <c r="AA25" s="4">
        <f t="shared" si="21"/>
        <v>15.54</v>
      </c>
      <c r="AB25" s="4">
        <f t="shared" si="21"/>
        <v>786.34</v>
      </c>
      <c r="AC25" s="4">
        <f t="shared" si="21"/>
        <v>7740.2218999999996</v>
      </c>
      <c r="AD25" s="7">
        <f t="shared" si="21"/>
        <v>6176.6144189999995</v>
      </c>
      <c r="AE25" s="8">
        <f>AC25/Y25</f>
        <v>0.61418994398335702</v>
      </c>
      <c r="AF25" s="4">
        <f t="shared" si="21"/>
        <v>583</v>
      </c>
      <c r="AG25" s="4">
        <f t="shared" si="21"/>
        <v>222</v>
      </c>
      <c r="AH25" s="4">
        <f t="shared" si="21"/>
        <v>8</v>
      </c>
      <c r="AI25" s="4">
        <f t="shared" si="21"/>
        <v>52</v>
      </c>
      <c r="AJ25" s="4">
        <f t="shared" si="21"/>
        <v>282</v>
      </c>
      <c r="AK25" s="7">
        <f t="shared" si="21"/>
        <v>94</v>
      </c>
      <c r="AL25" s="8">
        <f>AJ25/AF25</f>
        <v>0.483704974271012</v>
      </c>
      <c r="AM25" s="4">
        <f t="shared" si="21"/>
        <v>12602.325999999999</v>
      </c>
      <c r="AN25" s="4">
        <f t="shared" si="21"/>
        <v>7700.6662999999999</v>
      </c>
      <c r="AO25" s="4">
        <f t="shared" si="21"/>
        <v>192</v>
      </c>
      <c r="AP25" s="4">
        <f t="shared" si="21"/>
        <v>1077.73</v>
      </c>
      <c r="AQ25" s="4">
        <f t="shared" si="21"/>
        <v>8970.3963000000003</v>
      </c>
      <c r="AR25" s="7">
        <f t="shared" si="21"/>
        <v>4729.5699549999999</v>
      </c>
      <c r="AS25" s="8">
        <f>AQ25/AM25</f>
        <v>0.71180481285756303</v>
      </c>
      <c r="AT25" s="4">
        <f t="shared" si="21"/>
        <v>11972</v>
      </c>
      <c r="AU25" s="4">
        <f t="shared" si="21"/>
        <v>745.12620000000004</v>
      </c>
      <c r="AV25" s="4">
        <f t="shared" si="21"/>
        <v>0</v>
      </c>
      <c r="AW25" s="4">
        <f t="shared" si="21"/>
        <v>0</v>
      </c>
      <c r="AX25" s="4">
        <f t="shared" si="21"/>
        <v>745.12620000000004</v>
      </c>
      <c r="AY25" s="7">
        <f t="shared" si="21"/>
        <v>5741.5051181658837</v>
      </c>
      <c r="AZ25" s="8">
        <f>AX25/AT25</f>
        <v>6.2239074507183398E-2</v>
      </c>
    </row>
    <row r="26" spans="1:52" x14ac:dyDescent="0.15">
      <c r="A26" s="2">
        <v>20</v>
      </c>
      <c r="B26" s="2" t="s">
        <v>28</v>
      </c>
      <c r="C26" s="2" t="s">
        <v>44</v>
      </c>
      <c r="D26" s="3">
        <v>235</v>
      </c>
      <c r="E26" s="3">
        <v>76</v>
      </c>
      <c r="F26" s="3">
        <f>VLOOKUP(C26,'[1]5月25-5月31日汇总'!$C:$D,2,0)</f>
        <v>0</v>
      </c>
      <c r="G26" s="3">
        <f>VLOOKUP(C26,'[1]6月汇总'!$C:$D,2,0)</f>
        <v>12</v>
      </c>
      <c r="H26" s="3">
        <f t="shared" si="0"/>
        <v>88</v>
      </c>
      <c r="I26" s="5">
        <f>VLOOKUP(C26,[2]两年对比终版!$A:$C,3,0)</f>
        <v>52</v>
      </c>
      <c r="J26" s="6">
        <f t="shared" si="1"/>
        <v>0.37446808510638302</v>
      </c>
      <c r="K26" s="3">
        <v>1673.35</v>
      </c>
      <c r="L26" s="3">
        <v>520.72900000000004</v>
      </c>
      <c r="M26" s="3">
        <f>VLOOKUP(C26,'[1]5月25-5月31日汇总'!$C:$E,3,0)</f>
        <v>0</v>
      </c>
      <c r="N26" s="3">
        <f>VLOOKUP(C26,'[1]6月汇总'!$C:$E,3,0)</f>
        <v>60</v>
      </c>
      <c r="O26" s="3">
        <f t="shared" si="2"/>
        <v>580.72900000000004</v>
      </c>
      <c r="P26" s="5">
        <f>VLOOKUP(C26,[2]两年对比终版!$A:$F,6,0)</f>
        <v>393.58625000000001</v>
      </c>
      <c r="Q26" s="6">
        <f t="shared" si="3"/>
        <v>0.34704574655630899</v>
      </c>
      <c r="R26" s="3">
        <v>63</v>
      </c>
      <c r="S26" s="3">
        <v>12</v>
      </c>
      <c r="T26" s="3">
        <f>VLOOKUP(C26,'[1]5月25-5月31日汇总'!$C:$F,4,0)</f>
        <v>0</v>
      </c>
      <c r="U26" s="3">
        <f>VLOOKUP(C26,'[1]6月汇总'!$C:$F,4,0)</f>
        <v>6</v>
      </c>
      <c r="V26" s="3">
        <f t="shared" si="4"/>
        <v>18</v>
      </c>
      <c r="W26" s="5">
        <f>VLOOKUP(C26,[2]两年对比终版!$A:$N,14,0)</f>
        <v>22</v>
      </c>
      <c r="X26" s="6">
        <f t="shared" si="5"/>
        <v>0.28571428571428598</v>
      </c>
      <c r="Y26" s="3">
        <v>683</v>
      </c>
      <c r="Z26" s="3">
        <v>65.700999999999993</v>
      </c>
      <c r="AA26" s="3">
        <f>VLOOKUP(C26,'[1]5月25-5月31日汇总'!$C:$G,5,0)</f>
        <v>0</v>
      </c>
      <c r="AB26" s="3">
        <f>VLOOKUP(C26,'[1]6月汇总'!$C:$G,5,0)</f>
        <v>30</v>
      </c>
      <c r="AC26" s="3">
        <f t="shared" si="6"/>
        <v>95.700999999999993</v>
      </c>
      <c r="AD26" s="5">
        <f>VLOOKUP(C26,[2]两年对比终版!$A:$Q,17,0)</f>
        <v>178.457292</v>
      </c>
      <c r="AE26" s="6">
        <f t="shared" si="7"/>
        <v>0.14011859443631</v>
      </c>
      <c r="AF26" s="3">
        <v>63</v>
      </c>
      <c r="AG26" s="3">
        <v>14</v>
      </c>
      <c r="AH26" s="3">
        <f>VLOOKUP(C26,'[1]5月25-5月31日汇总'!$C:$H,6,0)</f>
        <v>2</v>
      </c>
      <c r="AI26" s="3">
        <f>VLOOKUP(C26,'[1]6月汇总'!$C:$I,6,0)</f>
        <v>2</v>
      </c>
      <c r="AJ26" s="3">
        <f t="shared" si="8"/>
        <v>18</v>
      </c>
      <c r="AK26" s="5">
        <f>VLOOKUP(C26,[2]两年对比终版!$A:$T,20,0)</f>
        <v>29</v>
      </c>
      <c r="AL26" s="6">
        <f t="shared" si="9"/>
        <v>0.28571428571428598</v>
      </c>
      <c r="AM26" s="3">
        <v>683</v>
      </c>
      <c r="AN26" s="3">
        <v>90.605699999999999</v>
      </c>
      <c r="AO26" s="3">
        <f>VLOOKUP(C26,'[1]5月25-5月31日汇总'!$C:$I,7,0)</f>
        <v>12.24</v>
      </c>
      <c r="AP26" s="3">
        <f>VLOOKUP(C26,'[1]6月汇总'!$C:$I,7,0)</f>
        <v>10</v>
      </c>
      <c r="AQ26" s="3">
        <f t="shared" si="10"/>
        <v>112.84569999999999</v>
      </c>
      <c r="AR26" s="5">
        <f>VLOOKUP(C26,[2]两年对比终版!$A:$X,23,0)</f>
        <v>228.72333399999999</v>
      </c>
      <c r="AS26" s="6">
        <f t="shared" si="11"/>
        <v>0.165220644216691</v>
      </c>
      <c r="AT26" s="3">
        <v>649</v>
      </c>
      <c r="AU26" s="3">
        <v>53.012999999999998</v>
      </c>
      <c r="AV26" s="3"/>
      <c r="AW26" s="3"/>
      <c r="AX26" s="3">
        <f t="shared" si="12"/>
        <v>53.012999999999998</v>
      </c>
      <c r="AY26" s="5">
        <f>VLOOKUP(C26,[2]两年对比终版!$A:$AD,30,0)</f>
        <v>218.19091026496901</v>
      </c>
      <c r="AZ26" s="6">
        <f t="shared" si="13"/>
        <v>8.1684129429892102E-2</v>
      </c>
    </row>
    <row r="27" spans="1:52" x14ac:dyDescent="0.15">
      <c r="A27" s="2">
        <v>21</v>
      </c>
      <c r="B27" s="2" t="s">
        <v>25</v>
      </c>
      <c r="C27" s="2" t="s">
        <v>45</v>
      </c>
      <c r="D27" s="3">
        <v>66</v>
      </c>
      <c r="E27" s="3">
        <v>14</v>
      </c>
      <c r="F27" s="3">
        <f>VLOOKUP(C27,'[1]5月25-5月31日汇总'!$C:$D,2,0)</f>
        <v>2</v>
      </c>
      <c r="G27" s="3">
        <f>VLOOKUP(C27,'[1]6月汇总'!$C:$D,2,0)</f>
        <v>3</v>
      </c>
      <c r="H27" s="3">
        <f t="shared" si="0"/>
        <v>19</v>
      </c>
      <c r="I27" s="5">
        <f>VLOOKUP(C27,[2]两年对比终版!$A:$C,3,0)</f>
        <v>23</v>
      </c>
      <c r="J27" s="6">
        <f t="shared" si="1"/>
        <v>0.28787878787878801</v>
      </c>
      <c r="K27" s="3">
        <v>930</v>
      </c>
      <c r="L27" s="3">
        <v>287.01299999999998</v>
      </c>
      <c r="M27" s="3">
        <f>VLOOKUP(C27,'[1]5月25-5月31日汇总'!$C:$E,3,0)</f>
        <v>26.96</v>
      </c>
      <c r="N27" s="3">
        <f>VLOOKUP(C27,'[1]6月汇总'!$C:$E,3,0)</f>
        <v>80.88</v>
      </c>
      <c r="O27" s="3">
        <f t="shared" si="2"/>
        <v>394.85300000000001</v>
      </c>
      <c r="P27" s="5">
        <f>VLOOKUP(C27,[2]两年对比终版!$A:$F,6,0)</f>
        <v>773.87896499999999</v>
      </c>
      <c r="Q27" s="6">
        <f t="shared" si="3"/>
        <v>0.42457311827957001</v>
      </c>
      <c r="R27" s="3">
        <v>27</v>
      </c>
      <c r="S27" s="3">
        <v>6</v>
      </c>
      <c r="T27" s="3">
        <f>VLOOKUP(C27,'[1]5月25-5月31日汇总'!$C:$F,4,0)</f>
        <v>1</v>
      </c>
      <c r="U27" s="3">
        <f>VLOOKUP(C27,'[1]6月汇总'!$C:$F,4,0)</f>
        <v>2</v>
      </c>
      <c r="V27" s="3">
        <f t="shared" si="4"/>
        <v>9</v>
      </c>
      <c r="W27" s="5">
        <f>VLOOKUP(C27,[2]两年对比终版!$A:$N,14,0)</f>
        <v>3</v>
      </c>
      <c r="X27" s="6">
        <f t="shared" si="5"/>
        <v>0.33333333333333298</v>
      </c>
      <c r="Y27" s="3">
        <v>396.245</v>
      </c>
      <c r="Z27" s="3">
        <v>68.513599999999997</v>
      </c>
      <c r="AA27" s="3">
        <f>VLOOKUP(C27,'[1]5月25-5月31日汇总'!$C:$G,5,0)</f>
        <v>31.5</v>
      </c>
      <c r="AB27" s="3">
        <f>VLOOKUP(C27,'[1]6月汇总'!$C:$G,5,0)</f>
        <v>26.86</v>
      </c>
      <c r="AC27" s="3">
        <f t="shared" si="6"/>
        <v>126.8736</v>
      </c>
      <c r="AD27" s="5">
        <f>VLOOKUP(C27,[2]两年对比终版!$A:$Q,17,0)</f>
        <v>44.012006999999997</v>
      </c>
      <c r="AE27" s="6">
        <f t="shared" si="7"/>
        <v>0.32018978157453098</v>
      </c>
      <c r="AF27" s="3">
        <v>27</v>
      </c>
      <c r="AG27" s="3">
        <v>5</v>
      </c>
      <c r="AH27" s="3">
        <f>VLOOKUP(C27,'[1]5月25-5月31日汇总'!$C:$H,6,0)</f>
        <v>0</v>
      </c>
      <c r="AI27" s="3">
        <f>VLOOKUP(C27,'[1]6月汇总'!$C:$I,6,0)</f>
        <v>5</v>
      </c>
      <c r="AJ27" s="3">
        <f t="shared" si="8"/>
        <v>10</v>
      </c>
      <c r="AK27" s="5">
        <f>VLOOKUP(C27,[2]两年对比终版!$A:$T,20,0)</f>
        <v>0</v>
      </c>
      <c r="AL27" s="6">
        <f t="shared" si="9"/>
        <v>0.37037037037037002</v>
      </c>
      <c r="AM27" s="3">
        <v>396.245</v>
      </c>
      <c r="AN27" s="3">
        <v>78.485399999999998</v>
      </c>
      <c r="AO27" s="3">
        <f>VLOOKUP(C27,'[1]5月25-5月31日汇总'!$C:$I,7,0)</f>
        <v>0</v>
      </c>
      <c r="AP27" s="3">
        <f>VLOOKUP(C27,'[1]6月汇总'!$C:$I,7,0)</f>
        <v>90.1707064</v>
      </c>
      <c r="AQ27" s="3">
        <f t="shared" si="10"/>
        <v>168.6561064</v>
      </c>
      <c r="AR27" s="5">
        <f>VLOOKUP(C27,[2]两年对比终版!$A:$X,23,0)</f>
        <v>0</v>
      </c>
      <c r="AS27" s="6">
        <f t="shared" si="11"/>
        <v>0.42563592322931498</v>
      </c>
      <c r="AT27" s="3">
        <v>376</v>
      </c>
      <c r="AU27" s="3">
        <v>6.9568500000000002</v>
      </c>
      <c r="AV27" s="3"/>
      <c r="AW27" s="3"/>
      <c r="AX27" s="3">
        <f t="shared" si="12"/>
        <v>6.9568500000000002</v>
      </c>
      <c r="AY27" s="5">
        <f>VLOOKUP(C27,[2]两年对比终版!$A:$AD,30,0)</f>
        <v>1159.21745472875</v>
      </c>
      <c r="AZ27" s="6">
        <f t="shared" si="13"/>
        <v>1.85022606382979E-2</v>
      </c>
    </row>
    <row r="28" spans="1:52" x14ac:dyDescent="0.15">
      <c r="A28" s="2">
        <v>22</v>
      </c>
      <c r="B28" s="2" t="s">
        <v>33</v>
      </c>
      <c r="C28" s="2" t="s">
        <v>46</v>
      </c>
      <c r="D28" s="3">
        <v>87</v>
      </c>
      <c r="E28" s="3">
        <v>32</v>
      </c>
      <c r="F28" s="3">
        <f>VLOOKUP(C28,'[1]5月25-5月31日汇总'!$C:$D,2,0)</f>
        <v>0</v>
      </c>
      <c r="G28" s="3">
        <f>VLOOKUP(C28,'[1]6月汇总'!$C:$D,2,0)</f>
        <v>6</v>
      </c>
      <c r="H28" s="3">
        <f t="shared" si="0"/>
        <v>38</v>
      </c>
      <c r="I28" s="5">
        <f>VLOOKUP(C28,[2]两年对比终版!$A:$C,3,0)</f>
        <v>8</v>
      </c>
      <c r="J28" s="6">
        <f t="shared" si="1"/>
        <v>0.43678160919540199</v>
      </c>
      <c r="K28" s="3">
        <v>688</v>
      </c>
      <c r="L28" s="3">
        <v>255.136</v>
      </c>
      <c r="M28" s="3">
        <f>VLOOKUP(C28,'[1]5月25-5月31日汇总'!$C:$E,3,0)</f>
        <v>0</v>
      </c>
      <c r="N28" s="3">
        <f>VLOOKUP(C28,'[1]6月汇总'!$C:$E,3,0)</f>
        <v>44.88</v>
      </c>
      <c r="O28" s="3">
        <f t="shared" si="2"/>
        <v>300.01600000000002</v>
      </c>
      <c r="P28" s="5">
        <f>VLOOKUP(C28,[2]两年对比终版!$A:$F,6,0)</f>
        <v>74.024224000000004</v>
      </c>
      <c r="Q28" s="6">
        <f t="shared" si="3"/>
        <v>0.43606976744185999</v>
      </c>
      <c r="R28" s="3">
        <v>32</v>
      </c>
      <c r="S28" s="3">
        <v>4</v>
      </c>
      <c r="T28" s="3">
        <f>VLOOKUP(C28,'[1]5月25-5月31日汇总'!$C:$F,4,0)</f>
        <v>0</v>
      </c>
      <c r="U28" s="3">
        <f>VLOOKUP(C28,'[1]6月汇总'!$C:$F,4,0)</f>
        <v>2</v>
      </c>
      <c r="V28" s="3">
        <f t="shared" si="4"/>
        <v>6</v>
      </c>
      <c r="W28" s="5">
        <f>VLOOKUP(C28,[2]两年对比终版!$A:$N,14,0)</f>
        <v>2</v>
      </c>
      <c r="X28" s="6">
        <f t="shared" si="5"/>
        <v>0.1875</v>
      </c>
      <c r="Y28" s="3">
        <v>265</v>
      </c>
      <c r="Z28" s="3">
        <v>23.250399999999999</v>
      </c>
      <c r="AA28" s="3">
        <f>VLOOKUP(C28,'[1]5月25-5月31日汇总'!$C:$G,5,0)</f>
        <v>0</v>
      </c>
      <c r="AB28" s="3">
        <f>VLOOKUP(C28,'[1]6月汇总'!$C:$G,5,0)</f>
        <v>14.96</v>
      </c>
      <c r="AC28" s="3">
        <f t="shared" si="6"/>
        <v>38.2104</v>
      </c>
      <c r="AD28" s="5">
        <f>VLOOKUP(C28,[2]两年对比终版!$A:$Q,17,0)</f>
        <v>6.9127679999999998</v>
      </c>
      <c r="AE28" s="6">
        <f t="shared" si="7"/>
        <v>0.14419018867924499</v>
      </c>
      <c r="AF28" s="3">
        <v>32</v>
      </c>
      <c r="AG28" s="3">
        <v>6</v>
      </c>
      <c r="AH28" s="3">
        <f>VLOOKUP(C28,'[1]5月25-5月31日汇总'!$C:$H,6,0)</f>
        <v>1</v>
      </c>
      <c r="AI28" s="3">
        <f>VLOOKUP(C28,'[1]6月汇总'!$C:$I,6,0)</f>
        <v>2</v>
      </c>
      <c r="AJ28" s="3">
        <f t="shared" si="8"/>
        <v>9</v>
      </c>
      <c r="AK28" s="5">
        <f>VLOOKUP(C28,[2]两年对比终版!$A:$T,20,0)</f>
        <v>0</v>
      </c>
      <c r="AL28" s="6">
        <f t="shared" si="9"/>
        <v>0.28125</v>
      </c>
      <c r="AM28" s="3">
        <v>265</v>
      </c>
      <c r="AN28" s="3">
        <v>45.716900000000003</v>
      </c>
      <c r="AO28" s="3">
        <f>VLOOKUP(C28,'[1]5月25-5月31日汇总'!$C:$I,7,0)</f>
        <v>7.75</v>
      </c>
      <c r="AP28" s="3">
        <f>VLOOKUP(C28,'[1]6月汇总'!$C:$I,7,0)</f>
        <v>14.96</v>
      </c>
      <c r="AQ28" s="3">
        <f t="shared" si="10"/>
        <v>68.426900000000003</v>
      </c>
      <c r="AR28" s="5">
        <f>VLOOKUP(C28,[2]两年对比终版!$A:$X,23,0)</f>
        <v>0</v>
      </c>
      <c r="AS28" s="6">
        <f t="shared" si="11"/>
        <v>0.25821471698113202</v>
      </c>
      <c r="AT28" s="3">
        <v>252</v>
      </c>
      <c r="AU28" s="3">
        <v>21.362400000000001</v>
      </c>
      <c r="AV28" s="3"/>
      <c r="AW28" s="3"/>
      <c r="AX28" s="3">
        <f t="shared" si="12"/>
        <v>21.362400000000001</v>
      </c>
      <c r="AY28" s="5">
        <f>VLOOKUP(C28,[2]两年对比终版!$A:$AD,30,0)</f>
        <v>0</v>
      </c>
      <c r="AZ28" s="6">
        <f t="shared" si="13"/>
        <v>8.4771428571428595E-2</v>
      </c>
    </row>
    <row r="29" spans="1:52" x14ac:dyDescent="0.15">
      <c r="A29" s="2">
        <v>23</v>
      </c>
      <c r="B29" s="2" t="s">
        <v>25</v>
      </c>
      <c r="C29" s="2" t="s">
        <v>47</v>
      </c>
      <c r="D29" s="3">
        <v>238</v>
      </c>
      <c r="E29" s="3">
        <v>43</v>
      </c>
      <c r="F29" s="3">
        <f>VLOOKUP(C29,'[1]5月25-5月31日汇总'!$C:$D,2,0)</f>
        <v>17</v>
      </c>
      <c r="G29" s="3">
        <f>VLOOKUP(C29,'[1]6月汇总'!$C:$D,2,0)</f>
        <v>35</v>
      </c>
      <c r="H29" s="3">
        <f t="shared" si="0"/>
        <v>95</v>
      </c>
      <c r="I29" s="5">
        <f>VLOOKUP(C29,[2]两年对比终版!$A:$C,3,0)</f>
        <v>128</v>
      </c>
      <c r="J29" s="6">
        <f t="shared" si="1"/>
        <v>0.39915966386554602</v>
      </c>
      <c r="K29" s="3">
        <v>1768.9</v>
      </c>
      <c r="L29" s="3">
        <v>443.52800000000002</v>
      </c>
      <c r="M29" s="3">
        <f>VLOOKUP(C29,'[1]5月25-5月31日汇总'!$C:$E,3,0)</f>
        <v>136.68</v>
      </c>
      <c r="N29" s="3">
        <f>VLOOKUP(C29,'[1]6月汇总'!$C:$E,3,0)</f>
        <v>293.12</v>
      </c>
      <c r="O29" s="3">
        <f t="shared" si="2"/>
        <v>873.32799999999997</v>
      </c>
      <c r="P29" s="5">
        <f>VLOOKUP(C29,[2]两年对比终版!$A:$F,6,0)</f>
        <v>1268.9124690000001</v>
      </c>
      <c r="Q29" s="6">
        <f t="shared" si="3"/>
        <v>0.49371247668042301</v>
      </c>
      <c r="R29" s="3">
        <v>73</v>
      </c>
      <c r="S29" s="3">
        <v>16</v>
      </c>
      <c r="T29" s="3">
        <f>VLOOKUP(C29,'[1]5月25-5月31日汇总'!$C:$F,4,0)</f>
        <v>4</v>
      </c>
      <c r="U29" s="3">
        <f>VLOOKUP(C29,'[1]6月汇总'!$C:$F,4,0)</f>
        <v>5</v>
      </c>
      <c r="V29" s="3">
        <f t="shared" si="4"/>
        <v>25</v>
      </c>
      <c r="W29" s="5">
        <f>VLOOKUP(C29,[2]两年对比终版!$A:$N,14,0)</f>
        <v>27</v>
      </c>
      <c r="X29" s="6">
        <f t="shared" si="5"/>
        <v>0.34246575342465801</v>
      </c>
      <c r="Y29" s="3">
        <v>722</v>
      </c>
      <c r="Z29" s="3">
        <v>129.64599999999999</v>
      </c>
      <c r="AA29" s="3">
        <f>VLOOKUP(C29,'[1]5月25-5月31日汇总'!$C:$G,5,0)</f>
        <v>29.07</v>
      </c>
      <c r="AB29" s="3">
        <f>VLOOKUP(C29,'[1]6月汇总'!$C:$G,5,0)</f>
        <v>36.85</v>
      </c>
      <c r="AC29" s="3">
        <f t="shared" si="6"/>
        <v>195.566</v>
      </c>
      <c r="AD29" s="5">
        <f>VLOOKUP(C29,[2]两年对比终版!$A:$Q,17,0)</f>
        <v>224.145533</v>
      </c>
      <c r="AE29" s="6">
        <f t="shared" si="7"/>
        <v>0.27086703601107998</v>
      </c>
      <c r="AF29" s="3">
        <v>73</v>
      </c>
      <c r="AG29" s="3">
        <v>16</v>
      </c>
      <c r="AH29" s="3">
        <f>VLOOKUP(C29,'[1]5月25-5月31日汇总'!$C:$H,6,0)</f>
        <v>1</v>
      </c>
      <c r="AI29" s="3">
        <f>VLOOKUP(C29,'[1]6月汇总'!$C:$I,6,0)</f>
        <v>4</v>
      </c>
      <c r="AJ29" s="3">
        <f t="shared" si="8"/>
        <v>21</v>
      </c>
      <c r="AK29" s="5">
        <f>VLOOKUP(C29,[2]两年对比终版!$A:$T,20,0)</f>
        <v>20</v>
      </c>
      <c r="AL29" s="6">
        <f t="shared" si="9"/>
        <v>0.28767123287671198</v>
      </c>
      <c r="AM29" s="3">
        <v>722</v>
      </c>
      <c r="AN29" s="3">
        <v>129.68799999999999</v>
      </c>
      <c r="AO29" s="3">
        <f>VLOOKUP(C29,'[1]5月25-5月31日汇总'!$C:$I,7,0)</f>
        <v>7.16</v>
      </c>
      <c r="AP29" s="3">
        <f>VLOOKUP(C29,'[1]6月汇总'!$C:$I,7,0)</f>
        <v>29.07</v>
      </c>
      <c r="AQ29" s="3">
        <f t="shared" si="10"/>
        <v>165.91800000000001</v>
      </c>
      <c r="AR29" s="5">
        <f>VLOOKUP(C29,[2]两年对比终版!$A:$X,23,0)</f>
        <v>167.86765299999999</v>
      </c>
      <c r="AS29" s="6">
        <f t="shared" si="11"/>
        <v>0.22980332409972301</v>
      </c>
      <c r="AT29" s="3">
        <v>686</v>
      </c>
      <c r="AU29" s="3">
        <v>29.645399999999999</v>
      </c>
      <c r="AV29" s="3"/>
      <c r="AW29" s="3"/>
      <c r="AX29" s="3">
        <f t="shared" si="12"/>
        <v>29.645399999999999</v>
      </c>
      <c r="AY29" s="5">
        <f>VLOOKUP(C29,[2]两年对比终版!$A:$AD,30,0)</f>
        <v>153.926020207405</v>
      </c>
      <c r="AZ29" s="6">
        <f t="shared" si="13"/>
        <v>4.3214868804664699E-2</v>
      </c>
    </row>
    <row r="30" spans="1:52" x14ac:dyDescent="0.15">
      <c r="A30" s="2">
        <v>24</v>
      </c>
      <c r="B30" s="2" t="s">
        <v>28</v>
      </c>
      <c r="C30" s="2" t="s">
        <v>48</v>
      </c>
      <c r="D30" s="3">
        <v>136</v>
      </c>
      <c r="E30" s="3">
        <v>23</v>
      </c>
      <c r="F30" s="3">
        <f>VLOOKUP(C30,'[1]5月25-5月31日汇总'!$C:$D,2,0)</f>
        <v>1</v>
      </c>
      <c r="G30" s="3">
        <f>VLOOKUP(C30,'[1]6月汇总'!$C:$D,2,0)</f>
        <v>5</v>
      </c>
      <c r="H30" s="3">
        <f t="shared" si="0"/>
        <v>29</v>
      </c>
      <c r="I30" s="5">
        <f>VLOOKUP(C30,[2]两年对比终版!$A:$C,3,0)</f>
        <v>39</v>
      </c>
      <c r="J30" s="6">
        <f t="shared" si="1"/>
        <v>0.213235294117647</v>
      </c>
      <c r="K30" s="3">
        <v>964</v>
      </c>
      <c r="L30" s="3">
        <v>320.911</v>
      </c>
      <c r="M30" s="3">
        <f>VLOOKUP(C30,'[1]5月25-5月31日汇总'!$C:$E,3,0)</f>
        <v>11.42</v>
      </c>
      <c r="N30" s="3">
        <f>VLOOKUP(C30,'[1]6月汇总'!$C:$E,3,0)</f>
        <v>80</v>
      </c>
      <c r="O30" s="3">
        <f t="shared" si="2"/>
        <v>412.33100000000002</v>
      </c>
      <c r="P30" s="5">
        <f>VLOOKUP(C30,[2]两年对比终版!$A:$F,6,0)</f>
        <v>592.24855300000002</v>
      </c>
      <c r="Q30" s="6">
        <f t="shared" si="3"/>
        <v>0.42772925311203303</v>
      </c>
      <c r="R30" s="3">
        <v>32</v>
      </c>
      <c r="S30" s="3">
        <v>8</v>
      </c>
      <c r="T30" s="3">
        <f>VLOOKUP(C30,'[1]5月25-5月31日汇总'!$C:$F,4,0)</f>
        <v>1</v>
      </c>
      <c r="U30" s="3">
        <f>VLOOKUP(C30,'[1]6月汇总'!$C:$F,4,0)</f>
        <v>3</v>
      </c>
      <c r="V30" s="3">
        <f t="shared" si="4"/>
        <v>12</v>
      </c>
      <c r="W30" s="5">
        <f>VLOOKUP(C30,[2]两年对比终版!$A:$N,14,0)</f>
        <v>2</v>
      </c>
      <c r="X30" s="6">
        <f t="shared" si="5"/>
        <v>0.375</v>
      </c>
      <c r="Y30" s="3">
        <v>380</v>
      </c>
      <c r="Z30" s="3">
        <v>88.302300000000002</v>
      </c>
      <c r="AA30" s="3">
        <f>VLOOKUP(C30,'[1]5月25-5月31日汇总'!$C:$G,5,0)</f>
        <v>11.42</v>
      </c>
      <c r="AB30" s="3">
        <f>VLOOKUP(C30,'[1]6月汇总'!$C:$G,5,0)</f>
        <v>30</v>
      </c>
      <c r="AC30" s="3">
        <f t="shared" si="6"/>
        <v>129.72229999999999</v>
      </c>
      <c r="AD30" s="5">
        <f>VLOOKUP(C30,[2]两年对比终版!$A:$Q,17,0)</f>
        <v>29.534538999999999</v>
      </c>
      <c r="AE30" s="6">
        <f t="shared" si="7"/>
        <v>0.34137447368421098</v>
      </c>
      <c r="AF30" s="3">
        <v>32</v>
      </c>
      <c r="AG30" s="3">
        <v>3</v>
      </c>
      <c r="AH30" s="3">
        <f>VLOOKUP(C30,'[1]5月25-5月31日汇总'!$C:$H,6,0)</f>
        <v>4</v>
      </c>
      <c r="AI30" s="3">
        <f>VLOOKUP(C30,'[1]6月汇总'!$C:$I,6,0)</f>
        <v>4</v>
      </c>
      <c r="AJ30" s="3">
        <f t="shared" si="8"/>
        <v>11</v>
      </c>
      <c r="AK30" s="5">
        <f>VLOOKUP(C30,[2]两年对比终版!$A:$T,20,0)</f>
        <v>9</v>
      </c>
      <c r="AL30" s="6">
        <f t="shared" si="9"/>
        <v>0.34375</v>
      </c>
      <c r="AM30" s="3">
        <v>380</v>
      </c>
      <c r="AN30" s="3">
        <v>53.710099999999997</v>
      </c>
      <c r="AO30" s="3">
        <f>VLOOKUP(C30,'[1]5月25-5月31日汇总'!$C:$I,7,0)</f>
        <v>24.43</v>
      </c>
      <c r="AP30" s="3">
        <f>VLOOKUP(C30,'[1]6月汇总'!$C:$I,7,0)</f>
        <v>40</v>
      </c>
      <c r="AQ30" s="3">
        <f t="shared" si="10"/>
        <v>118.1401</v>
      </c>
      <c r="AR30" s="5">
        <f>VLOOKUP(C30,[2]两年对比终版!$A:$X,23,0)</f>
        <v>179.53971200000001</v>
      </c>
      <c r="AS30" s="6">
        <f t="shared" si="11"/>
        <v>0.31089499999999998</v>
      </c>
      <c r="AT30" s="3">
        <v>360</v>
      </c>
      <c r="AU30" s="3">
        <v>28.294699999999999</v>
      </c>
      <c r="AV30" s="3"/>
      <c r="AW30" s="3"/>
      <c r="AX30" s="3">
        <f t="shared" si="12"/>
        <v>28.294699999999999</v>
      </c>
      <c r="AY30" s="5">
        <f>VLOOKUP(C30,[2]两年对比终版!$A:$AD,30,0)</f>
        <v>245.62005533142101</v>
      </c>
      <c r="AZ30" s="6">
        <f t="shared" si="13"/>
        <v>7.8596388888888896E-2</v>
      </c>
    </row>
    <row r="31" spans="1:52" x14ac:dyDescent="0.15">
      <c r="A31" s="2">
        <v>25</v>
      </c>
      <c r="B31" s="2" t="s">
        <v>28</v>
      </c>
      <c r="C31" s="2" t="s">
        <v>49</v>
      </c>
      <c r="D31" s="3">
        <v>69</v>
      </c>
      <c r="E31" s="3">
        <v>26</v>
      </c>
      <c r="F31" s="3">
        <f>VLOOKUP(C31,'[1]5月25-5月31日汇总'!$C:$D,2,0)</f>
        <v>0</v>
      </c>
      <c r="G31" s="3">
        <f>VLOOKUP(C31,'[1]6月汇总'!$C:$D,2,0)</f>
        <v>9</v>
      </c>
      <c r="H31" s="3">
        <f t="shared" si="0"/>
        <v>35</v>
      </c>
      <c r="I31" s="5">
        <f>VLOOKUP(C31,[2]两年对比终版!$A:$C,3,0)</f>
        <v>0</v>
      </c>
      <c r="J31" s="6">
        <f t="shared" si="1"/>
        <v>0.50724637681159401</v>
      </c>
      <c r="K31" s="3">
        <v>710</v>
      </c>
      <c r="L31" s="3">
        <v>214.36</v>
      </c>
      <c r="M31" s="3">
        <f>VLOOKUP(C31,'[1]5月25-5月31日汇总'!$C:$E,3,0)</f>
        <v>0</v>
      </c>
      <c r="N31" s="3">
        <f>VLOOKUP(C31,'[1]6月汇总'!$C:$E,3,0)</f>
        <v>100</v>
      </c>
      <c r="O31" s="3">
        <f t="shared" si="2"/>
        <v>314.36</v>
      </c>
      <c r="P31" s="5">
        <f>VLOOKUP(C31,[2]两年对比终版!$A:$F,6,0)</f>
        <v>0</v>
      </c>
      <c r="Q31" s="6">
        <f t="shared" si="3"/>
        <v>0.44276056338028202</v>
      </c>
      <c r="R31" s="3">
        <v>27</v>
      </c>
      <c r="S31" s="3">
        <v>0</v>
      </c>
      <c r="T31" s="3">
        <f>VLOOKUP(C31,'[1]5月25-5月31日汇总'!$C:$F,4,0)</f>
        <v>0</v>
      </c>
      <c r="U31" s="3">
        <f>VLOOKUP(C31,'[1]6月汇总'!$C:$F,4,0)</f>
        <v>0</v>
      </c>
      <c r="V31" s="3">
        <f t="shared" si="4"/>
        <v>0</v>
      </c>
      <c r="W31" s="5">
        <f>VLOOKUP(C31,[2]两年对比终版!$A:$N,14,0)</f>
        <v>0</v>
      </c>
      <c r="X31" s="6">
        <f t="shared" si="5"/>
        <v>0</v>
      </c>
      <c r="Y31" s="3">
        <v>350</v>
      </c>
      <c r="Z31" s="3">
        <v>0</v>
      </c>
      <c r="AA31" s="3">
        <f>VLOOKUP(C31,'[1]5月25-5月31日汇总'!$C:$G,5,0)</f>
        <v>0</v>
      </c>
      <c r="AB31" s="3">
        <f>VLOOKUP(C31,'[1]6月汇总'!$C:$G,5,0)</f>
        <v>0</v>
      </c>
      <c r="AC31" s="3">
        <f t="shared" si="6"/>
        <v>0</v>
      </c>
      <c r="AD31" s="5">
        <f>VLOOKUP(C31,[2]两年对比终版!$A:$Q,17,0)</f>
        <v>0</v>
      </c>
      <c r="AE31" s="6">
        <f t="shared" si="7"/>
        <v>0</v>
      </c>
      <c r="AF31" s="3">
        <v>27</v>
      </c>
      <c r="AG31" s="3">
        <v>0</v>
      </c>
      <c r="AH31" s="3">
        <f>VLOOKUP(C31,'[1]5月25-5月31日汇总'!$C:$H,6,0)</f>
        <v>0</v>
      </c>
      <c r="AI31" s="3">
        <f>VLOOKUP(C31,'[1]6月汇总'!$C:$I,6,0)</f>
        <v>0</v>
      </c>
      <c r="AJ31" s="3">
        <f t="shared" si="8"/>
        <v>0</v>
      </c>
      <c r="AK31" s="5">
        <f>VLOOKUP(C31,[2]两年对比终版!$A:$T,20,0)</f>
        <v>0</v>
      </c>
      <c r="AL31" s="6">
        <f t="shared" si="9"/>
        <v>0</v>
      </c>
      <c r="AM31" s="3">
        <v>350</v>
      </c>
      <c r="AN31" s="3">
        <v>0</v>
      </c>
      <c r="AO31" s="3">
        <f>VLOOKUP(C31,'[1]5月25-5月31日汇总'!$C:$I,7,0)</f>
        <v>0</v>
      </c>
      <c r="AP31" s="3">
        <f>VLOOKUP(C31,'[1]6月汇总'!$C:$I,7,0)</f>
        <v>0</v>
      </c>
      <c r="AQ31" s="3">
        <f t="shared" si="10"/>
        <v>0</v>
      </c>
      <c r="AR31" s="5">
        <f>VLOOKUP(C31,[2]两年对比终版!$A:$X,23,0)</f>
        <v>0</v>
      </c>
      <c r="AS31" s="6">
        <f t="shared" si="11"/>
        <v>0</v>
      </c>
      <c r="AT31" s="3">
        <v>333</v>
      </c>
      <c r="AU31" s="3">
        <v>0</v>
      </c>
      <c r="AV31" s="3"/>
      <c r="AW31" s="3"/>
      <c r="AX31" s="3">
        <f t="shared" si="12"/>
        <v>0</v>
      </c>
      <c r="AY31" s="5">
        <f>VLOOKUP(C31,[2]两年对比终版!$A:$AD,30,0)</f>
        <v>0</v>
      </c>
      <c r="AZ31" s="6">
        <f t="shared" si="13"/>
        <v>0</v>
      </c>
    </row>
    <row r="32" spans="1:52" x14ac:dyDescent="0.15">
      <c r="A32" s="2">
        <v>26</v>
      </c>
      <c r="B32" s="2" t="s">
        <v>28</v>
      </c>
      <c r="C32" s="2" t="s">
        <v>50</v>
      </c>
      <c r="D32" s="3">
        <v>263</v>
      </c>
      <c r="E32" s="3">
        <v>48</v>
      </c>
      <c r="F32" s="3">
        <f>VLOOKUP(C32,'[1]5月25-5月31日汇总'!$C:$D,2,0)</f>
        <v>0</v>
      </c>
      <c r="G32" s="3">
        <f>VLOOKUP(C32,'[1]6月汇总'!$C:$D,2,0)</f>
        <v>11</v>
      </c>
      <c r="H32" s="3">
        <f t="shared" si="0"/>
        <v>59</v>
      </c>
      <c r="I32" s="5">
        <f>VLOOKUP(C32,[2]两年对比终版!$A:$C,3,0)</f>
        <v>97</v>
      </c>
      <c r="J32" s="6">
        <f t="shared" si="1"/>
        <v>0.224334600760456</v>
      </c>
      <c r="K32" s="3">
        <v>1640</v>
      </c>
      <c r="L32" s="3">
        <v>499.416</v>
      </c>
      <c r="M32" s="3">
        <f>VLOOKUP(C32,'[1]5月25-5月31日汇总'!$C:$E,3,0)</f>
        <v>0</v>
      </c>
      <c r="N32" s="3">
        <f>VLOOKUP(C32,'[1]6月汇总'!$C:$E,3,0)</f>
        <v>160</v>
      </c>
      <c r="O32" s="3">
        <f t="shared" si="2"/>
        <v>659.41600000000005</v>
      </c>
      <c r="P32" s="5">
        <f>VLOOKUP(C32,[2]两年对比终版!$A:$F,6,0)</f>
        <v>1049.8086599999999</v>
      </c>
      <c r="Q32" s="6">
        <f t="shared" si="3"/>
        <v>0.40208292682926799</v>
      </c>
      <c r="R32" s="3">
        <v>42</v>
      </c>
      <c r="S32" s="3">
        <v>8</v>
      </c>
      <c r="T32" s="3">
        <f>VLOOKUP(C32,'[1]5月25-5月31日汇总'!$C:$F,4,0)</f>
        <v>0</v>
      </c>
      <c r="U32" s="3">
        <f>VLOOKUP(C32,'[1]6月汇总'!$C:$F,4,0)</f>
        <v>3</v>
      </c>
      <c r="V32" s="3">
        <f t="shared" si="4"/>
        <v>11</v>
      </c>
      <c r="W32" s="5">
        <f>VLOOKUP(C32,[2]两年对比终版!$A:$N,14,0)</f>
        <v>1</v>
      </c>
      <c r="X32" s="6">
        <f t="shared" si="5"/>
        <v>0.26190476190476197</v>
      </c>
      <c r="Y32" s="3">
        <v>400</v>
      </c>
      <c r="Z32" s="3">
        <v>77.599699999999999</v>
      </c>
      <c r="AA32" s="3">
        <f>VLOOKUP(C32,'[1]5月25-5月31日汇总'!$C:$G,5,0)</f>
        <v>0</v>
      </c>
      <c r="AB32" s="3">
        <f>VLOOKUP(C32,'[1]6月汇总'!$C:$G,5,0)</f>
        <v>32</v>
      </c>
      <c r="AC32" s="3">
        <f t="shared" si="6"/>
        <v>109.5997</v>
      </c>
      <c r="AD32" s="5">
        <f>VLOOKUP(C32,[2]两年对比终版!$A:$Q,17,0)</f>
        <v>7.43</v>
      </c>
      <c r="AE32" s="6">
        <f t="shared" si="7"/>
        <v>0.27399925000000003</v>
      </c>
      <c r="AF32" s="3">
        <v>42</v>
      </c>
      <c r="AG32" s="3">
        <v>8</v>
      </c>
      <c r="AH32" s="3">
        <f>VLOOKUP(C32,'[1]5月25-5月31日汇总'!$C:$H,6,0)</f>
        <v>0</v>
      </c>
      <c r="AI32" s="3">
        <f>VLOOKUP(C32,'[1]6月汇总'!$C:$I,6,0)</f>
        <v>3</v>
      </c>
      <c r="AJ32" s="3">
        <f t="shared" si="8"/>
        <v>11</v>
      </c>
      <c r="AK32" s="5">
        <f>VLOOKUP(C32,[2]两年对比终版!$A:$T,20,0)</f>
        <v>1</v>
      </c>
      <c r="AL32" s="6">
        <f t="shared" si="9"/>
        <v>0.26190476190476197</v>
      </c>
      <c r="AM32" s="3">
        <v>400</v>
      </c>
      <c r="AN32" s="3">
        <v>77.599699999999999</v>
      </c>
      <c r="AO32" s="3">
        <f>VLOOKUP(C32,'[1]5月25-5月31日汇总'!$C:$I,7,0)</f>
        <v>0</v>
      </c>
      <c r="AP32" s="3">
        <f>VLOOKUP(C32,'[1]6月汇总'!$C:$I,7,0)</f>
        <v>16</v>
      </c>
      <c r="AQ32" s="3">
        <f t="shared" si="10"/>
        <v>93.599699999999999</v>
      </c>
      <c r="AR32" s="5">
        <f>VLOOKUP(C32,[2]两年对比终版!$A:$X,23,0)</f>
        <v>7.43</v>
      </c>
      <c r="AS32" s="6">
        <f t="shared" si="11"/>
        <v>0.23399924999999999</v>
      </c>
      <c r="AT32" s="3">
        <v>380</v>
      </c>
      <c r="AU32" s="3">
        <v>6.1614800000000001</v>
      </c>
      <c r="AV32" s="3"/>
      <c r="AW32" s="3"/>
      <c r="AX32" s="3">
        <f t="shared" si="12"/>
        <v>6.1614800000000001</v>
      </c>
      <c r="AY32" s="5">
        <f>VLOOKUP(C32,[2]两年对比终版!$A:$AD,30,0)</f>
        <v>15.433404296875</v>
      </c>
      <c r="AZ32" s="6">
        <f t="shared" si="13"/>
        <v>1.62144210526316E-2</v>
      </c>
    </row>
    <row r="33" spans="1:52" x14ac:dyDescent="0.15">
      <c r="A33" s="2">
        <v>27</v>
      </c>
      <c r="B33" s="2" t="s">
        <v>25</v>
      </c>
      <c r="C33" s="2" t="s">
        <v>51</v>
      </c>
      <c r="D33" s="3">
        <v>148</v>
      </c>
      <c r="E33" s="3">
        <v>24</v>
      </c>
      <c r="F33" s="3">
        <f>VLOOKUP(C33,'[1]5月25-5月31日汇总'!$C:$D,2,0)</f>
        <v>2</v>
      </c>
      <c r="G33" s="3">
        <f>VLOOKUP(C33,'[1]6月汇总'!$C:$D,2,0)</f>
        <v>2</v>
      </c>
      <c r="H33" s="3">
        <f t="shared" si="0"/>
        <v>28</v>
      </c>
      <c r="I33" s="5">
        <f>VLOOKUP(C33,[2]两年对比终版!$A:$C,3,0)</f>
        <v>10</v>
      </c>
      <c r="J33" s="6">
        <f t="shared" si="1"/>
        <v>0.18918918918918901</v>
      </c>
      <c r="K33" s="3">
        <v>1470</v>
      </c>
      <c r="L33" s="3">
        <v>317.60000000000002</v>
      </c>
      <c r="M33" s="3">
        <f>VLOOKUP(C33,'[1]5月25-5月31日汇总'!$C:$E,3,0)</f>
        <v>22.8</v>
      </c>
      <c r="N33" s="3">
        <f>VLOOKUP(C33,'[1]6月汇总'!$C:$E,3,0)</f>
        <v>14</v>
      </c>
      <c r="O33" s="3">
        <f t="shared" si="2"/>
        <v>354.4</v>
      </c>
      <c r="P33" s="5">
        <f>VLOOKUP(C33,[2]两年对比终版!$A:$F,6,0)</f>
        <v>106.425487</v>
      </c>
      <c r="Q33" s="6">
        <f t="shared" si="3"/>
        <v>0.24108843537415001</v>
      </c>
      <c r="R33" s="3">
        <v>55</v>
      </c>
      <c r="S33" s="3">
        <v>11</v>
      </c>
      <c r="T33" s="3">
        <f>VLOOKUP(C33,'[1]5月25-5月31日汇总'!$C:$F,4,0)</f>
        <v>2</v>
      </c>
      <c r="U33" s="3">
        <f>VLOOKUP(C33,'[1]6月汇总'!$C:$F,4,0)</f>
        <v>2</v>
      </c>
      <c r="V33" s="3">
        <f t="shared" si="4"/>
        <v>15</v>
      </c>
      <c r="W33" s="5">
        <f>VLOOKUP(C33,[2]两年对比终版!$A:$N,14,0)</f>
        <v>1</v>
      </c>
      <c r="X33" s="6">
        <f t="shared" si="5"/>
        <v>0.27272727272727298</v>
      </c>
      <c r="Y33" s="3">
        <v>600</v>
      </c>
      <c r="Z33" s="3">
        <v>80.661600000000007</v>
      </c>
      <c r="AA33" s="3">
        <f>VLOOKUP(C33,'[1]5月25-5月31日汇总'!$C:$G,5,0)</f>
        <v>22.8</v>
      </c>
      <c r="AB33" s="3">
        <f>VLOOKUP(C33,'[1]6月汇总'!$C:$G,5,0)</f>
        <v>14</v>
      </c>
      <c r="AC33" s="3">
        <f t="shared" si="6"/>
        <v>117.4616</v>
      </c>
      <c r="AD33" s="5">
        <f>VLOOKUP(C33,[2]两年对比终版!$A:$Q,17,0)</f>
        <v>7.5608399999999998</v>
      </c>
      <c r="AE33" s="6">
        <f t="shared" si="7"/>
        <v>0.19576933333333299</v>
      </c>
      <c r="AF33" s="3">
        <v>55</v>
      </c>
      <c r="AG33" s="3">
        <v>10</v>
      </c>
      <c r="AH33" s="3">
        <f>VLOOKUP(C33,'[1]5月25-5月31日汇总'!$C:$H,6,0)</f>
        <v>0</v>
      </c>
      <c r="AI33" s="3">
        <f>VLOOKUP(C33,'[1]6月汇总'!$C:$I,6,0)</f>
        <v>1</v>
      </c>
      <c r="AJ33" s="3">
        <f t="shared" si="8"/>
        <v>11</v>
      </c>
      <c r="AK33" s="5">
        <f>VLOOKUP(C33,[2]两年对比终版!$A:$T,20,0)</f>
        <v>0</v>
      </c>
      <c r="AL33" s="6">
        <f t="shared" si="9"/>
        <v>0.2</v>
      </c>
      <c r="AM33" s="3">
        <v>600</v>
      </c>
      <c r="AN33" s="3">
        <v>74.216800000000006</v>
      </c>
      <c r="AO33" s="3">
        <f>VLOOKUP(C33,'[1]5月25-5月31日汇总'!$C:$I,7,0)</f>
        <v>0</v>
      </c>
      <c r="AP33" s="3">
        <f>VLOOKUP(C33,'[1]6月汇总'!$C:$I,7,0)</f>
        <v>7.21</v>
      </c>
      <c r="AQ33" s="3">
        <f t="shared" si="10"/>
        <v>81.4268</v>
      </c>
      <c r="AR33" s="5">
        <f>VLOOKUP(C33,[2]两年对比终版!$A:$X,23,0)</f>
        <v>0</v>
      </c>
      <c r="AS33" s="6">
        <f t="shared" si="11"/>
        <v>0.13571133333333299</v>
      </c>
      <c r="AT33" s="3">
        <v>570</v>
      </c>
      <c r="AU33" s="3">
        <v>63.672400000000003</v>
      </c>
      <c r="AV33" s="3"/>
      <c r="AW33" s="3"/>
      <c r="AX33" s="3">
        <f t="shared" si="12"/>
        <v>63.672400000000003</v>
      </c>
      <c r="AY33" s="5">
        <f>VLOOKUP(C33,[2]两年对比终版!$A:$AD,30,0)</f>
        <v>2.1891039062500002</v>
      </c>
      <c r="AZ33" s="6">
        <f t="shared" si="13"/>
        <v>0.11170596491228101</v>
      </c>
    </row>
    <row r="34" spans="1:52" x14ac:dyDescent="0.15">
      <c r="A34" s="2">
        <v>28</v>
      </c>
      <c r="B34" s="2" t="s">
        <v>19</v>
      </c>
      <c r="C34" s="2" t="s">
        <v>52</v>
      </c>
      <c r="D34" s="3">
        <v>246</v>
      </c>
      <c r="E34" s="3">
        <v>88</v>
      </c>
      <c r="F34" s="3">
        <f>VLOOKUP(C34,'[1]5月25-5月31日汇总'!$C:$D,2,0)</f>
        <v>3</v>
      </c>
      <c r="G34" s="3">
        <f>VLOOKUP(C34,'[1]6月汇总'!$C:$D,2,0)</f>
        <v>16</v>
      </c>
      <c r="H34" s="3">
        <f t="shared" si="0"/>
        <v>107</v>
      </c>
      <c r="I34" s="5">
        <f>VLOOKUP(C34,[2]两年对比终版!$A:$C,3,0)</f>
        <v>110</v>
      </c>
      <c r="J34" s="6">
        <f t="shared" si="1"/>
        <v>0.43495934959349603</v>
      </c>
      <c r="K34" s="3">
        <v>2934</v>
      </c>
      <c r="L34" s="3">
        <v>1103.6400000000001</v>
      </c>
      <c r="M34" s="3">
        <f>VLOOKUP(C34,'[1]5月25-5月31日汇总'!$C:$E,3,0)</f>
        <v>34</v>
      </c>
      <c r="N34" s="3">
        <f>VLOOKUP(C34,'[1]6月汇总'!$C:$E,3,0)</f>
        <v>204.55</v>
      </c>
      <c r="O34" s="3">
        <f t="shared" si="2"/>
        <v>1342.19</v>
      </c>
      <c r="P34" s="5">
        <f>VLOOKUP(C34,[2]两年对比终版!$A:$F,6,0)</f>
        <v>1592.6827720000001</v>
      </c>
      <c r="Q34" s="6">
        <f t="shared" si="3"/>
        <v>0.45746080436264502</v>
      </c>
      <c r="R34" s="3">
        <v>81</v>
      </c>
      <c r="S34" s="3">
        <v>24</v>
      </c>
      <c r="T34" s="3">
        <f>VLOOKUP(C34,'[1]5月25-5月31日汇总'!$C:$F,4,0)</f>
        <v>1</v>
      </c>
      <c r="U34" s="3">
        <f>VLOOKUP(C34,'[1]6月汇总'!$C:$F,4,0)</f>
        <v>16</v>
      </c>
      <c r="V34" s="3">
        <f t="shared" si="4"/>
        <v>41</v>
      </c>
      <c r="W34" s="5">
        <f>VLOOKUP(C34,[2]两年对比终版!$A:$N,14,0)</f>
        <v>30</v>
      </c>
      <c r="X34" s="6">
        <f t="shared" si="5"/>
        <v>0.50617283950617298</v>
      </c>
      <c r="Y34" s="3">
        <v>1600</v>
      </c>
      <c r="Z34" s="3">
        <v>274.69299999999998</v>
      </c>
      <c r="AA34" s="3">
        <f>VLOOKUP(C34,'[1]5月25-5月31日汇总'!$C:$G,5,0)</f>
        <v>37.81</v>
      </c>
      <c r="AB34" s="3">
        <f>VLOOKUP(C34,'[1]6月汇总'!$C:$G,5,0)</f>
        <v>204.55</v>
      </c>
      <c r="AC34" s="3">
        <f t="shared" si="6"/>
        <v>517.053</v>
      </c>
      <c r="AD34" s="5">
        <f>VLOOKUP(C34,[2]两年对比终版!$A:$Q,17,0)</f>
        <v>723.49246400000004</v>
      </c>
      <c r="AE34" s="6">
        <f t="shared" si="7"/>
        <v>0.32315812500000002</v>
      </c>
      <c r="AF34" s="3">
        <v>81</v>
      </c>
      <c r="AG34" s="3">
        <v>6</v>
      </c>
      <c r="AH34" s="3">
        <f>VLOOKUP(C34,'[1]5月25-5月31日汇总'!$C:$H,6,0)</f>
        <v>4</v>
      </c>
      <c r="AI34" s="3">
        <f>VLOOKUP(C34,'[1]6月汇总'!$C:$I,6,0)</f>
        <v>9</v>
      </c>
      <c r="AJ34" s="3">
        <f t="shared" si="8"/>
        <v>19</v>
      </c>
      <c r="AK34" s="5">
        <f>VLOOKUP(C34,[2]两年对比终版!$A:$T,20,0)</f>
        <v>19</v>
      </c>
      <c r="AL34" s="6">
        <f t="shared" si="9"/>
        <v>0.234567901234568</v>
      </c>
      <c r="AM34" s="3">
        <v>1600</v>
      </c>
      <c r="AN34" s="3">
        <v>78.962000000000003</v>
      </c>
      <c r="AO34" s="3">
        <f>VLOOKUP(C34,'[1]5月25-5月31日汇总'!$C:$I,7,0)</f>
        <v>25.91</v>
      </c>
      <c r="AP34" s="3">
        <f>VLOOKUP(C34,'[1]6月汇总'!$C:$I,7,0)</f>
        <v>82.28</v>
      </c>
      <c r="AQ34" s="3">
        <f t="shared" si="10"/>
        <v>187.15199999999999</v>
      </c>
      <c r="AR34" s="5">
        <f>VLOOKUP(C34,[2]两年对比终版!$A:$X,23,0)</f>
        <v>329.72867100000002</v>
      </c>
      <c r="AS34" s="6">
        <f t="shared" si="11"/>
        <v>0.11697</v>
      </c>
      <c r="AT34" s="3">
        <v>1520</v>
      </c>
      <c r="AU34" s="3">
        <v>11.9345</v>
      </c>
      <c r="AV34" s="3"/>
      <c r="AW34" s="3"/>
      <c r="AX34" s="3">
        <f t="shared" si="12"/>
        <v>11.9345</v>
      </c>
      <c r="AY34" s="5">
        <f>VLOOKUP(C34,[2]两年对比终版!$A:$AD,30,0)</f>
        <v>534.08012208099399</v>
      </c>
      <c r="AZ34" s="6">
        <f t="shared" si="13"/>
        <v>7.8516447368421009E-3</v>
      </c>
    </row>
    <row r="35" spans="1:52" x14ac:dyDescent="0.15">
      <c r="A35" s="2">
        <v>29</v>
      </c>
      <c r="B35" s="2" t="s">
        <v>28</v>
      </c>
      <c r="C35" s="2" t="s">
        <v>53</v>
      </c>
      <c r="D35" s="3">
        <v>85</v>
      </c>
      <c r="E35" s="3">
        <v>29</v>
      </c>
      <c r="F35" s="3">
        <f>VLOOKUP(C35,'[1]5月25-5月31日汇总'!$C:$D,2,0)</f>
        <v>0</v>
      </c>
      <c r="G35" s="3">
        <f>VLOOKUP(C35,'[1]6月汇总'!$C:$D,2,0)</f>
        <v>8</v>
      </c>
      <c r="H35" s="3">
        <f t="shared" si="0"/>
        <v>37</v>
      </c>
      <c r="I35" s="5">
        <f>VLOOKUP(C35,[2]两年对比终版!$A:$C,3,0)</f>
        <v>0</v>
      </c>
      <c r="J35" s="6">
        <f t="shared" si="1"/>
        <v>0.435294117647059</v>
      </c>
      <c r="K35" s="3">
        <v>650</v>
      </c>
      <c r="L35" s="3">
        <v>214.149</v>
      </c>
      <c r="M35" s="3">
        <f>VLOOKUP(C35,'[1]5月25-5月31日汇总'!$C:$E,3,0)</f>
        <v>0</v>
      </c>
      <c r="N35" s="3">
        <f>VLOOKUP(C35,'[1]6月汇总'!$C:$E,3,0)</f>
        <v>70</v>
      </c>
      <c r="O35" s="3">
        <f t="shared" si="2"/>
        <v>284.149</v>
      </c>
      <c r="P35" s="5">
        <f>VLOOKUP(C35,[2]两年对比终版!$A:$F,6,0)</f>
        <v>0</v>
      </c>
      <c r="Q35" s="6">
        <f t="shared" si="3"/>
        <v>0.43715230769230801</v>
      </c>
      <c r="R35" s="3">
        <v>27</v>
      </c>
      <c r="S35" s="3">
        <v>1</v>
      </c>
      <c r="T35" s="3">
        <f>VLOOKUP(C35,'[1]5月25-5月31日汇总'!$C:$F,4,0)</f>
        <v>0</v>
      </c>
      <c r="U35" s="3">
        <f>VLOOKUP(C35,'[1]6月汇总'!$C:$F,4,0)</f>
        <v>0</v>
      </c>
      <c r="V35" s="3">
        <f t="shared" si="4"/>
        <v>1</v>
      </c>
      <c r="W35" s="5">
        <f>VLOOKUP(C35,[2]两年对比终版!$A:$N,14,0)</f>
        <v>0</v>
      </c>
      <c r="X35" s="6">
        <f t="shared" si="5"/>
        <v>3.7037037037037E-2</v>
      </c>
      <c r="Y35" s="3">
        <v>350</v>
      </c>
      <c r="Z35" s="3">
        <v>15.5997</v>
      </c>
      <c r="AA35" s="3">
        <f>VLOOKUP(C35,'[1]5月25-5月31日汇总'!$C:$G,5,0)</f>
        <v>0</v>
      </c>
      <c r="AB35" s="3">
        <f>VLOOKUP(C35,'[1]6月汇总'!$C:$G,5,0)</f>
        <v>0</v>
      </c>
      <c r="AC35" s="3">
        <f t="shared" si="6"/>
        <v>15.5997</v>
      </c>
      <c r="AD35" s="5">
        <f>VLOOKUP(C35,[2]两年对比终版!$A:$Q,17,0)</f>
        <v>0</v>
      </c>
      <c r="AE35" s="6">
        <f t="shared" si="7"/>
        <v>4.4570571428571397E-2</v>
      </c>
      <c r="AF35" s="3">
        <v>27</v>
      </c>
      <c r="AG35" s="3">
        <v>0</v>
      </c>
      <c r="AH35" s="3">
        <f>VLOOKUP(C35,'[1]5月25-5月31日汇总'!$C:$H,6,0)</f>
        <v>0</v>
      </c>
      <c r="AI35" s="3">
        <f>VLOOKUP(C35,'[1]6月汇总'!$C:$I,6,0)</f>
        <v>0</v>
      </c>
      <c r="AJ35" s="3">
        <f t="shared" si="8"/>
        <v>0</v>
      </c>
      <c r="AK35" s="5">
        <f>VLOOKUP(C35,[2]两年对比终版!$A:$T,20,0)</f>
        <v>0</v>
      </c>
      <c r="AL35" s="6">
        <f t="shared" si="9"/>
        <v>0</v>
      </c>
      <c r="AM35" s="3">
        <v>350</v>
      </c>
      <c r="AN35" s="3">
        <v>0</v>
      </c>
      <c r="AO35" s="3">
        <f>VLOOKUP(C35,'[1]5月25-5月31日汇总'!$C:$I,7,0)</f>
        <v>0</v>
      </c>
      <c r="AP35" s="3">
        <f>VLOOKUP(C35,'[1]6月汇总'!$C:$I,7,0)</f>
        <v>0</v>
      </c>
      <c r="AQ35" s="3">
        <f t="shared" si="10"/>
        <v>0</v>
      </c>
      <c r="AR35" s="5">
        <f>VLOOKUP(C35,[2]两年对比终版!$A:$X,23,0)</f>
        <v>0</v>
      </c>
      <c r="AS35" s="6">
        <f t="shared" si="11"/>
        <v>0</v>
      </c>
      <c r="AT35" s="3">
        <v>333</v>
      </c>
      <c r="AU35" s="3">
        <v>4.7464000000000004</v>
      </c>
      <c r="AV35" s="3"/>
      <c r="AW35" s="3"/>
      <c r="AX35" s="3">
        <f t="shared" si="12"/>
        <v>4.7464000000000004</v>
      </c>
      <c r="AY35" s="5">
        <f>VLOOKUP(C35,[2]两年对比终版!$A:$AD,30,0)</f>
        <v>0</v>
      </c>
      <c r="AZ35" s="6">
        <f t="shared" si="13"/>
        <v>1.42534534534535E-2</v>
      </c>
    </row>
    <row r="36" spans="1:52" x14ac:dyDescent="0.15">
      <c r="A36" s="2">
        <v>30</v>
      </c>
      <c r="B36" s="2" t="s">
        <v>28</v>
      </c>
      <c r="C36" s="2" t="s">
        <v>54</v>
      </c>
      <c r="D36" s="3">
        <v>250</v>
      </c>
      <c r="E36" s="3">
        <v>51</v>
      </c>
      <c r="F36" s="3">
        <f>VLOOKUP(C36,'[1]5月25-5月31日汇总'!$C:$D,2,0)</f>
        <v>0</v>
      </c>
      <c r="G36" s="3">
        <f>VLOOKUP(C36,'[1]6月汇总'!$C:$D,2,0)</f>
        <v>19</v>
      </c>
      <c r="H36" s="3">
        <f t="shared" si="0"/>
        <v>70</v>
      </c>
      <c r="I36" s="5">
        <f>VLOOKUP(C36,[2]两年对比终版!$A:$C,3,0)</f>
        <v>0</v>
      </c>
      <c r="J36" s="6">
        <f t="shared" si="1"/>
        <v>0.28000000000000003</v>
      </c>
      <c r="K36" s="3">
        <v>1700</v>
      </c>
      <c r="L36" s="3">
        <v>530.63199999999995</v>
      </c>
      <c r="M36" s="3">
        <f>VLOOKUP(C36,'[1]5月25-5月31日汇总'!$C:$E,3,0)</f>
        <v>0</v>
      </c>
      <c r="N36" s="3">
        <f>VLOOKUP(C36,'[1]6月汇总'!$C:$E,3,0)</f>
        <v>170</v>
      </c>
      <c r="O36" s="3">
        <f t="shared" si="2"/>
        <v>700.63199999999995</v>
      </c>
      <c r="P36" s="5">
        <f>VLOOKUP(C36,[2]两年对比终版!$A:$F,6,0)</f>
        <v>0</v>
      </c>
      <c r="Q36" s="6">
        <f t="shared" si="3"/>
        <v>0.41213647058823499</v>
      </c>
      <c r="R36" s="3">
        <v>42</v>
      </c>
      <c r="S36" s="3">
        <v>0</v>
      </c>
      <c r="T36" s="3">
        <f>VLOOKUP(C36,'[1]5月25-5月31日汇总'!$C:$F,4,0)</f>
        <v>0</v>
      </c>
      <c r="U36" s="3">
        <f>VLOOKUP(C36,'[1]6月汇总'!$C:$F,4,0)</f>
        <v>0</v>
      </c>
      <c r="V36" s="3">
        <f t="shared" si="4"/>
        <v>0</v>
      </c>
      <c r="W36" s="5">
        <f>VLOOKUP(C36,[2]两年对比终版!$A:$N,14,0)</f>
        <v>0</v>
      </c>
      <c r="X36" s="6">
        <f t="shared" si="5"/>
        <v>0</v>
      </c>
      <c r="Y36" s="3">
        <v>400</v>
      </c>
      <c r="Z36" s="3">
        <v>0</v>
      </c>
      <c r="AA36" s="3">
        <f>VLOOKUP(C36,'[1]5月25-5月31日汇总'!$C:$G,5,0)</f>
        <v>0</v>
      </c>
      <c r="AB36" s="3">
        <f>VLOOKUP(C36,'[1]6月汇总'!$C:$G,5,0)</f>
        <v>0</v>
      </c>
      <c r="AC36" s="3">
        <f t="shared" si="6"/>
        <v>0</v>
      </c>
      <c r="AD36" s="5">
        <f>VLOOKUP(C36,[2]两年对比终版!$A:$Q,17,0)</f>
        <v>0</v>
      </c>
      <c r="AE36" s="6">
        <f t="shared" si="7"/>
        <v>0</v>
      </c>
      <c r="AF36" s="3">
        <v>42</v>
      </c>
      <c r="AG36" s="3">
        <v>0</v>
      </c>
      <c r="AH36" s="3">
        <f>VLOOKUP(C36,'[1]5月25-5月31日汇总'!$C:$H,6,0)</f>
        <v>0</v>
      </c>
      <c r="AI36" s="3">
        <f>VLOOKUP(C36,'[1]6月汇总'!$C:$I,6,0)</f>
        <v>0</v>
      </c>
      <c r="AJ36" s="3">
        <f t="shared" si="8"/>
        <v>0</v>
      </c>
      <c r="AK36" s="5">
        <f>VLOOKUP(C36,[2]两年对比终版!$A:$T,20,0)</f>
        <v>0</v>
      </c>
      <c r="AL36" s="6">
        <f t="shared" si="9"/>
        <v>0</v>
      </c>
      <c r="AM36" s="3">
        <v>400</v>
      </c>
      <c r="AN36" s="3">
        <v>0</v>
      </c>
      <c r="AO36" s="3">
        <f>VLOOKUP(C36,'[1]5月25-5月31日汇总'!$C:$I,7,0)</f>
        <v>0</v>
      </c>
      <c r="AP36" s="3">
        <f>VLOOKUP(C36,'[1]6月汇总'!$C:$I,7,0)</f>
        <v>0</v>
      </c>
      <c r="AQ36" s="3">
        <f t="shared" si="10"/>
        <v>0</v>
      </c>
      <c r="AR36" s="5">
        <f>VLOOKUP(C36,[2]两年对比终版!$A:$X,23,0)</f>
        <v>0</v>
      </c>
      <c r="AS36" s="6">
        <f t="shared" si="11"/>
        <v>0</v>
      </c>
      <c r="AT36" s="3">
        <v>380</v>
      </c>
      <c r="AU36" s="3">
        <v>0</v>
      </c>
      <c r="AV36" s="3"/>
      <c r="AW36" s="3"/>
      <c r="AX36" s="3">
        <f t="shared" si="12"/>
        <v>0</v>
      </c>
      <c r="AY36" s="5">
        <f>VLOOKUP(C36,[2]两年对比终版!$A:$AD,30,0)</f>
        <v>0</v>
      </c>
      <c r="AZ36" s="6">
        <f t="shared" si="13"/>
        <v>0</v>
      </c>
    </row>
    <row r="37" spans="1:52" x14ac:dyDescent="0.15">
      <c r="A37" s="11" t="s">
        <v>55</v>
      </c>
      <c r="B37" s="12"/>
      <c r="C37" s="12"/>
      <c r="D37" s="4">
        <f t="shared" ref="D37:I37" si="22">SUM(D26:D36)</f>
        <v>1823</v>
      </c>
      <c r="E37" s="4">
        <f t="shared" si="22"/>
        <v>454</v>
      </c>
      <c r="F37" s="4">
        <f t="shared" si="22"/>
        <v>25</v>
      </c>
      <c r="G37" s="4">
        <f t="shared" si="22"/>
        <v>126</v>
      </c>
      <c r="H37" s="4">
        <f t="shared" si="22"/>
        <v>605</v>
      </c>
      <c r="I37" s="7">
        <f t="shared" si="22"/>
        <v>467</v>
      </c>
      <c r="J37" s="8">
        <f>H37/D37</f>
        <v>0.33187054306088898</v>
      </c>
      <c r="K37" s="4">
        <f t="shared" ref="K37:AY37" si="23">SUM(K26:K36)</f>
        <v>15128.25</v>
      </c>
      <c r="L37" s="4">
        <f t="shared" si="23"/>
        <v>4707.1139999999996</v>
      </c>
      <c r="M37" s="4">
        <f t="shared" si="23"/>
        <v>231.86</v>
      </c>
      <c r="N37" s="4">
        <f t="shared" si="23"/>
        <v>1277.43</v>
      </c>
      <c r="O37" s="4">
        <f t="shared" si="23"/>
        <v>6216.4040000000005</v>
      </c>
      <c r="P37" s="7">
        <f>SUM(P26:P36)</f>
        <v>5851.5673800000004</v>
      </c>
      <c r="Q37" s="8">
        <f>O37/K37</f>
        <v>0.41091362186637598</v>
      </c>
      <c r="R37" s="4">
        <f t="shared" si="23"/>
        <v>501</v>
      </c>
      <c r="S37" s="4">
        <f t="shared" si="23"/>
        <v>90</v>
      </c>
      <c r="T37" s="4">
        <f t="shared" si="23"/>
        <v>9</v>
      </c>
      <c r="U37" s="4">
        <f t="shared" si="23"/>
        <v>39</v>
      </c>
      <c r="V37" s="4">
        <f t="shared" si="23"/>
        <v>138</v>
      </c>
      <c r="W37" s="7">
        <f t="shared" si="23"/>
        <v>88</v>
      </c>
      <c r="X37" s="8">
        <f>V37/R37</f>
        <v>0.27544910179640703</v>
      </c>
      <c r="Y37" s="4">
        <f t="shared" si="23"/>
        <v>6146.2449999999999</v>
      </c>
      <c r="Z37" s="4">
        <f t="shared" si="23"/>
        <v>823.96730000000002</v>
      </c>
      <c r="AA37" s="4">
        <f t="shared" si="23"/>
        <v>132.6</v>
      </c>
      <c r="AB37" s="4">
        <f t="shared" si="23"/>
        <v>389.22</v>
      </c>
      <c r="AC37" s="4">
        <f t="shared" si="23"/>
        <v>1345.7873</v>
      </c>
      <c r="AD37" s="7">
        <f t="shared" si="23"/>
        <v>1221.545443</v>
      </c>
      <c r="AE37" s="8">
        <f>AC37/Y37</f>
        <v>0.21896089400926899</v>
      </c>
      <c r="AF37" s="4">
        <f t="shared" si="23"/>
        <v>501</v>
      </c>
      <c r="AG37" s="4">
        <f t="shared" si="23"/>
        <v>68</v>
      </c>
      <c r="AH37" s="4">
        <f t="shared" si="23"/>
        <v>12</v>
      </c>
      <c r="AI37" s="4">
        <f t="shared" si="23"/>
        <v>30</v>
      </c>
      <c r="AJ37" s="4">
        <f t="shared" si="23"/>
        <v>110</v>
      </c>
      <c r="AK37" s="7">
        <f t="shared" si="23"/>
        <v>78</v>
      </c>
      <c r="AL37" s="8">
        <f>AJ37/AF37</f>
        <v>0.219560878243513</v>
      </c>
      <c r="AM37" s="4">
        <f t="shared" si="23"/>
        <v>6146.2449999999999</v>
      </c>
      <c r="AN37" s="4">
        <f t="shared" si="23"/>
        <v>628.9846</v>
      </c>
      <c r="AO37" s="4">
        <f t="shared" si="23"/>
        <v>77.489999999999995</v>
      </c>
      <c r="AP37" s="4">
        <f t="shared" si="23"/>
        <v>289.69070640000001</v>
      </c>
      <c r="AQ37" s="4">
        <f t="shared" si="23"/>
        <v>996.16530639999996</v>
      </c>
      <c r="AR37" s="7">
        <f t="shared" si="23"/>
        <v>913.28936999999996</v>
      </c>
      <c r="AS37" s="8">
        <f>AQ37/AM37</f>
        <v>0.162077057845888</v>
      </c>
      <c r="AT37" s="4">
        <f t="shared" si="23"/>
        <v>5839</v>
      </c>
      <c r="AU37" s="4">
        <f t="shared" si="23"/>
        <v>225.78712999999999</v>
      </c>
      <c r="AV37" s="4">
        <f t="shared" si="23"/>
        <v>0</v>
      </c>
      <c r="AW37" s="4">
        <f t="shared" si="23"/>
        <v>0</v>
      </c>
      <c r="AX37" s="4">
        <f t="shared" si="23"/>
        <v>225.78712999999999</v>
      </c>
      <c r="AY37" s="7">
        <f t="shared" si="23"/>
        <v>2328.6570708166641</v>
      </c>
      <c r="AZ37" s="8">
        <f>AX37/AT37</f>
        <v>3.8668801164583003E-2</v>
      </c>
    </row>
    <row r="38" spans="1:52" x14ac:dyDescent="0.15">
      <c r="A38" s="2">
        <v>31</v>
      </c>
      <c r="B38" s="2" t="s">
        <v>25</v>
      </c>
      <c r="C38" s="2" t="s">
        <v>56</v>
      </c>
      <c r="D38" s="3">
        <v>122</v>
      </c>
      <c r="E38" s="3">
        <v>43</v>
      </c>
      <c r="F38" s="3">
        <f>VLOOKUP(C38,'[1]5月25-5月31日汇总'!$C:$D,2,0)</f>
        <v>25</v>
      </c>
      <c r="G38" s="3">
        <f>VLOOKUP(C38,'[1]6月汇总'!$C:$D,2,0)</f>
        <v>70</v>
      </c>
      <c r="H38" s="3">
        <f t="shared" ref="H38:H69" si="24">SUM(E38:G38)</f>
        <v>138</v>
      </c>
      <c r="I38" s="5">
        <f>VLOOKUP(C38,[2]两年对比终版!$A:$C,3,0)</f>
        <v>42</v>
      </c>
      <c r="J38" s="6">
        <f t="shared" ref="J38:J69" si="25">H38/D38</f>
        <v>1.13114754098361</v>
      </c>
      <c r="K38" s="3">
        <v>3360</v>
      </c>
      <c r="L38" s="3">
        <v>490.78699999999998</v>
      </c>
      <c r="M38" s="3">
        <f>VLOOKUP(C38,'[1]5月25-5月31日汇总'!$C:$E,3,0)</f>
        <v>204.24260000000001</v>
      </c>
      <c r="N38" s="3">
        <f>VLOOKUP(C38,'[1]6月汇总'!$C:$E,3,0)</f>
        <v>816.97040000000004</v>
      </c>
      <c r="O38" s="3">
        <f t="shared" ref="O38:O69" si="26">SUM(L38:N38)</f>
        <v>1512</v>
      </c>
      <c r="P38" s="5">
        <f>VLOOKUP(C38,[2]两年对比终版!$A:$F,6,0)</f>
        <v>1049.7855669999999</v>
      </c>
      <c r="Q38" s="6">
        <f t="shared" ref="Q38:Q69" si="27">O38/K38</f>
        <v>0.45</v>
      </c>
      <c r="R38" s="3">
        <v>64</v>
      </c>
      <c r="S38" s="3">
        <v>5</v>
      </c>
      <c r="T38" s="3">
        <f>VLOOKUP(C38,'[1]5月25-5月31日汇总'!$C:$F,4,0)</f>
        <v>0</v>
      </c>
      <c r="U38" s="3">
        <f>VLOOKUP(C38,'[1]6月汇总'!$C:$F,4,0)</f>
        <v>10</v>
      </c>
      <c r="V38" s="3">
        <f t="shared" ref="V38:V69" si="28">SUM(S38:U38)</f>
        <v>15</v>
      </c>
      <c r="W38" s="5">
        <f>VLOOKUP(C38,[2]两年对比终版!$A:$N,14,0)</f>
        <v>27</v>
      </c>
      <c r="X38" s="6">
        <f t="shared" ref="X38:X69" si="29">V38/R38</f>
        <v>0.234375</v>
      </c>
      <c r="Y38" s="3">
        <v>1500</v>
      </c>
      <c r="Z38" s="3">
        <v>55.939300000000003</v>
      </c>
      <c r="AA38" s="3">
        <f>VLOOKUP(C38,'[1]5月25-5月31日汇总'!$C:$G,5,0)</f>
        <v>0</v>
      </c>
      <c r="AB38" s="3">
        <f>VLOOKUP(C38,'[1]6月汇总'!$C:$G,5,0)</f>
        <v>155</v>
      </c>
      <c r="AC38" s="3">
        <f t="shared" ref="AC38:AC69" si="30">SUM(Z38:AB38)</f>
        <v>210.9393</v>
      </c>
      <c r="AD38" s="5">
        <f>VLOOKUP(C38,[2]两年对比终版!$A:$Q,17,0)</f>
        <v>913.934257</v>
      </c>
      <c r="AE38" s="6">
        <f t="shared" ref="AE38:AE69" si="31">AC38/Y38</f>
        <v>0.14062620000000001</v>
      </c>
      <c r="AF38" s="3">
        <v>64</v>
      </c>
      <c r="AG38" s="3">
        <v>1</v>
      </c>
      <c r="AH38" s="3">
        <f>VLOOKUP(C38,'[1]5月25-5月31日汇总'!$C:$H,6,0)</f>
        <v>0</v>
      </c>
      <c r="AI38" s="3">
        <f>VLOOKUP(C38,'[1]6月汇总'!$C:$I,6,0)</f>
        <v>10</v>
      </c>
      <c r="AJ38" s="3">
        <f t="shared" ref="AJ38:AJ69" si="32">SUM(AG38:AI38)</f>
        <v>11</v>
      </c>
      <c r="AK38" s="5">
        <f>VLOOKUP(C38,[2]两年对比终版!$A:$T,20,0)</f>
        <v>26</v>
      </c>
      <c r="AL38" s="6">
        <f t="shared" ref="AL38:AL69" si="33">AJ38/AF38</f>
        <v>0.171875</v>
      </c>
      <c r="AM38" s="3">
        <v>1500</v>
      </c>
      <c r="AN38" s="3">
        <v>26.676100000000002</v>
      </c>
      <c r="AO38" s="3">
        <f>VLOOKUP(C38,'[1]5月25-5月31日汇总'!$C:$I,7,0)</f>
        <v>0</v>
      </c>
      <c r="AP38" s="3">
        <f>VLOOKUP(C38,'[1]6月汇总'!$C:$I,7,0)</f>
        <v>160</v>
      </c>
      <c r="AQ38" s="3">
        <f t="shared" ref="AQ38:AQ69" si="34">SUM(AN38:AP38)</f>
        <v>186.67609999999999</v>
      </c>
      <c r="AR38" s="5">
        <f>VLOOKUP(C38,[2]两年对比终版!$A:$X,23,0)</f>
        <v>895.74991999999997</v>
      </c>
      <c r="AS38" s="6">
        <f t="shared" ref="AS38:AS69" si="35">AQ38/AM38</f>
        <v>0.12445073333333299</v>
      </c>
      <c r="AT38" s="3">
        <v>1425</v>
      </c>
      <c r="AU38" s="3">
        <v>7.8727799999999997</v>
      </c>
      <c r="AV38" s="3"/>
      <c r="AW38" s="3"/>
      <c r="AX38" s="3">
        <f t="shared" ref="AX38:AX69" si="36">SUM(AU38:AW38)</f>
        <v>7.8727799999999997</v>
      </c>
      <c r="AY38" s="5">
        <f>VLOOKUP(C38,[2]两年对比终版!$A:$AD,30,0)</f>
        <v>460.53614658203099</v>
      </c>
      <c r="AZ38" s="6">
        <f t="shared" ref="AZ38:AZ69" si="37">AX38/AT38</f>
        <v>5.5247578947368401E-3</v>
      </c>
    </row>
    <row r="39" spans="1:52" x14ac:dyDescent="0.15">
      <c r="A39" s="2">
        <v>32</v>
      </c>
      <c r="B39" s="2" t="s">
        <v>19</v>
      </c>
      <c r="C39" s="2" t="s">
        <v>57</v>
      </c>
      <c r="D39" s="3">
        <v>733</v>
      </c>
      <c r="E39" s="3">
        <v>215</v>
      </c>
      <c r="F39" s="3">
        <f>VLOOKUP(C39,'[1]5月25-5月31日汇总'!$C:$D,2,0)</f>
        <v>25</v>
      </c>
      <c r="G39" s="3">
        <f>VLOOKUP(C39,'[1]6月汇总'!$C:$D,2,0)</f>
        <v>92</v>
      </c>
      <c r="H39" s="3">
        <f t="shared" si="24"/>
        <v>332</v>
      </c>
      <c r="I39" s="5">
        <f>VLOOKUP(C39,[2]两年对比终版!$A:$C,3,0)</f>
        <v>860</v>
      </c>
      <c r="J39" s="6">
        <f t="shared" si="25"/>
        <v>0.45293315143246898</v>
      </c>
      <c r="K39" s="3">
        <v>6860</v>
      </c>
      <c r="L39" s="3">
        <v>1849.15</v>
      </c>
      <c r="M39" s="3">
        <f>VLOOKUP(C39,'[1]5月25-5月31日汇总'!$C:$E,3,0)</f>
        <v>247.57</v>
      </c>
      <c r="N39" s="3">
        <f>VLOOKUP(C39,'[1]6月汇总'!$C:$E,3,0)</f>
        <v>990.28</v>
      </c>
      <c r="O39" s="3">
        <f t="shared" si="26"/>
        <v>3087</v>
      </c>
      <c r="P39" s="5">
        <f>VLOOKUP(C39,[2]两年对比终版!$A:$F,6,0)</f>
        <v>7680.8760709999397</v>
      </c>
      <c r="Q39" s="6">
        <f t="shared" si="27"/>
        <v>0.45</v>
      </c>
      <c r="R39" s="3">
        <v>200</v>
      </c>
      <c r="S39" s="3">
        <v>31</v>
      </c>
      <c r="T39" s="3">
        <f>VLOOKUP(C39,'[1]5月25-5月31日汇总'!$C:$F,4,0)</f>
        <v>2</v>
      </c>
      <c r="U39" s="3">
        <f>VLOOKUP(C39,'[1]6月汇总'!$C:$F,4,0)</f>
        <v>10</v>
      </c>
      <c r="V39" s="3">
        <f t="shared" si="28"/>
        <v>43</v>
      </c>
      <c r="W39" s="5">
        <f>VLOOKUP(C39,[2]两年对比终版!$A:$N,14,0)</f>
        <v>115</v>
      </c>
      <c r="X39" s="6">
        <f t="shared" si="29"/>
        <v>0.215</v>
      </c>
      <c r="Y39" s="3">
        <v>2360</v>
      </c>
      <c r="Z39" s="3">
        <v>268.55900000000003</v>
      </c>
      <c r="AA39" s="3">
        <f>VLOOKUP(C39,'[1]5月25-5月31日汇总'!$C:$G,5,0)</f>
        <v>22</v>
      </c>
      <c r="AB39" s="3">
        <f>VLOOKUP(C39,'[1]6月汇总'!$C:$G,5,0)</f>
        <v>105</v>
      </c>
      <c r="AC39" s="3">
        <f t="shared" si="30"/>
        <v>395.55900000000003</v>
      </c>
      <c r="AD39" s="5">
        <f>VLOOKUP(C39,[2]两年对比终版!$A:$Q,17,0)</f>
        <v>999.50570600000106</v>
      </c>
      <c r="AE39" s="6">
        <f t="shared" si="31"/>
        <v>0.16760974576271201</v>
      </c>
      <c r="AF39" s="3">
        <v>200</v>
      </c>
      <c r="AG39" s="3">
        <v>29</v>
      </c>
      <c r="AH39" s="3">
        <f>VLOOKUP(C39,'[1]5月25-5月31日汇总'!$C:$H,6,0)</f>
        <v>1</v>
      </c>
      <c r="AI39" s="3">
        <f>VLOOKUP(C39,'[1]6月汇总'!$C:$I,6,0)</f>
        <v>8</v>
      </c>
      <c r="AJ39" s="3">
        <f t="shared" si="32"/>
        <v>38</v>
      </c>
      <c r="AK39" s="5">
        <f>VLOOKUP(C39,[2]两年对比终版!$A:$T,20,0)</f>
        <v>132</v>
      </c>
      <c r="AL39" s="6">
        <f t="shared" si="33"/>
        <v>0.19</v>
      </c>
      <c r="AM39" s="3">
        <v>2360</v>
      </c>
      <c r="AN39" s="3">
        <v>257.589</v>
      </c>
      <c r="AO39" s="3">
        <f>VLOOKUP(C39,'[1]5月25-5月31日汇总'!$C:$I,7,0)</f>
        <v>8</v>
      </c>
      <c r="AP39" s="3">
        <f>VLOOKUP(C39,'[1]6月汇总'!$C:$I,7,0)</f>
        <v>70</v>
      </c>
      <c r="AQ39" s="3">
        <f t="shared" si="34"/>
        <v>335.589</v>
      </c>
      <c r="AR39" s="5">
        <f>VLOOKUP(C39,[2]两年对比终版!$A:$X,23,0)</f>
        <v>1132.2965879999999</v>
      </c>
      <c r="AS39" s="6">
        <f t="shared" si="35"/>
        <v>0.14219872881355899</v>
      </c>
      <c r="AT39" s="3">
        <v>2242</v>
      </c>
      <c r="AU39" s="3">
        <v>676.01800000000003</v>
      </c>
      <c r="AV39" s="3"/>
      <c r="AW39" s="3"/>
      <c r="AX39" s="3">
        <f t="shared" si="36"/>
        <v>676.01800000000003</v>
      </c>
      <c r="AY39" s="5">
        <f>VLOOKUP(C39,[2]两年对比终版!$A:$AD,30,0)</f>
        <v>831.13296945800801</v>
      </c>
      <c r="AZ39" s="6">
        <f t="shared" si="37"/>
        <v>0.30152453166815302</v>
      </c>
    </row>
    <row r="40" spans="1:52" x14ac:dyDescent="0.15">
      <c r="A40" s="2">
        <v>33</v>
      </c>
      <c r="B40" s="2" t="s">
        <v>19</v>
      </c>
      <c r="C40" s="2" t="s">
        <v>58</v>
      </c>
      <c r="D40" s="3">
        <v>299</v>
      </c>
      <c r="E40" s="3">
        <v>95</v>
      </c>
      <c r="F40" s="3">
        <f>VLOOKUP(C40,'[1]5月25-5月31日汇总'!$C:$D,2,0)</f>
        <v>22</v>
      </c>
      <c r="G40" s="3">
        <f>VLOOKUP(C40,'[1]6月汇总'!$C:$D,2,0)</f>
        <v>90</v>
      </c>
      <c r="H40" s="3">
        <f t="shared" si="24"/>
        <v>207</v>
      </c>
      <c r="I40" s="5">
        <f>VLOOKUP(C40,[2]两年对比终版!$A:$C,3,0)</f>
        <v>380</v>
      </c>
      <c r="J40" s="6">
        <f t="shared" si="25"/>
        <v>0.69230769230769196</v>
      </c>
      <c r="K40" s="3">
        <v>3710</v>
      </c>
      <c r="L40" s="3">
        <v>754.04700000000003</v>
      </c>
      <c r="M40" s="3">
        <f>VLOOKUP(C40,'[1]5月25-5月31日汇总'!$C:$E,3,0)</f>
        <v>183.09059999999999</v>
      </c>
      <c r="N40" s="3">
        <f>VLOOKUP(C40,'[1]6月汇总'!$C:$E,3,0)</f>
        <v>732.36239999999998</v>
      </c>
      <c r="O40" s="3">
        <f t="shared" si="26"/>
        <v>1669.5</v>
      </c>
      <c r="P40" s="5">
        <f>VLOOKUP(C40,[2]两年对比终版!$A:$F,6,0)</f>
        <v>2999.3153000000002</v>
      </c>
      <c r="Q40" s="6">
        <f t="shared" si="27"/>
        <v>0.45</v>
      </c>
      <c r="R40" s="3">
        <v>150</v>
      </c>
      <c r="S40" s="3">
        <v>13</v>
      </c>
      <c r="T40" s="3">
        <f>VLOOKUP(C40,'[1]5月25-5月31日汇总'!$C:$F,4,0)</f>
        <v>8</v>
      </c>
      <c r="U40" s="3">
        <f>VLOOKUP(C40,'[1]6月汇总'!$C:$F,4,0)</f>
        <v>15</v>
      </c>
      <c r="V40" s="3">
        <f t="shared" si="28"/>
        <v>36</v>
      </c>
      <c r="W40" s="5">
        <f>VLOOKUP(C40,[2]两年对比终版!$A:$N,14,0)</f>
        <v>18</v>
      </c>
      <c r="X40" s="6">
        <f t="shared" si="29"/>
        <v>0.24</v>
      </c>
      <c r="Y40" s="3">
        <v>1500</v>
      </c>
      <c r="Z40" s="3">
        <v>108.78700000000001</v>
      </c>
      <c r="AA40" s="3">
        <f>VLOOKUP(C40,'[1]5月25-5月31日汇总'!$C:$G,5,0)</f>
        <v>70</v>
      </c>
      <c r="AB40" s="3">
        <f>VLOOKUP(C40,'[1]6月汇总'!$C:$G,5,0)</f>
        <v>180</v>
      </c>
      <c r="AC40" s="3">
        <f t="shared" si="30"/>
        <v>358.78699999999998</v>
      </c>
      <c r="AD40" s="5">
        <f>VLOOKUP(C40,[2]两年对比终版!$A:$Q,17,0)</f>
        <v>244.92996500000001</v>
      </c>
      <c r="AE40" s="6">
        <f t="shared" si="31"/>
        <v>0.23919133333333301</v>
      </c>
      <c r="AF40" s="3">
        <v>150</v>
      </c>
      <c r="AG40" s="3">
        <v>31</v>
      </c>
      <c r="AH40" s="3">
        <f>VLOOKUP(C40,'[1]5月25-5月31日汇总'!$C:$H,6,0)</f>
        <v>0</v>
      </c>
      <c r="AI40" s="3">
        <f>VLOOKUP(C40,'[1]6月汇总'!$C:$I,6,0)</f>
        <v>5</v>
      </c>
      <c r="AJ40" s="3">
        <f t="shared" si="32"/>
        <v>36</v>
      </c>
      <c r="AK40" s="5">
        <f>VLOOKUP(C40,[2]两年对比终版!$A:$T,20,0)</f>
        <v>22</v>
      </c>
      <c r="AL40" s="6">
        <f t="shared" si="33"/>
        <v>0.24</v>
      </c>
      <c r="AM40" s="3">
        <v>1500</v>
      </c>
      <c r="AN40" s="3">
        <v>307.471</v>
      </c>
      <c r="AO40" s="3">
        <f>VLOOKUP(C40,'[1]5月25-5月31日汇总'!$C:$I,7,0)</f>
        <v>0</v>
      </c>
      <c r="AP40" s="3">
        <f>VLOOKUP(C40,'[1]6月汇总'!$C:$I,7,0)</f>
        <v>45</v>
      </c>
      <c r="AQ40" s="3">
        <f t="shared" si="34"/>
        <v>352.471</v>
      </c>
      <c r="AR40" s="5">
        <f>VLOOKUP(C40,[2]两年对比终版!$A:$X,23,0)</f>
        <v>262.43405999999999</v>
      </c>
      <c r="AS40" s="6">
        <f t="shared" si="35"/>
        <v>0.234980666666667</v>
      </c>
      <c r="AT40" s="3">
        <v>1425</v>
      </c>
      <c r="AU40" s="3">
        <v>40.4176</v>
      </c>
      <c r="AV40" s="3"/>
      <c r="AW40" s="3"/>
      <c r="AX40" s="3">
        <f t="shared" si="36"/>
        <v>40.4176</v>
      </c>
      <c r="AY40" s="5">
        <f>VLOOKUP(C40,[2]两年对比终版!$A:$AD,30,0)</f>
        <v>661.69019570312605</v>
      </c>
      <c r="AZ40" s="6">
        <f t="shared" si="37"/>
        <v>2.8363228070175401E-2</v>
      </c>
    </row>
    <row r="41" spans="1:52" x14ac:dyDescent="0.15">
      <c r="A41" s="2">
        <v>34</v>
      </c>
      <c r="B41" s="2" t="s">
        <v>28</v>
      </c>
      <c r="C41" s="2" t="s">
        <v>59</v>
      </c>
      <c r="D41" s="3">
        <v>136</v>
      </c>
      <c r="E41" s="3">
        <v>25</v>
      </c>
      <c r="F41" s="3">
        <f>VLOOKUP(C41,'[1]5月25-5月31日汇总'!$C:$D,2,0)</f>
        <v>7</v>
      </c>
      <c r="G41" s="3">
        <f>VLOOKUP(C41,'[1]6月汇总'!$C:$D,2,0)</f>
        <v>29</v>
      </c>
      <c r="H41" s="3">
        <f t="shared" si="24"/>
        <v>61</v>
      </c>
      <c r="I41" s="5">
        <f>VLOOKUP(C41,[2]两年对比终版!$A:$C,3,0)</f>
        <v>77</v>
      </c>
      <c r="J41" s="6">
        <f t="shared" si="25"/>
        <v>0.44852941176470601</v>
      </c>
      <c r="K41" s="3">
        <v>1820</v>
      </c>
      <c r="L41" s="3">
        <v>479.952</v>
      </c>
      <c r="M41" s="3">
        <f>VLOOKUP(C41,'[1]5月25-5月31日汇总'!$C:$E,3,0)</f>
        <v>67.809600000000003</v>
      </c>
      <c r="N41" s="3">
        <f>VLOOKUP(C41,'[1]6月汇总'!$C:$E,3,0)</f>
        <v>271.23840000000001</v>
      </c>
      <c r="O41" s="3">
        <f t="shared" si="26"/>
        <v>819</v>
      </c>
      <c r="P41" s="5">
        <f>VLOOKUP(C41,[2]两年对比终版!$A:$F,6,0)</f>
        <v>1017.1580300000001</v>
      </c>
      <c r="Q41" s="6">
        <f t="shared" si="27"/>
        <v>0.45</v>
      </c>
      <c r="R41" s="3">
        <v>64</v>
      </c>
      <c r="S41" s="3">
        <v>0</v>
      </c>
      <c r="T41" s="3">
        <f>VLOOKUP(C41,'[1]5月25-5月31日汇总'!$C:$F,4,0)</f>
        <v>0</v>
      </c>
      <c r="U41" s="3">
        <f>VLOOKUP(C41,'[1]6月汇总'!$C:$F,4,0)</f>
        <v>3</v>
      </c>
      <c r="V41" s="3">
        <f t="shared" si="28"/>
        <v>3</v>
      </c>
      <c r="W41" s="5">
        <f>VLOOKUP(C41,[2]两年对比终版!$A:$N,14,0)</f>
        <v>11</v>
      </c>
      <c r="X41" s="6">
        <f t="shared" si="29"/>
        <v>4.6875E-2</v>
      </c>
      <c r="Y41" s="3">
        <v>732</v>
      </c>
      <c r="Z41" s="3">
        <v>0</v>
      </c>
      <c r="AA41" s="3">
        <f>VLOOKUP(C41,'[1]5月25-5月31日汇总'!$C:$G,5,0)</f>
        <v>0</v>
      </c>
      <c r="AB41" s="3">
        <f>VLOOKUP(C41,'[1]6月汇总'!$C:$G,5,0)</f>
        <v>25</v>
      </c>
      <c r="AC41" s="3">
        <f t="shared" si="30"/>
        <v>25</v>
      </c>
      <c r="AD41" s="5">
        <f>VLOOKUP(C41,[2]两年对比终版!$A:$Q,17,0)</f>
        <v>126.799567</v>
      </c>
      <c r="AE41" s="6">
        <f t="shared" si="31"/>
        <v>3.4153005464480898E-2</v>
      </c>
      <c r="AF41" s="3">
        <v>64</v>
      </c>
      <c r="AG41" s="3">
        <v>9</v>
      </c>
      <c r="AH41" s="3">
        <f>VLOOKUP(C41,'[1]5月25-5月31日汇总'!$C:$H,6,0)</f>
        <v>0</v>
      </c>
      <c r="AI41" s="3">
        <f>VLOOKUP(C41,'[1]6月汇总'!$C:$I,6,0)</f>
        <v>2</v>
      </c>
      <c r="AJ41" s="3">
        <f t="shared" si="32"/>
        <v>11</v>
      </c>
      <c r="AK41" s="5">
        <f>VLOOKUP(C41,[2]两年对比终版!$A:$T,20,0)</f>
        <v>12</v>
      </c>
      <c r="AL41" s="6">
        <f t="shared" si="33"/>
        <v>0.171875</v>
      </c>
      <c r="AM41" s="3">
        <v>732</v>
      </c>
      <c r="AN41" s="3">
        <v>87.084900000000005</v>
      </c>
      <c r="AO41" s="3">
        <f>VLOOKUP(C41,'[1]5月25-5月31日汇总'!$C:$I,7,0)</f>
        <v>0</v>
      </c>
      <c r="AP41" s="3">
        <f>VLOOKUP(C41,'[1]6月汇总'!$C:$I,7,0)</f>
        <v>17</v>
      </c>
      <c r="AQ41" s="3">
        <f t="shared" si="34"/>
        <v>104.0849</v>
      </c>
      <c r="AR41" s="5">
        <f>VLOOKUP(C41,[2]两年对比终版!$A:$X,23,0)</f>
        <v>134.82774499999999</v>
      </c>
      <c r="AS41" s="6">
        <f t="shared" si="35"/>
        <v>0.142192486338798</v>
      </c>
      <c r="AT41" s="3">
        <v>695</v>
      </c>
      <c r="AU41" s="3">
        <v>8.3335500000000007</v>
      </c>
      <c r="AV41" s="3"/>
      <c r="AW41" s="3"/>
      <c r="AX41" s="3">
        <f t="shared" si="36"/>
        <v>8.3335500000000007</v>
      </c>
      <c r="AY41" s="5">
        <f>VLOOKUP(C41,[2]两年对比终版!$A:$AD,30,0)</f>
        <v>203.58402329254201</v>
      </c>
      <c r="AZ41" s="6">
        <f t="shared" si="37"/>
        <v>1.1990719424460399E-2</v>
      </c>
    </row>
    <row r="42" spans="1:52" x14ac:dyDescent="0.15">
      <c r="A42" s="2">
        <v>35</v>
      </c>
      <c r="B42" s="2" t="s">
        <v>19</v>
      </c>
      <c r="C42" s="2" t="s">
        <v>60</v>
      </c>
      <c r="D42" s="3">
        <v>416</v>
      </c>
      <c r="E42" s="3">
        <v>91</v>
      </c>
      <c r="F42" s="3">
        <f>VLOOKUP(C42,'[1]5月25-5月31日汇总'!$C:$D,2,0)</f>
        <v>19</v>
      </c>
      <c r="G42" s="3">
        <f>VLOOKUP(C42,'[1]6月汇总'!$C:$D,2,0)</f>
        <v>77</v>
      </c>
      <c r="H42" s="3">
        <f t="shared" si="24"/>
        <v>187</v>
      </c>
      <c r="I42" s="5">
        <f>VLOOKUP(C42,[2]两年对比终版!$A:$C,3,0)</f>
        <v>404</v>
      </c>
      <c r="J42" s="6">
        <f t="shared" si="25"/>
        <v>0.449519230769231</v>
      </c>
      <c r="K42" s="3">
        <v>3710</v>
      </c>
      <c r="L42" s="3">
        <v>823.947</v>
      </c>
      <c r="M42" s="3">
        <f>VLOOKUP(C42,'[1]5月25-5月31日汇总'!$C:$E,3,0)</f>
        <v>169.11060000000001</v>
      </c>
      <c r="N42" s="3">
        <f>VLOOKUP(C42,'[1]6月汇总'!$C:$E,3,0)</f>
        <v>676.44240000000002</v>
      </c>
      <c r="O42" s="3">
        <f t="shared" si="26"/>
        <v>1669.5</v>
      </c>
      <c r="P42" s="5">
        <f>VLOOKUP(C42,[2]两年对比终版!$A:$F,6,0)</f>
        <v>3426.458329</v>
      </c>
      <c r="Q42" s="6">
        <f t="shared" si="27"/>
        <v>0.45</v>
      </c>
      <c r="R42" s="3">
        <v>150</v>
      </c>
      <c r="S42" s="3">
        <v>38</v>
      </c>
      <c r="T42" s="3">
        <f>VLOOKUP(C42,'[1]5月25-5月31日汇总'!$C:$F,4,0)</f>
        <v>3</v>
      </c>
      <c r="U42" s="3">
        <f>VLOOKUP(C42,'[1]6月汇总'!$C:$F,4,0)</f>
        <v>71</v>
      </c>
      <c r="V42" s="3">
        <f t="shared" si="28"/>
        <v>112</v>
      </c>
      <c r="W42" s="5">
        <f>VLOOKUP(C42,[2]两年对比终版!$A:$N,14,0)</f>
        <v>63</v>
      </c>
      <c r="X42" s="6">
        <f t="shared" si="29"/>
        <v>0.74666666666666703</v>
      </c>
      <c r="Y42" s="3">
        <v>1500</v>
      </c>
      <c r="Z42" s="3">
        <v>300.19400000000002</v>
      </c>
      <c r="AA42" s="3">
        <f>VLOOKUP(C42,'[1]5月25-5月31日汇总'!$C:$G,5,0)</f>
        <v>120</v>
      </c>
      <c r="AB42" s="3">
        <f>VLOOKUP(C42,'[1]6月汇总'!$C:$G,5,0)</f>
        <v>560</v>
      </c>
      <c r="AC42" s="3">
        <f t="shared" si="30"/>
        <v>980.19399999999996</v>
      </c>
      <c r="AD42" s="5">
        <f>VLOOKUP(C42,[2]两年对比终版!$A:$Q,17,0)</f>
        <v>500.02766100000002</v>
      </c>
      <c r="AE42" s="6">
        <f t="shared" si="31"/>
        <v>0.65346266666666697</v>
      </c>
      <c r="AF42" s="3">
        <v>150</v>
      </c>
      <c r="AG42" s="3">
        <v>32</v>
      </c>
      <c r="AH42" s="3">
        <f>VLOOKUP(C42,'[1]5月25-5月31日汇总'!$C:$H,6,0)</f>
        <v>0</v>
      </c>
      <c r="AI42" s="3">
        <f>VLOOKUP(C42,'[1]6月汇总'!$C:$I,6,0)</f>
        <v>20</v>
      </c>
      <c r="AJ42" s="3">
        <f t="shared" si="32"/>
        <v>52</v>
      </c>
      <c r="AK42" s="5">
        <f>VLOOKUP(C42,[2]两年对比终版!$A:$T,20,0)</f>
        <v>52</v>
      </c>
      <c r="AL42" s="6">
        <f t="shared" si="33"/>
        <v>0.34666666666666701</v>
      </c>
      <c r="AM42" s="3">
        <v>1500</v>
      </c>
      <c r="AN42" s="3">
        <v>217.11699999999999</v>
      </c>
      <c r="AO42" s="3">
        <f>VLOOKUP(C42,'[1]5月25-5月31日汇总'!$C:$I,7,0)</f>
        <v>0</v>
      </c>
      <c r="AP42" s="3">
        <f>VLOOKUP(C42,'[1]6月汇总'!$C:$I,7,0)</f>
        <v>230</v>
      </c>
      <c r="AQ42" s="3">
        <f t="shared" si="34"/>
        <v>447.11700000000002</v>
      </c>
      <c r="AR42" s="5">
        <f>VLOOKUP(C42,[2]两年对比终版!$A:$X,23,0)</f>
        <v>388.01157699999999</v>
      </c>
      <c r="AS42" s="6">
        <f t="shared" si="35"/>
        <v>0.29807800000000001</v>
      </c>
      <c r="AT42" s="3">
        <v>1425</v>
      </c>
      <c r="AU42" s="3">
        <v>101.01300000000001</v>
      </c>
      <c r="AV42" s="3"/>
      <c r="AW42" s="3"/>
      <c r="AX42" s="3">
        <f t="shared" si="36"/>
        <v>101.01300000000001</v>
      </c>
      <c r="AY42" s="5">
        <f>VLOOKUP(C42,[2]两年对比终版!$A:$AD,30,0)</f>
        <v>537.83611030273505</v>
      </c>
      <c r="AZ42" s="6">
        <f t="shared" si="37"/>
        <v>7.08863157894737E-2</v>
      </c>
    </row>
    <row r="43" spans="1:52" x14ac:dyDescent="0.15">
      <c r="A43" s="2">
        <v>36</v>
      </c>
      <c r="B43" s="2" t="s">
        <v>28</v>
      </c>
      <c r="C43" s="2" t="s">
        <v>61</v>
      </c>
      <c r="D43" s="3">
        <v>50</v>
      </c>
      <c r="E43" s="3">
        <v>12</v>
      </c>
      <c r="F43" s="3">
        <f>VLOOKUP(C43,'[1]5月25-5月31日汇总'!$C:$D,2,0)</f>
        <v>2</v>
      </c>
      <c r="G43" s="3">
        <f>VLOOKUP(C43,'[1]6月汇总'!$C:$D,2,0)</f>
        <v>8</v>
      </c>
      <c r="H43" s="3">
        <f t="shared" si="24"/>
        <v>22</v>
      </c>
      <c r="I43" s="5">
        <f>VLOOKUP(C43,[2]两年对比终版!$A:$C,3,0)</f>
        <v>0</v>
      </c>
      <c r="J43" s="6">
        <f t="shared" si="25"/>
        <v>0.44</v>
      </c>
      <c r="K43" s="3">
        <v>700</v>
      </c>
      <c r="L43" s="3">
        <v>155.36600000000001</v>
      </c>
      <c r="M43" s="3">
        <f>VLOOKUP(C43,'[1]5月25-5月31日汇总'!$C:$E,3,0)</f>
        <v>25</v>
      </c>
      <c r="N43" s="3">
        <f>VLOOKUP(C43,'[1]6月汇总'!$C:$E,3,0)</f>
        <v>65</v>
      </c>
      <c r="O43" s="3">
        <f t="shared" si="26"/>
        <v>245.36600000000001</v>
      </c>
      <c r="P43" s="5">
        <f>VLOOKUP(C43,[2]两年对比终版!$A:$F,6,0)</f>
        <v>0</v>
      </c>
      <c r="Q43" s="6">
        <f t="shared" si="27"/>
        <v>0.35052285714285703</v>
      </c>
      <c r="R43" s="3">
        <v>42</v>
      </c>
      <c r="S43" s="3">
        <v>0</v>
      </c>
      <c r="T43" s="3">
        <f>VLOOKUP(C43,'[1]5月25-5月31日汇总'!$C:$F,4,0)</f>
        <v>0</v>
      </c>
      <c r="U43" s="3">
        <f>VLOOKUP(C43,'[1]6月汇总'!$C:$F,4,0)</f>
        <v>5</v>
      </c>
      <c r="V43" s="3">
        <f t="shared" si="28"/>
        <v>5</v>
      </c>
      <c r="W43" s="5">
        <f>VLOOKUP(C43,[2]两年对比终版!$A:$N,14,0)</f>
        <v>0</v>
      </c>
      <c r="X43" s="6">
        <f t="shared" si="29"/>
        <v>0.119047619047619</v>
      </c>
      <c r="Y43" s="3">
        <v>500</v>
      </c>
      <c r="Z43" s="3">
        <v>0</v>
      </c>
      <c r="AA43" s="3">
        <f>VLOOKUP(C43,'[1]5月25-5月31日汇总'!$C:$G,5,0)</f>
        <v>0</v>
      </c>
      <c r="AB43" s="3">
        <f>VLOOKUP(C43,'[1]6月汇总'!$C:$G,5,0)</f>
        <v>29.376000000000001</v>
      </c>
      <c r="AC43" s="3">
        <f t="shared" si="30"/>
        <v>29.376000000000001</v>
      </c>
      <c r="AD43" s="5">
        <f>VLOOKUP(C43,[2]两年对比终版!$A:$Q,17,0)</f>
        <v>0</v>
      </c>
      <c r="AE43" s="6">
        <f t="shared" si="31"/>
        <v>5.8751999999999999E-2</v>
      </c>
      <c r="AF43" s="3">
        <v>42</v>
      </c>
      <c r="AG43" s="3">
        <v>0</v>
      </c>
      <c r="AH43" s="3">
        <f>VLOOKUP(C43,'[1]5月25-5月31日汇总'!$C:$H,6,0)</f>
        <v>0</v>
      </c>
      <c r="AI43" s="3">
        <f>VLOOKUP(C43,'[1]6月汇总'!$C:$I,6,0)</f>
        <v>0</v>
      </c>
      <c r="AJ43" s="3">
        <f t="shared" si="32"/>
        <v>0</v>
      </c>
      <c r="AK43" s="5">
        <f>VLOOKUP(C43,[2]两年对比终版!$A:$T,20,0)</f>
        <v>0</v>
      </c>
      <c r="AL43" s="6">
        <f t="shared" si="33"/>
        <v>0</v>
      </c>
      <c r="AM43" s="3">
        <v>500</v>
      </c>
      <c r="AN43" s="3">
        <v>0</v>
      </c>
      <c r="AO43" s="3">
        <f>VLOOKUP(C43,'[1]5月25-5月31日汇总'!$C:$I,7,0)</f>
        <v>0</v>
      </c>
      <c r="AP43" s="3">
        <f>VLOOKUP(C43,'[1]6月汇总'!$C:$I,7,0)</f>
        <v>0</v>
      </c>
      <c r="AQ43" s="3">
        <f t="shared" si="34"/>
        <v>0</v>
      </c>
      <c r="AR43" s="5">
        <f>VLOOKUP(C43,[2]两年对比终版!$A:$X,23,0)</f>
        <v>0</v>
      </c>
      <c r="AS43" s="6">
        <f t="shared" si="35"/>
        <v>0</v>
      </c>
      <c r="AT43" s="3">
        <v>475</v>
      </c>
      <c r="AU43" s="3">
        <v>0</v>
      </c>
      <c r="AV43" s="3"/>
      <c r="AW43" s="3"/>
      <c r="AX43" s="3">
        <f t="shared" si="36"/>
        <v>0</v>
      </c>
      <c r="AY43" s="5">
        <f>VLOOKUP(C43,[2]两年对比终版!$A:$AD,30,0)</f>
        <v>0</v>
      </c>
      <c r="AZ43" s="6">
        <f t="shared" si="37"/>
        <v>0</v>
      </c>
    </row>
    <row r="44" spans="1:52" x14ac:dyDescent="0.15">
      <c r="A44" s="2">
        <v>37</v>
      </c>
      <c r="B44" s="2" t="s">
        <v>33</v>
      </c>
      <c r="C44" s="2" t="s">
        <v>62</v>
      </c>
      <c r="D44" s="3">
        <v>81</v>
      </c>
      <c r="E44" s="3">
        <v>24</v>
      </c>
      <c r="F44" s="3">
        <f>VLOOKUP(C44,'[1]5月25-5月31日汇总'!$C:$D,2,0)</f>
        <v>2</v>
      </c>
      <c r="G44" s="3">
        <f>VLOOKUP(C44,'[1]6月汇总'!$C:$D,2,0)</f>
        <v>10</v>
      </c>
      <c r="H44" s="3">
        <f t="shared" si="24"/>
        <v>36</v>
      </c>
      <c r="I44" s="5">
        <f>VLOOKUP(C44,[2]两年对比终版!$A:$C,3,0)</f>
        <v>53</v>
      </c>
      <c r="J44" s="6">
        <f t="shared" si="25"/>
        <v>0.44444444444444398</v>
      </c>
      <c r="K44" s="3">
        <v>700</v>
      </c>
      <c r="L44" s="3">
        <v>292.14400000000001</v>
      </c>
      <c r="M44" s="3">
        <f>VLOOKUP(C44,'[1]5月25-5月31日汇总'!$C:$E,3,0)</f>
        <v>16</v>
      </c>
      <c r="N44" s="3">
        <f>VLOOKUP(C44,'[1]6月汇总'!$C:$E,3,0)</f>
        <v>70</v>
      </c>
      <c r="O44" s="3">
        <f t="shared" si="26"/>
        <v>378.14400000000001</v>
      </c>
      <c r="P44" s="5">
        <f>VLOOKUP(C44,[2]两年对比终版!$A:$F,6,0)</f>
        <v>592.63861599999996</v>
      </c>
      <c r="Q44" s="6">
        <f t="shared" si="27"/>
        <v>0.54020571428571396</v>
      </c>
      <c r="R44" s="3">
        <v>42</v>
      </c>
      <c r="S44" s="3">
        <v>8</v>
      </c>
      <c r="T44" s="3">
        <f>VLOOKUP(C44,'[1]5月25-5月31日汇总'!$C:$F,4,0)</f>
        <v>0</v>
      </c>
      <c r="U44" s="3">
        <f>VLOOKUP(C44,'[1]6月汇总'!$C:$F,4,0)</f>
        <v>5</v>
      </c>
      <c r="V44" s="3">
        <f t="shared" si="28"/>
        <v>13</v>
      </c>
      <c r="W44" s="5">
        <f>VLOOKUP(C44,[2]两年对比终版!$A:$N,14,0)</f>
        <v>8</v>
      </c>
      <c r="X44" s="6">
        <f t="shared" si="29"/>
        <v>0.30952380952380998</v>
      </c>
      <c r="Y44" s="3">
        <v>300</v>
      </c>
      <c r="Z44" s="3">
        <v>65.929400000000001</v>
      </c>
      <c r="AA44" s="3">
        <f>VLOOKUP(C44,'[1]5月25-5月31日汇总'!$C:$G,5,0)</f>
        <v>0</v>
      </c>
      <c r="AB44" s="3">
        <f>VLOOKUP(C44,'[1]6月汇总'!$C:$G,5,0)</f>
        <v>45</v>
      </c>
      <c r="AC44" s="3">
        <f t="shared" si="30"/>
        <v>110.9294</v>
      </c>
      <c r="AD44" s="5">
        <f>VLOOKUP(C44,[2]两年对比终版!$A:$Q,17,0)</f>
        <v>61.438507000000001</v>
      </c>
      <c r="AE44" s="6">
        <f t="shared" si="31"/>
        <v>0.36976466666666702</v>
      </c>
      <c r="AF44" s="3">
        <v>42</v>
      </c>
      <c r="AG44" s="3">
        <v>4</v>
      </c>
      <c r="AH44" s="3">
        <f>VLOOKUP(C44,'[1]5月25-5月31日汇总'!$C:$H,6,0)</f>
        <v>0</v>
      </c>
      <c r="AI44" s="3">
        <f>VLOOKUP(C44,'[1]6月汇总'!$C:$I,6,0)</f>
        <v>6</v>
      </c>
      <c r="AJ44" s="3">
        <f t="shared" si="32"/>
        <v>10</v>
      </c>
      <c r="AK44" s="5">
        <f>VLOOKUP(C44,[2]两年对比终版!$A:$T,20,0)</f>
        <v>8</v>
      </c>
      <c r="AL44" s="6">
        <f t="shared" si="33"/>
        <v>0.238095238095238</v>
      </c>
      <c r="AM44" s="3">
        <v>300</v>
      </c>
      <c r="AN44" s="3">
        <v>29.107900000000001</v>
      </c>
      <c r="AO44" s="3">
        <f>VLOOKUP(C44,'[1]5月25-5月31日汇总'!$C:$I,7,0)</f>
        <v>0</v>
      </c>
      <c r="AP44" s="3">
        <f>VLOOKUP(C44,'[1]6月汇总'!$C:$I,7,0)</f>
        <v>48</v>
      </c>
      <c r="AQ44" s="3">
        <f t="shared" si="34"/>
        <v>77.107900000000001</v>
      </c>
      <c r="AR44" s="5">
        <f>VLOOKUP(C44,[2]两年对比终版!$A:$X,23,0)</f>
        <v>61.438507000000001</v>
      </c>
      <c r="AS44" s="6">
        <f t="shared" si="35"/>
        <v>0.25702633333333302</v>
      </c>
      <c r="AT44" s="3">
        <v>285</v>
      </c>
      <c r="AU44" s="3">
        <v>19.991199999999999</v>
      </c>
      <c r="AV44" s="3"/>
      <c r="AW44" s="3"/>
      <c r="AX44" s="3">
        <f t="shared" si="36"/>
        <v>19.991199999999999</v>
      </c>
      <c r="AY44" s="5">
        <f>VLOOKUP(C44,[2]两年对比终版!$A:$AD,30,0)</f>
        <v>82.195083007812499</v>
      </c>
      <c r="AZ44" s="6">
        <f t="shared" si="37"/>
        <v>7.0144561403508804E-2</v>
      </c>
    </row>
    <row r="45" spans="1:52" x14ac:dyDescent="0.15">
      <c r="A45" s="2">
        <v>38</v>
      </c>
      <c r="B45" s="2" t="s">
        <v>28</v>
      </c>
      <c r="C45" s="2" t="s">
        <v>63</v>
      </c>
      <c r="D45" s="3">
        <v>181</v>
      </c>
      <c r="E45" s="3">
        <v>23</v>
      </c>
      <c r="F45" s="3">
        <f>VLOOKUP(C45,'[1]5月25-5月31日汇总'!$C:$D,2,0)</f>
        <v>12</v>
      </c>
      <c r="G45" s="3">
        <f>VLOOKUP(C45,'[1]6月汇总'!$C:$D,2,0)</f>
        <v>47</v>
      </c>
      <c r="H45" s="3">
        <f t="shared" si="24"/>
        <v>82</v>
      </c>
      <c r="I45" s="5">
        <f>VLOOKUP(C45,[2]两年对比终版!$A:$C,3,0)</f>
        <v>0</v>
      </c>
      <c r="J45" s="6">
        <f t="shared" si="25"/>
        <v>0.45303867403314901</v>
      </c>
      <c r="K45" s="3">
        <v>1680</v>
      </c>
      <c r="L45" s="3">
        <v>367.404</v>
      </c>
      <c r="M45" s="3">
        <f>VLOOKUP(C45,'[1]5月25-5月31日汇总'!$C:$E,3,0)</f>
        <v>77.719200000000001</v>
      </c>
      <c r="N45" s="3">
        <f>VLOOKUP(C45,'[1]6月汇总'!$C:$E,3,0)</f>
        <v>310.8768</v>
      </c>
      <c r="O45" s="3">
        <f t="shared" si="26"/>
        <v>756</v>
      </c>
      <c r="P45" s="5">
        <f>VLOOKUP(C45,[2]两年对比终版!$A:$F,6,0)</f>
        <v>0</v>
      </c>
      <c r="Q45" s="6">
        <f t="shared" si="27"/>
        <v>0.45</v>
      </c>
      <c r="R45" s="3">
        <v>80</v>
      </c>
      <c r="S45" s="3">
        <v>3</v>
      </c>
      <c r="T45" s="3">
        <f>VLOOKUP(C45,'[1]5月25-5月31日汇总'!$C:$F,4,0)</f>
        <v>2</v>
      </c>
      <c r="U45" s="3">
        <f>VLOOKUP(C45,'[1]6月汇总'!$C:$F,4,0)</f>
        <v>3</v>
      </c>
      <c r="V45" s="3">
        <f t="shared" si="28"/>
        <v>8</v>
      </c>
      <c r="W45" s="5">
        <f>VLOOKUP(C45,[2]两年对比终版!$A:$N,14,0)</f>
        <v>0</v>
      </c>
      <c r="X45" s="6">
        <f t="shared" si="29"/>
        <v>0.1</v>
      </c>
      <c r="Y45" s="3">
        <v>700</v>
      </c>
      <c r="Z45" s="3">
        <v>24.950800000000001</v>
      </c>
      <c r="AA45" s="3">
        <f>VLOOKUP(C45,'[1]5月25-5月31日汇总'!$C:$G,5,0)</f>
        <v>15</v>
      </c>
      <c r="AB45" s="3">
        <f>VLOOKUP(C45,'[1]6月汇总'!$C:$G,5,0)</f>
        <v>24</v>
      </c>
      <c r="AC45" s="3">
        <f t="shared" si="30"/>
        <v>63.950800000000001</v>
      </c>
      <c r="AD45" s="5">
        <f>VLOOKUP(C45,[2]两年对比终版!$A:$Q,17,0)</f>
        <v>0</v>
      </c>
      <c r="AE45" s="6">
        <f t="shared" si="31"/>
        <v>9.1358285714285697E-2</v>
      </c>
      <c r="AF45" s="3">
        <v>80</v>
      </c>
      <c r="AG45" s="3">
        <v>3</v>
      </c>
      <c r="AH45" s="3">
        <f>VLOOKUP(C45,'[1]5月25-5月31日汇总'!$C:$H,6,0)</f>
        <v>0</v>
      </c>
      <c r="AI45" s="3">
        <f>VLOOKUP(C45,'[1]6月汇总'!$C:$I,6,0)</f>
        <v>2</v>
      </c>
      <c r="AJ45" s="3">
        <f t="shared" si="32"/>
        <v>5</v>
      </c>
      <c r="AK45" s="5">
        <f>VLOOKUP(C45,[2]两年对比终版!$A:$T,20,0)</f>
        <v>0</v>
      </c>
      <c r="AL45" s="6">
        <f t="shared" si="33"/>
        <v>6.25E-2</v>
      </c>
      <c r="AM45" s="3">
        <v>700</v>
      </c>
      <c r="AN45" s="3">
        <v>24.950800000000001</v>
      </c>
      <c r="AO45" s="3">
        <f>VLOOKUP(C45,'[1]5月25-5月31日汇总'!$C:$I,7,0)</f>
        <v>0</v>
      </c>
      <c r="AP45" s="3">
        <f>VLOOKUP(C45,'[1]6月汇总'!$C:$I,7,0)</f>
        <v>15</v>
      </c>
      <c r="AQ45" s="3">
        <f t="shared" si="34"/>
        <v>39.950800000000001</v>
      </c>
      <c r="AR45" s="5">
        <f>VLOOKUP(C45,[2]两年对比终版!$A:$X,23,0)</f>
        <v>0</v>
      </c>
      <c r="AS45" s="6">
        <f t="shared" si="35"/>
        <v>5.7072571428571403E-2</v>
      </c>
      <c r="AT45" s="3">
        <v>665</v>
      </c>
      <c r="AU45" s="3">
        <v>24.601299999999998</v>
      </c>
      <c r="AV45" s="3"/>
      <c r="AW45" s="3"/>
      <c r="AX45" s="3">
        <f t="shared" si="36"/>
        <v>24.601299999999998</v>
      </c>
      <c r="AY45" s="5">
        <f>VLOOKUP(C45,[2]两年对比终版!$A:$AD,30,0)</f>
        <v>0</v>
      </c>
      <c r="AZ45" s="6">
        <f t="shared" si="37"/>
        <v>3.6994436090225603E-2</v>
      </c>
    </row>
    <row r="46" spans="1:52" x14ac:dyDescent="0.15">
      <c r="A46" s="2">
        <v>39</v>
      </c>
      <c r="B46" s="2" t="s">
        <v>33</v>
      </c>
      <c r="C46" s="2" t="s">
        <v>64</v>
      </c>
      <c r="D46" s="3">
        <v>45</v>
      </c>
      <c r="E46" s="3">
        <v>35</v>
      </c>
      <c r="F46" s="3">
        <f>VLOOKUP(C46,'[1]5月25-5月31日汇总'!$C:$D,2,0)</f>
        <v>3</v>
      </c>
      <c r="G46" s="3">
        <f>VLOOKUP(C46,'[1]6月汇总'!$C:$D,2,0)</f>
        <v>10</v>
      </c>
      <c r="H46" s="3">
        <f t="shared" si="24"/>
        <v>48</v>
      </c>
      <c r="I46" s="5">
        <f>VLOOKUP(C46,[2]两年对比终版!$A:$C,3,0)</f>
        <v>92</v>
      </c>
      <c r="J46" s="6">
        <f t="shared" si="25"/>
        <v>1.06666666666667</v>
      </c>
      <c r="K46" s="3">
        <v>700</v>
      </c>
      <c r="L46" s="3">
        <v>231.97900000000001</v>
      </c>
      <c r="M46" s="3">
        <f>VLOOKUP(C46,'[1]5月25-5月31日汇总'!$C:$E,3,0)</f>
        <v>16.604199999999999</v>
      </c>
      <c r="N46" s="3">
        <f>VLOOKUP(C46,'[1]6月汇总'!$C:$E,3,0)</f>
        <v>66.416799999999995</v>
      </c>
      <c r="O46" s="3">
        <f t="shared" si="26"/>
        <v>315</v>
      </c>
      <c r="P46" s="5">
        <f>VLOOKUP(C46,[2]两年对比终版!$A:$F,6,0)</f>
        <v>1001.540992</v>
      </c>
      <c r="Q46" s="6">
        <f t="shared" si="27"/>
        <v>0.45</v>
      </c>
      <c r="R46" s="3">
        <v>25</v>
      </c>
      <c r="S46" s="3">
        <v>17</v>
      </c>
      <c r="T46" s="3">
        <f>VLOOKUP(C46,'[1]5月25-5月31日汇总'!$C:$F,4,0)</f>
        <v>1</v>
      </c>
      <c r="U46" s="3">
        <f>VLOOKUP(C46,'[1]6月汇总'!$C:$F,4,0)</f>
        <v>4</v>
      </c>
      <c r="V46" s="3">
        <f t="shared" si="28"/>
        <v>22</v>
      </c>
      <c r="W46" s="5">
        <f>VLOOKUP(C46,[2]两年对比终版!$A:$N,14,0)</f>
        <v>20</v>
      </c>
      <c r="X46" s="6">
        <f t="shared" si="29"/>
        <v>0.88</v>
      </c>
      <c r="Y46" s="3">
        <v>300</v>
      </c>
      <c r="Z46" s="3">
        <v>107.63800000000001</v>
      </c>
      <c r="AA46" s="3">
        <f>VLOOKUP(C46,'[1]5月25-5月31日汇总'!$C:$G,5,0)</f>
        <v>8</v>
      </c>
      <c r="AB46" s="3">
        <f>VLOOKUP(C46,'[1]6月汇总'!$C:$G,5,0)</f>
        <v>30</v>
      </c>
      <c r="AC46" s="3">
        <f t="shared" si="30"/>
        <v>145.63800000000001</v>
      </c>
      <c r="AD46" s="5">
        <f>VLOOKUP(C46,[2]两年对比终版!$A:$Q,17,0)</f>
        <v>200.807132</v>
      </c>
      <c r="AE46" s="6">
        <f t="shared" si="31"/>
        <v>0.48546</v>
      </c>
      <c r="AF46" s="3">
        <v>25</v>
      </c>
      <c r="AG46" s="3">
        <v>2</v>
      </c>
      <c r="AH46" s="3">
        <f>VLOOKUP(C46,'[1]5月25-5月31日汇总'!$C:$H,6,0)</f>
        <v>0</v>
      </c>
      <c r="AI46" s="3">
        <f>VLOOKUP(C46,'[1]6月汇总'!$C:$I,6,0)</f>
        <v>2</v>
      </c>
      <c r="AJ46" s="3">
        <f t="shared" si="32"/>
        <v>4</v>
      </c>
      <c r="AK46" s="5">
        <f>VLOOKUP(C46,[2]两年对比终版!$A:$T,20,0)</f>
        <v>15</v>
      </c>
      <c r="AL46" s="6">
        <f t="shared" si="33"/>
        <v>0.16</v>
      </c>
      <c r="AM46" s="3">
        <v>300</v>
      </c>
      <c r="AN46" s="3">
        <v>12.4017</v>
      </c>
      <c r="AO46" s="3">
        <f>VLOOKUP(C46,'[1]5月25-5月31日汇总'!$C:$I,7,0)</f>
        <v>0</v>
      </c>
      <c r="AP46" s="3">
        <f>VLOOKUP(C46,'[1]6月汇总'!$C:$I,7,0)</f>
        <v>13</v>
      </c>
      <c r="AQ46" s="3">
        <f t="shared" si="34"/>
        <v>25.401700000000002</v>
      </c>
      <c r="AR46" s="5">
        <f>VLOOKUP(C46,[2]两年对比终版!$A:$X,23,0)</f>
        <v>137.57912400000001</v>
      </c>
      <c r="AS46" s="6">
        <f t="shared" si="35"/>
        <v>8.4672333333333294E-2</v>
      </c>
      <c r="AT46" s="3">
        <v>285</v>
      </c>
      <c r="AU46" s="3">
        <v>31.550999999999998</v>
      </c>
      <c r="AV46" s="3"/>
      <c r="AW46" s="3"/>
      <c r="AX46" s="3">
        <f t="shared" si="36"/>
        <v>31.550999999999998</v>
      </c>
      <c r="AY46" s="5">
        <f>VLOOKUP(C46,[2]两年对比终版!$A:$AD,30,0)</f>
        <v>168.956737670899</v>
      </c>
      <c r="AZ46" s="6">
        <f t="shared" si="37"/>
        <v>0.110705263157895</v>
      </c>
    </row>
    <row r="47" spans="1:52" x14ac:dyDescent="0.15">
      <c r="A47" s="11" t="s">
        <v>65</v>
      </c>
      <c r="B47" s="12"/>
      <c r="C47" s="12"/>
      <c r="D47" s="4">
        <f t="shared" ref="D47:I47" si="38">SUM(D38:D46)</f>
        <v>2063</v>
      </c>
      <c r="E47" s="4">
        <f t="shared" si="38"/>
        <v>563</v>
      </c>
      <c r="F47" s="4">
        <f t="shared" si="38"/>
        <v>117</v>
      </c>
      <c r="G47" s="4">
        <f t="shared" si="38"/>
        <v>433</v>
      </c>
      <c r="H47" s="4">
        <f t="shared" si="38"/>
        <v>1113</v>
      </c>
      <c r="I47" s="7">
        <f t="shared" si="38"/>
        <v>1908</v>
      </c>
      <c r="J47" s="8">
        <f>H47/D47</f>
        <v>0.53950557440620495</v>
      </c>
      <c r="K47" s="4">
        <f t="shared" ref="K47:AY47" si="39">SUM(K38:K46)</f>
        <v>23240</v>
      </c>
      <c r="L47" s="4">
        <f t="shared" si="39"/>
        <v>5444.7759999999998</v>
      </c>
      <c r="M47" s="4">
        <f t="shared" si="39"/>
        <v>1007.1468</v>
      </c>
      <c r="N47" s="4">
        <f t="shared" si="39"/>
        <v>3999.5871999999999</v>
      </c>
      <c r="O47" s="4">
        <f t="shared" si="39"/>
        <v>10451.51</v>
      </c>
      <c r="P47" s="7">
        <f>SUM(P38:P46)</f>
        <v>17767.77290499994</v>
      </c>
      <c r="Q47" s="8">
        <f>O47/K47</f>
        <v>0.44972074010327001</v>
      </c>
      <c r="R47" s="4">
        <f t="shared" si="39"/>
        <v>817</v>
      </c>
      <c r="S47" s="4">
        <f t="shared" si="39"/>
        <v>115</v>
      </c>
      <c r="T47" s="4">
        <f t="shared" si="39"/>
        <v>16</v>
      </c>
      <c r="U47" s="4">
        <f t="shared" si="39"/>
        <v>126</v>
      </c>
      <c r="V47" s="4">
        <f t="shared" si="39"/>
        <v>257</v>
      </c>
      <c r="W47" s="7">
        <f t="shared" si="39"/>
        <v>262</v>
      </c>
      <c r="X47" s="8">
        <f>V47/R47</f>
        <v>0.314565483476132</v>
      </c>
      <c r="Y47" s="4">
        <f t="shared" si="39"/>
        <v>9392</v>
      </c>
      <c r="Z47" s="4">
        <f t="shared" si="39"/>
        <v>931.99749999999995</v>
      </c>
      <c r="AA47" s="4">
        <f t="shared" si="39"/>
        <v>235</v>
      </c>
      <c r="AB47" s="4">
        <f t="shared" si="39"/>
        <v>1153.376</v>
      </c>
      <c r="AC47" s="4">
        <f t="shared" si="39"/>
        <v>2320.3735000000001</v>
      </c>
      <c r="AD47" s="7">
        <f t="shared" si="39"/>
        <v>3047.4427950000008</v>
      </c>
      <c r="AE47" s="8">
        <f>AC47/Y47</f>
        <v>0.24705850724020401</v>
      </c>
      <c r="AF47" s="4">
        <f t="shared" si="39"/>
        <v>817</v>
      </c>
      <c r="AG47" s="4">
        <f t="shared" si="39"/>
        <v>111</v>
      </c>
      <c r="AH47" s="4">
        <f t="shared" si="39"/>
        <v>1</v>
      </c>
      <c r="AI47" s="4">
        <f t="shared" si="39"/>
        <v>55</v>
      </c>
      <c r="AJ47" s="4">
        <f t="shared" si="39"/>
        <v>167</v>
      </c>
      <c r="AK47" s="7">
        <f t="shared" si="39"/>
        <v>267</v>
      </c>
      <c r="AL47" s="8">
        <f>AJ47/AF47</f>
        <v>0.204406364749082</v>
      </c>
      <c r="AM47" s="4">
        <f t="shared" si="39"/>
        <v>9392</v>
      </c>
      <c r="AN47" s="4">
        <f t="shared" si="39"/>
        <v>962.39840000000004</v>
      </c>
      <c r="AO47" s="4">
        <f t="shared" si="39"/>
        <v>8</v>
      </c>
      <c r="AP47" s="4">
        <f t="shared" si="39"/>
        <v>598</v>
      </c>
      <c r="AQ47" s="4">
        <f t="shared" si="39"/>
        <v>1568.3984</v>
      </c>
      <c r="AR47" s="7">
        <f t="shared" si="39"/>
        <v>3012.3375209999995</v>
      </c>
      <c r="AS47" s="8">
        <f>AQ47/AM47</f>
        <v>0.16699301533219801</v>
      </c>
      <c r="AT47" s="4">
        <f t="shared" si="39"/>
        <v>8922</v>
      </c>
      <c r="AU47" s="4">
        <f t="shared" si="39"/>
        <v>909.79843000000005</v>
      </c>
      <c r="AV47" s="4">
        <f t="shared" si="39"/>
        <v>0</v>
      </c>
      <c r="AW47" s="4">
        <f t="shared" si="39"/>
        <v>0</v>
      </c>
      <c r="AX47" s="4">
        <f t="shared" si="39"/>
        <v>909.79843000000005</v>
      </c>
      <c r="AY47" s="7">
        <f t="shared" si="39"/>
        <v>2945.931266017154</v>
      </c>
      <c r="AZ47" s="8">
        <f>AX47/AT47</f>
        <v>0.10197247590226401</v>
      </c>
    </row>
    <row r="48" spans="1:52" x14ac:dyDescent="0.15">
      <c r="A48" s="2">
        <v>40</v>
      </c>
      <c r="B48" s="2" t="s">
        <v>28</v>
      </c>
      <c r="C48" s="2" t="s">
        <v>66</v>
      </c>
      <c r="D48" s="3">
        <v>81</v>
      </c>
      <c r="E48" s="3">
        <v>37</v>
      </c>
      <c r="F48" s="3">
        <f>VLOOKUP(C48,'[1]5月25-5月31日汇总'!$C:$D,2,0)</f>
        <v>8</v>
      </c>
      <c r="G48" s="3">
        <f>VLOOKUP(C48,'[1]6月汇总'!$C:$D,2,0)</f>
        <v>12</v>
      </c>
      <c r="H48" s="3">
        <f t="shared" si="24"/>
        <v>57</v>
      </c>
      <c r="I48" s="5">
        <f>VLOOKUP(C48,[2]两年对比终版!$A:$C,3,0)</f>
        <v>73</v>
      </c>
      <c r="J48" s="6">
        <f t="shared" si="25"/>
        <v>0.70370370370370405</v>
      </c>
      <c r="K48" s="3">
        <v>1260</v>
      </c>
      <c r="L48" s="3">
        <v>443.11900000000003</v>
      </c>
      <c r="M48" s="3">
        <f>VLOOKUP(C48,'[1]5月25-5月31日汇总'!$C:$E,3,0)</f>
        <v>85</v>
      </c>
      <c r="N48" s="3">
        <f>VLOOKUP(C48,'[1]6月汇总'!$C:$E,3,0)</f>
        <v>130</v>
      </c>
      <c r="O48" s="3">
        <f t="shared" si="26"/>
        <v>658.11900000000003</v>
      </c>
      <c r="P48" s="5">
        <f>VLOOKUP(C48,[2]两年对比终版!$A:$F,6,0)</f>
        <v>800.21296800000005</v>
      </c>
      <c r="Q48" s="6">
        <f t="shared" si="27"/>
        <v>0.52231666666666698</v>
      </c>
      <c r="R48" s="3">
        <v>32.4</v>
      </c>
      <c r="S48" s="3">
        <v>11</v>
      </c>
      <c r="T48" s="3">
        <f>VLOOKUP(C48,'[1]5月25-5月31日汇总'!$C:$F,4,0)</f>
        <v>0</v>
      </c>
      <c r="U48" s="3">
        <f>VLOOKUP(C48,'[1]6月汇总'!$C:$F,4,0)</f>
        <v>5</v>
      </c>
      <c r="V48" s="3">
        <f t="shared" si="28"/>
        <v>16</v>
      </c>
      <c r="W48" s="5">
        <f>VLOOKUP(C48,[2]两年对比终版!$A:$N,14,0)</f>
        <v>15</v>
      </c>
      <c r="X48" s="6">
        <f t="shared" si="29"/>
        <v>0.49382716049382702</v>
      </c>
      <c r="Y48" s="3">
        <v>500</v>
      </c>
      <c r="Z48" s="3">
        <v>141.80000000000001</v>
      </c>
      <c r="AA48" s="3">
        <f>VLOOKUP(C48,'[1]5月25-5月31日汇总'!$C:$G,5,0)</f>
        <v>0</v>
      </c>
      <c r="AB48" s="3">
        <f>VLOOKUP(C48,'[1]6月汇总'!$C:$G,5,0)</f>
        <v>45</v>
      </c>
      <c r="AC48" s="3">
        <f t="shared" si="30"/>
        <v>186.8</v>
      </c>
      <c r="AD48" s="5">
        <f>VLOOKUP(C48,[2]两年对比终版!$A:$Q,17,0)</f>
        <v>187.86055999999999</v>
      </c>
      <c r="AE48" s="6">
        <f t="shared" si="31"/>
        <v>0.37359999999999999</v>
      </c>
      <c r="AF48" s="3">
        <v>32.4</v>
      </c>
      <c r="AG48" s="3">
        <v>2</v>
      </c>
      <c r="AH48" s="3">
        <f>VLOOKUP(C48,'[1]5月25-5月31日汇总'!$C:$H,6,0)</f>
        <v>3</v>
      </c>
      <c r="AI48" s="3">
        <f>VLOOKUP(C48,'[1]6月汇总'!$C:$I,6,0)</f>
        <v>3</v>
      </c>
      <c r="AJ48" s="3">
        <f t="shared" si="32"/>
        <v>8</v>
      </c>
      <c r="AK48" s="5">
        <f>VLOOKUP(C48,[2]两年对比终版!$A:$T,20,0)</f>
        <v>10</v>
      </c>
      <c r="AL48" s="6">
        <f t="shared" si="33"/>
        <v>0.24691358024691401</v>
      </c>
      <c r="AM48" s="3">
        <v>500</v>
      </c>
      <c r="AN48" s="3">
        <v>33.6813</v>
      </c>
      <c r="AO48" s="3">
        <f>VLOOKUP(C48,'[1]5月25-5月31日汇总'!$C:$I,7,0)</f>
        <v>28</v>
      </c>
      <c r="AP48" s="3">
        <f>VLOOKUP(C48,'[1]6月汇总'!$C:$I,7,0)</f>
        <v>51</v>
      </c>
      <c r="AQ48" s="3">
        <f t="shared" si="34"/>
        <v>112.68129999999999</v>
      </c>
      <c r="AR48" s="5">
        <f>VLOOKUP(C48,[2]两年对比终版!$A:$X,23,0)</f>
        <v>152.329161</v>
      </c>
      <c r="AS48" s="6">
        <f t="shared" si="35"/>
        <v>0.2253626</v>
      </c>
      <c r="AT48" s="3">
        <v>475</v>
      </c>
      <c r="AU48" s="3">
        <v>107.854</v>
      </c>
      <c r="AV48" s="3"/>
      <c r="AW48" s="3"/>
      <c r="AX48" s="3">
        <f t="shared" si="36"/>
        <v>107.854</v>
      </c>
      <c r="AY48" s="5">
        <f>VLOOKUP(C48,[2]两年对比终版!$A:$AD,30,0)</f>
        <v>183.927343945312</v>
      </c>
      <c r="AZ48" s="6">
        <f t="shared" si="37"/>
        <v>0.227061052631579</v>
      </c>
    </row>
    <row r="49" spans="1:52" x14ac:dyDescent="0.15">
      <c r="A49" s="2">
        <v>41</v>
      </c>
      <c r="B49" s="2" t="s">
        <v>19</v>
      </c>
      <c r="C49" s="2" t="s">
        <v>67</v>
      </c>
      <c r="D49" s="3">
        <v>581</v>
      </c>
      <c r="E49" s="3">
        <v>264</v>
      </c>
      <c r="F49" s="3">
        <f>VLOOKUP(C49,'[1]5月25-5月31日汇总'!$C:$D,2,0)</f>
        <v>21</v>
      </c>
      <c r="G49" s="3">
        <f>VLOOKUP(C49,'[1]6月汇总'!$C:$D,2,0)</f>
        <v>30</v>
      </c>
      <c r="H49" s="3">
        <f t="shared" si="24"/>
        <v>315</v>
      </c>
      <c r="I49" s="5">
        <f>VLOOKUP(C49,[2]两年对比终版!$A:$C,3,0)</f>
        <v>155</v>
      </c>
      <c r="J49" s="6">
        <f t="shared" si="25"/>
        <v>0.54216867469879504</v>
      </c>
      <c r="K49" s="3">
        <v>5575.68</v>
      </c>
      <c r="L49" s="3">
        <v>2192.98</v>
      </c>
      <c r="M49" s="3">
        <f>VLOOKUP(C49,'[1]5月25-5月31日汇总'!$C:$E,3,0)</f>
        <v>180</v>
      </c>
      <c r="N49" s="3">
        <f>VLOOKUP(C49,'[1]6月汇总'!$C:$E,3,0)</f>
        <v>280</v>
      </c>
      <c r="O49" s="3">
        <f t="shared" si="26"/>
        <v>2652.98</v>
      </c>
      <c r="P49" s="5">
        <f>VLOOKUP(C49,[2]两年对比终版!$A:$F,6,0)</f>
        <v>1270.468435</v>
      </c>
      <c r="Q49" s="6">
        <f t="shared" si="27"/>
        <v>0.47581281565656602</v>
      </c>
      <c r="R49" s="3">
        <v>239.4</v>
      </c>
      <c r="S49" s="3">
        <v>98</v>
      </c>
      <c r="T49" s="3">
        <f>VLOOKUP(C49,'[1]5月25-5月31日汇总'!$C:$F,4,0)</f>
        <v>10</v>
      </c>
      <c r="U49" s="3">
        <f>VLOOKUP(C49,'[1]6月汇总'!$C:$F,4,0)</f>
        <v>12</v>
      </c>
      <c r="V49" s="3">
        <f t="shared" si="28"/>
        <v>120</v>
      </c>
      <c r="W49" s="5">
        <f>VLOOKUP(C49,[2]两年对比终版!$A:$N,14,0)</f>
        <v>55</v>
      </c>
      <c r="X49" s="6">
        <f t="shared" si="29"/>
        <v>0.50125313283207995</v>
      </c>
      <c r="Y49" s="3">
        <v>2304</v>
      </c>
      <c r="Z49" s="3">
        <v>936.92100000000005</v>
      </c>
      <c r="AA49" s="3">
        <f>VLOOKUP(C49,'[1]5月25-5月31日汇总'!$C:$G,5,0)</f>
        <v>100</v>
      </c>
      <c r="AB49" s="3">
        <f>VLOOKUP(C49,'[1]6月汇总'!$C:$G,5,0)</f>
        <v>100</v>
      </c>
      <c r="AC49" s="3">
        <f t="shared" si="30"/>
        <v>1136.921</v>
      </c>
      <c r="AD49" s="5">
        <f>VLOOKUP(C49,[2]两年对比终版!$A:$Q,17,0)</f>
        <v>530.29769199999998</v>
      </c>
      <c r="AE49" s="6">
        <f t="shared" si="31"/>
        <v>0.49345529513888903</v>
      </c>
      <c r="AF49" s="3">
        <v>239.4</v>
      </c>
      <c r="AG49" s="3">
        <v>55</v>
      </c>
      <c r="AH49" s="3">
        <f>VLOOKUP(C49,'[1]5月25-5月31日汇总'!$C:$H,6,0)</f>
        <v>4</v>
      </c>
      <c r="AI49" s="3">
        <f>VLOOKUP(C49,'[1]6月汇总'!$C:$I,6,0)</f>
        <v>30</v>
      </c>
      <c r="AJ49" s="3">
        <f t="shared" si="32"/>
        <v>89</v>
      </c>
      <c r="AK49" s="5">
        <f>VLOOKUP(C49,[2]两年对比终版!$A:$T,20,0)</f>
        <v>48</v>
      </c>
      <c r="AL49" s="6">
        <f t="shared" si="33"/>
        <v>0.37176274018379302</v>
      </c>
      <c r="AM49" s="3">
        <v>2304</v>
      </c>
      <c r="AN49" s="3">
        <v>536.221</v>
      </c>
      <c r="AO49" s="3">
        <f>VLOOKUP(C49,'[1]5月25-5月31日汇总'!$C:$I,7,0)</f>
        <v>32</v>
      </c>
      <c r="AP49" s="3">
        <f>VLOOKUP(C49,'[1]6月汇总'!$C:$I,7,0)</f>
        <v>310</v>
      </c>
      <c r="AQ49" s="3">
        <f t="shared" si="34"/>
        <v>878.221</v>
      </c>
      <c r="AR49" s="5">
        <f>VLOOKUP(C49,[2]两年对比终版!$A:$X,23,0)</f>
        <v>502.43066499999998</v>
      </c>
      <c r="AS49" s="6">
        <f t="shared" si="35"/>
        <v>0.38117230902777799</v>
      </c>
      <c r="AT49" s="3">
        <v>2189</v>
      </c>
      <c r="AU49" s="3">
        <v>545.52099999999996</v>
      </c>
      <c r="AV49" s="3"/>
      <c r="AW49" s="3"/>
      <c r="AX49" s="3">
        <f t="shared" si="36"/>
        <v>545.52099999999996</v>
      </c>
      <c r="AY49" s="5">
        <f>VLOOKUP(C49,[2]两年对比终版!$A:$AD,30,0)</f>
        <v>509.929719042969</v>
      </c>
      <c r="AZ49" s="6">
        <f t="shared" si="37"/>
        <v>0.249210141617177</v>
      </c>
    </row>
    <row r="50" spans="1:52" x14ac:dyDescent="0.15">
      <c r="A50" s="2">
        <v>42</v>
      </c>
      <c r="B50" s="2" t="s">
        <v>25</v>
      </c>
      <c r="C50" s="2" t="s">
        <v>68</v>
      </c>
      <c r="D50" s="3">
        <v>207</v>
      </c>
      <c r="E50" s="3">
        <v>70</v>
      </c>
      <c r="F50" s="3">
        <f>VLOOKUP(C50,'[1]5月25-5月31日汇总'!$C:$D,2,0)</f>
        <v>16</v>
      </c>
      <c r="G50" s="3">
        <f>VLOOKUP(C50,'[1]6月汇总'!$C:$D,2,0)</f>
        <v>60</v>
      </c>
      <c r="H50" s="3">
        <f t="shared" si="24"/>
        <v>146</v>
      </c>
      <c r="I50" s="5">
        <f>VLOOKUP(C50,[2]两年对比终版!$A:$C,3,0)</f>
        <v>210</v>
      </c>
      <c r="J50" s="6">
        <f t="shared" si="25"/>
        <v>0.70531400966183599</v>
      </c>
      <c r="K50" s="3">
        <v>2082.5</v>
      </c>
      <c r="L50" s="3">
        <v>567.46799999999996</v>
      </c>
      <c r="M50" s="3">
        <f>VLOOKUP(C50,'[1]5月25-5月31日汇总'!$C:$E,3,0)</f>
        <v>94</v>
      </c>
      <c r="N50" s="3">
        <f>VLOOKUP(C50,'[1]6月汇总'!$C:$E,3,0)</f>
        <v>360</v>
      </c>
      <c r="O50" s="3">
        <f t="shared" si="26"/>
        <v>1021.468</v>
      </c>
      <c r="P50" s="5">
        <f>VLOOKUP(C50,[2]两年对比终版!$A:$F,6,0)</f>
        <v>2098.8549979999998</v>
      </c>
      <c r="Q50" s="6">
        <f t="shared" si="27"/>
        <v>0.490500840336134</v>
      </c>
      <c r="R50" s="3">
        <v>84.6</v>
      </c>
      <c r="S50" s="3">
        <v>40</v>
      </c>
      <c r="T50" s="3">
        <f>VLOOKUP(C50,'[1]5月25-5月31日汇总'!$C:$F,4,0)</f>
        <v>0</v>
      </c>
      <c r="U50" s="3">
        <f>VLOOKUP(C50,'[1]6月汇总'!$C:$F,4,0)</f>
        <v>28</v>
      </c>
      <c r="V50" s="3">
        <f t="shared" si="28"/>
        <v>68</v>
      </c>
      <c r="W50" s="5">
        <f>VLOOKUP(C50,[2]两年对比终版!$A:$N,14,0)</f>
        <v>36</v>
      </c>
      <c r="X50" s="6">
        <f t="shared" si="29"/>
        <v>0.80378250591016598</v>
      </c>
      <c r="Y50" s="3">
        <v>850</v>
      </c>
      <c r="Z50" s="3">
        <v>280.495</v>
      </c>
      <c r="AA50" s="3">
        <f>VLOOKUP(C50,'[1]5月25-5月31日汇总'!$C:$G,5,0)</f>
        <v>0</v>
      </c>
      <c r="AB50" s="3">
        <f>VLOOKUP(C50,'[1]6月汇总'!$C:$G,5,0)</f>
        <v>200</v>
      </c>
      <c r="AC50" s="3">
        <f t="shared" si="30"/>
        <v>480.495</v>
      </c>
      <c r="AD50" s="5">
        <f>VLOOKUP(C50,[2]两年对比终版!$A:$Q,17,0)</f>
        <v>317.42713099999997</v>
      </c>
      <c r="AE50" s="6">
        <f t="shared" si="31"/>
        <v>0.56528823529411798</v>
      </c>
      <c r="AF50" s="3">
        <v>84.6</v>
      </c>
      <c r="AG50" s="3">
        <v>17</v>
      </c>
      <c r="AH50" s="3">
        <f>VLOOKUP(C50,'[1]5月25-5月31日汇总'!$C:$H,6,0)</f>
        <v>0</v>
      </c>
      <c r="AI50" s="3">
        <f>VLOOKUP(C50,'[1]6月汇总'!$C:$I,6,0)</f>
        <v>17</v>
      </c>
      <c r="AJ50" s="3">
        <f t="shared" si="32"/>
        <v>34</v>
      </c>
      <c r="AK50" s="5">
        <f>VLOOKUP(C50,[2]两年对比终版!$A:$T,20,0)</f>
        <v>29</v>
      </c>
      <c r="AL50" s="6">
        <f t="shared" si="33"/>
        <v>0.40189125295508299</v>
      </c>
      <c r="AM50" s="3">
        <v>850</v>
      </c>
      <c r="AN50" s="3">
        <v>121.804</v>
      </c>
      <c r="AO50" s="3">
        <f>VLOOKUP(C50,'[1]5月25-5月31日汇总'!$C:$I,7,0)</f>
        <v>0</v>
      </c>
      <c r="AP50" s="3">
        <f>VLOOKUP(C50,'[1]6月汇总'!$C:$I,7,0)</f>
        <v>154</v>
      </c>
      <c r="AQ50" s="3">
        <f t="shared" si="34"/>
        <v>275.80399999999997</v>
      </c>
      <c r="AR50" s="5">
        <f>VLOOKUP(C50,[2]两年对比终版!$A:$X,23,0)</f>
        <v>276.05057599999998</v>
      </c>
      <c r="AS50" s="6">
        <f t="shared" si="35"/>
        <v>0.32447529411764697</v>
      </c>
      <c r="AT50" s="3">
        <v>808</v>
      </c>
      <c r="AU50" s="3">
        <v>143.13</v>
      </c>
      <c r="AV50" s="3"/>
      <c r="AW50" s="3"/>
      <c r="AX50" s="3">
        <f t="shared" si="36"/>
        <v>143.13</v>
      </c>
      <c r="AY50" s="5">
        <f>VLOOKUP(C50,[2]两年对比终版!$A:$AD,30,0)</f>
        <v>290.39446128082301</v>
      </c>
      <c r="AZ50" s="6">
        <f t="shared" si="37"/>
        <v>0.17714108910891099</v>
      </c>
    </row>
    <row r="51" spans="1:52" x14ac:dyDescent="0.15">
      <c r="A51" s="2">
        <v>43</v>
      </c>
      <c r="B51" s="2" t="s">
        <v>28</v>
      </c>
      <c r="C51" s="2" t="s">
        <v>69</v>
      </c>
      <c r="D51" s="3">
        <v>145</v>
      </c>
      <c r="E51" s="3">
        <v>58</v>
      </c>
      <c r="F51" s="3">
        <f>VLOOKUP(C51,'[1]5月25-5月31日汇总'!$C:$D,2,0)</f>
        <v>4</v>
      </c>
      <c r="G51" s="3">
        <f>VLOOKUP(C51,'[1]6月汇总'!$C:$D,2,0)</f>
        <v>30</v>
      </c>
      <c r="H51" s="3">
        <f t="shared" si="24"/>
        <v>92</v>
      </c>
      <c r="I51" s="5">
        <f>VLOOKUP(C51,[2]两年对比终版!$A:$C,3,0)</f>
        <v>0</v>
      </c>
      <c r="J51" s="6">
        <f t="shared" si="25"/>
        <v>0.63448275862069003</v>
      </c>
      <c r="K51" s="3">
        <v>1500</v>
      </c>
      <c r="L51" s="3">
        <v>398.29399999999998</v>
      </c>
      <c r="M51" s="3">
        <f>VLOOKUP(C51,'[1]5月25-5月31日汇总'!$C:$E,3,0)</f>
        <v>22</v>
      </c>
      <c r="N51" s="3">
        <f>VLOOKUP(C51,'[1]6月汇总'!$C:$E,3,0)</f>
        <v>44</v>
      </c>
      <c r="O51" s="3">
        <f t="shared" si="26"/>
        <v>464.29399999999998</v>
      </c>
      <c r="P51" s="5">
        <f>VLOOKUP(C51,[2]两年对比终版!$A:$F,6,0)</f>
        <v>0</v>
      </c>
      <c r="Q51" s="6">
        <f t="shared" si="27"/>
        <v>0.30952933333333299</v>
      </c>
      <c r="R51" s="3">
        <v>60.3</v>
      </c>
      <c r="S51" s="3">
        <v>23</v>
      </c>
      <c r="T51" s="3">
        <f>VLOOKUP(C51,'[1]5月25-5月31日汇总'!$C:$F,4,0)</f>
        <v>0</v>
      </c>
      <c r="U51" s="3">
        <f>VLOOKUP(C51,'[1]6月汇总'!$C:$F,4,0)</f>
        <v>4</v>
      </c>
      <c r="V51" s="3">
        <f t="shared" si="28"/>
        <v>27</v>
      </c>
      <c r="W51" s="5">
        <f>VLOOKUP(C51,[2]两年对比终版!$A:$N,14,0)</f>
        <v>0</v>
      </c>
      <c r="X51" s="6">
        <f t="shared" si="29"/>
        <v>0.44776119402985098</v>
      </c>
      <c r="Y51" s="3">
        <v>600</v>
      </c>
      <c r="Z51" s="3">
        <v>157.29499999999999</v>
      </c>
      <c r="AA51" s="3">
        <f>VLOOKUP(C51,'[1]5月25-5月31日汇总'!$C:$G,5,0)</f>
        <v>0</v>
      </c>
      <c r="AB51" s="3">
        <f>VLOOKUP(C51,'[1]6月汇总'!$C:$G,5,0)</f>
        <v>22</v>
      </c>
      <c r="AC51" s="3">
        <f t="shared" si="30"/>
        <v>179.29499999999999</v>
      </c>
      <c r="AD51" s="5">
        <f>VLOOKUP(C51,[2]两年对比终版!$A:$Q,17,0)</f>
        <v>0</v>
      </c>
      <c r="AE51" s="6">
        <f t="shared" si="31"/>
        <v>0.29882500000000001</v>
      </c>
      <c r="AF51" s="3">
        <v>60.3</v>
      </c>
      <c r="AG51" s="3">
        <v>2</v>
      </c>
      <c r="AH51" s="3">
        <f>VLOOKUP(C51,'[1]5月25-5月31日汇总'!$C:$H,6,0)</f>
        <v>8</v>
      </c>
      <c r="AI51" s="3">
        <f>VLOOKUP(C51,'[1]6月汇总'!$C:$I,6,0)</f>
        <v>13</v>
      </c>
      <c r="AJ51" s="3">
        <f t="shared" si="32"/>
        <v>23</v>
      </c>
      <c r="AK51" s="5">
        <f>VLOOKUP(C51,[2]两年对比终版!$A:$T,20,0)</f>
        <v>0</v>
      </c>
      <c r="AL51" s="6">
        <f t="shared" si="33"/>
        <v>0.38142620232172503</v>
      </c>
      <c r="AM51" s="3">
        <v>600</v>
      </c>
      <c r="AN51" s="3">
        <v>11.338100000000001</v>
      </c>
      <c r="AO51" s="3">
        <f>VLOOKUP(C51,'[1]5月25-5月31日汇总'!$C:$I,7,0)</f>
        <v>58</v>
      </c>
      <c r="AP51" s="3">
        <f>VLOOKUP(C51,'[1]6月汇总'!$C:$I,7,0)</f>
        <v>148</v>
      </c>
      <c r="AQ51" s="3">
        <f t="shared" si="34"/>
        <v>217.3381</v>
      </c>
      <c r="AR51" s="5">
        <f>VLOOKUP(C51,[2]两年对比终版!$A:$X,23,0)</f>
        <v>0</v>
      </c>
      <c r="AS51" s="6">
        <f t="shared" si="35"/>
        <v>0.36223016666666702</v>
      </c>
      <c r="AT51" s="3">
        <v>570</v>
      </c>
      <c r="AU51" s="3">
        <v>88.164199999999994</v>
      </c>
      <c r="AV51" s="3"/>
      <c r="AW51" s="3"/>
      <c r="AX51" s="3">
        <f t="shared" si="36"/>
        <v>88.164199999999994</v>
      </c>
      <c r="AY51" s="5">
        <f>VLOOKUP(C51,[2]两年对比终版!$A:$AD,30,0)</f>
        <v>0</v>
      </c>
      <c r="AZ51" s="6">
        <f t="shared" si="37"/>
        <v>0.15467403508771899</v>
      </c>
    </row>
    <row r="52" spans="1:52" x14ac:dyDescent="0.15">
      <c r="A52" s="2">
        <v>44</v>
      </c>
      <c r="B52" s="2" t="s">
        <v>33</v>
      </c>
      <c r="C52" s="2" t="s">
        <v>70</v>
      </c>
      <c r="D52" s="3">
        <v>81</v>
      </c>
      <c r="E52" s="3">
        <v>16</v>
      </c>
      <c r="F52" s="3">
        <f>VLOOKUP(C52,'[1]5月25-5月31日汇总'!$C:$D,2,0)</f>
        <v>10</v>
      </c>
      <c r="G52" s="3">
        <f>VLOOKUP(C52,'[1]6月汇总'!$C:$D,2,0)</f>
        <v>35</v>
      </c>
      <c r="H52" s="3">
        <f t="shared" si="24"/>
        <v>61</v>
      </c>
      <c r="I52" s="5">
        <f>VLOOKUP(C52,[2]两年对比终版!$A:$C,3,0)</f>
        <v>138</v>
      </c>
      <c r="J52" s="6">
        <f t="shared" si="25"/>
        <v>0.75308641975308599</v>
      </c>
      <c r="K52" s="3">
        <v>735</v>
      </c>
      <c r="L52" s="3">
        <v>139.24199999999999</v>
      </c>
      <c r="M52" s="3">
        <f>VLOOKUP(C52,'[1]5月25-5月31日汇总'!$C:$E,3,0)</f>
        <v>65</v>
      </c>
      <c r="N52" s="3">
        <f>VLOOKUP(C52,'[1]6月汇总'!$C:$E,3,0)</f>
        <v>270</v>
      </c>
      <c r="O52" s="3">
        <f t="shared" si="26"/>
        <v>474.24200000000002</v>
      </c>
      <c r="P52" s="5">
        <f>VLOOKUP(C52,[2]两年对比终版!$A:$F,6,0)</f>
        <v>1844.2106389999999</v>
      </c>
      <c r="Q52" s="6">
        <f t="shared" si="27"/>
        <v>0.64522721088435397</v>
      </c>
      <c r="R52" s="3">
        <v>33.299999999999997</v>
      </c>
      <c r="S52" s="3">
        <v>9</v>
      </c>
      <c r="T52" s="3">
        <f>VLOOKUP(C52,'[1]5月25-5月31日汇总'!$C:$F,4,0)</f>
        <v>0</v>
      </c>
      <c r="U52" s="3">
        <f>VLOOKUP(C52,'[1]6月汇总'!$C:$F,4,0)</f>
        <v>22</v>
      </c>
      <c r="V52" s="3">
        <f t="shared" si="28"/>
        <v>31</v>
      </c>
      <c r="W52" s="5">
        <f>VLOOKUP(C52,[2]两年对比终版!$A:$N,14,0)</f>
        <v>2</v>
      </c>
      <c r="X52" s="6">
        <f t="shared" si="29"/>
        <v>0.93093093093093104</v>
      </c>
      <c r="Y52" s="3">
        <v>300</v>
      </c>
      <c r="Z52" s="3">
        <v>63.4146</v>
      </c>
      <c r="AA52" s="3">
        <f>VLOOKUP(C52,'[1]5月25-5月31日汇总'!$C:$G,5,0)</f>
        <v>0</v>
      </c>
      <c r="AB52" s="3">
        <f>VLOOKUP(C52,'[1]6月汇总'!$C:$G,5,0)</f>
        <v>127</v>
      </c>
      <c r="AC52" s="3">
        <f t="shared" si="30"/>
        <v>190.41460000000001</v>
      </c>
      <c r="AD52" s="5">
        <f>VLOOKUP(C52,[2]两年对比终版!$A:$Q,17,0)</f>
        <v>14.660022</v>
      </c>
      <c r="AE52" s="6">
        <f t="shared" si="31"/>
        <v>0.63471533333333297</v>
      </c>
      <c r="AF52" s="3">
        <v>33.299999999999997</v>
      </c>
      <c r="AG52" s="3">
        <v>15</v>
      </c>
      <c r="AH52" s="3">
        <f>VLOOKUP(C52,'[1]5月25-5月31日汇总'!$C:$H,6,0)</f>
        <v>0</v>
      </c>
      <c r="AI52" s="3">
        <f>VLOOKUP(C52,'[1]6月汇总'!$C:$I,6,0)</f>
        <v>26</v>
      </c>
      <c r="AJ52" s="3">
        <f t="shared" si="32"/>
        <v>41</v>
      </c>
      <c r="AK52" s="5">
        <f>VLOOKUP(C52,[2]两年对比终版!$A:$T,20,0)</f>
        <v>1</v>
      </c>
      <c r="AL52" s="6">
        <f t="shared" si="33"/>
        <v>1.2312312312312299</v>
      </c>
      <c r="AM52" s="3">
        <v>300</v>
      </c>
      <c r="AN52" s="3">
        <v>126.352</v>
      </c>
      <c r="AO52" s="3">
        <f>VLOOKUP(C52,'[1]5月25-5月31日汇总'!$C:$I,7,0)</f>
        <v>0</v>
      </c>
      <c r="AP52" s="3">
        <f>VLOOKUP(C52,'[1]6月汇总'!$C:$I,7,0)</f>
        <v>147</v>
      </c>
      <c r="AQ52" s="3">
        <f t="shared" si="34"/>
        <v>273.35199999999998</v>
      </c>
      <c r="AR52" s="5">
        <f>VLOOKUP(C52,[2]两年对比终版!$A:$X,23,0)</f>
        <v>6.7391420000000002</v>
      </c>
      <c r="AS52" s="6">
        <f t="shared" si="35"/>
        <v>0.91117333333333295</v>
      </c>
      <c r="AT52" s="3">
        <v>285</v>
      </c>
      <c r="AU52" s="3">
        <v>49.628300000000003</v>
      </c>
      <c r="AV52" s="3"/>
      <c r="AW52" s="3"/>
      <c r="AX52" s="3">
        <f t="shared" si="36"/>
        <v>49.628300000000003</v>
      </c>
      <c r="AY52" s="5">
        <f>VLOOKUP(C52,[2]两年对比终版!$A:$AD,30,0)</f>
        <v>17.849940763568899</v>
      </c>
      <c r="AZ52" s="6">
        <f t="shared" si="37"/>
        <v>0.17413438596491199</v>
      </c>
    </row>
    <row r="53" spans="1:52" x14ac:dyDescent="0.15">
      <c r="A53" s="2">
        <v>45</v>
      </c>
      <c r="B53" s="2" t="s">
        <v>33</v>
      </c>
      <c r="C53" s="2" t="s">
        <v>71</v>
      </c>
      <c r="D53" s="3">
        <v>127</v>
      </c>
      <c r="E53" s="3">
        <v>47</v>
      </c>
      <c r="F53" s="3">
        <f>VLOOKUP(C53,'[1]5月25-5月31日汇总'!$C:$D,2,0)</f>
        <v>0</v>
      </c>
      <c r="G53" s="3">
        <f>VLOOKUP(C53,'[1]6月汇总'!$C:$D,2,0)</f>
        <v>21</v>
      </c>
      <c r="H53" s="3">
        <f t="shared" si="24"/>
        <v>68</v>
      </c>
      <c r="I53" s="5">
        <f>VLOOKUP(C53,[2]两年对比终版!$A:$C,3,0)</f>
        <v>0</v>
      </c>
      <c r="J53" s="6">
        <f t="shared" si="25"/>
        <v>0.535433070866142</v>
      </c>
      <c r="K53" s="3">
        <v>980</v>
      </c>
      <c r="L53" s="3">
        <v>374.065</v>
      </c>
      <c r="M53" s="3">
        <f>VLOOKUP(C53,'[1]5月25-5月31日汇总'!$C:$E,3,0)</f>
        <v>0</v>
      </c>
      <c r="N53" s="3">
        <f>VLOOKUP(C53,'[1]6月汇总'!$C:$E,3,0)</f>
        <v>120</v>
      </c>
      <c r="O53" s="3">
        <f t="shared" si="26"/>
        <v>494.065</v>
      </c>
      <c r="P53" s="5">
        <f>VLOOKUP(C53,[2]两年对比终版!$A:$F,6,0)</f>
        <v>0</v>
      </c>
      <c r="Q53" s="6">
        <f t="shared" si="27"/>
        <v>0.50414795918367294</v>
      </c>
      <c r="R53" s="3">
        <v>52.2</v>
      </c>
      <c r="S53" s="3">
        <v>44</v>
      </c>
      <c r="T53" s="3">
        <f>VLOOKUP(C53,'[1]5月25-5月31日汇总'!$C:$F,4,0)</f>
        <v>0</v>
      </c>
      <c r="U53" s="3">
        <f>VLOOKUP(C53,'[1]6月汇总'!$C:$F,4,0)</f>
        <v>0</v>
      </c>
      <c r="V53" s="3">
        <f t="shared" si="28"/>
        <v>44</v>
      </c>
      <c r="W53" s="5">
        <f>VLOOKUP(C53,[2]两年对比终版!$A:$N,14,0)</f>
        <v>0</v>
      </c>
      <c r="X53" s="6">
        <f t="shared" si="29"/>
        <v>0.84291187739463602</v>
      </c>
      <c r="Y53" s="3">
        <v>400</v>
      </c>
      <c r="Z53" s="3">
        <v>312.10500000000002</v>
      </c>
      <c r="AA53" s="3">
        <f>VLOOKUP(C53,'[1]5月25-5月31日汇总'!$C:$G,5,0)</f>
        <v>0</v>
      </c>
      <c r="AB53" s="3">
        <f>VLOOKUP(C53,'[1]6月汇总'!$C:$G,5,0)</f>
        <v>0</v>
      </c>
      <c r="AC53" s="3">
        <f t="shared" si="30"/>
        <v>312.10500000000002</v>
      </c>
      <c r="AD53" s="5">
        <f>VLOOKUP(C53,[2]两年对比终版!$A:$Q,17,0)</f>
        <v>0</v>
      </c>
      <c r="AE53" s="6">
        <f t="shared" si="31"/>
        <v>0.78026249999999997</v>
      </c>
      <c r="AF53" s="3">
        <v>52.2</v>
      </c>
      <c r="AG53" s="3">
        <v>26</v>
      </c>
      <c r="AH53" s="3">
        <f>VLOOKUP(C53,'[1]5月25-5月31日汇总'!$C:$H,6,0)</f>
        <v>0</v>
      </c>
      <c r="AI53" s="3">
        <f>VLOOKUP(C53,'[1]6月汇总'!$C:$I,6,0)</f>
        <v>18</v>
      </c>
      <c r="AJ53" s="3">
        <f t="shared" si="32"/>
        <v>44</v>
      </c>
      <c r="AK53" s="5">
        <f>VLOOKUP(C53,[2]两年对比终版!$A:$T,20,0)</f>
        <v>0</v>
      </c>
      <c r="AL53" s="6">
        <f t="shared" si="33"/>
        <v>0.84291187739463602</v>
      </c>
      <c r="AM53" s="3">
        <v>400</v>
      </c>
      <c r="AN53" s="3">
        <v>144.143</v>
      </c>
      <c r="AO53" s="3">
        <f>VLOOKUP(C53,'[1]5月25-5月31日汇总'!$C:$I,7,0)</f>
        <v>0</v>
      </c>
      <c r="AP53" s="3">
        <f>VLOOKUP(C53,'[1]6月汇总'!$C:$I,7,0)</f>
        <v>170</v>
      </c>
      <c r="AQ53" s="3">
        <f t="shared" si="34"/>
        <v>314.14299999999997</v>
      </c>
      <c r="AR53" s="5">
        <f>VLOOKUP(C53,[2]两年对比终版!$A:$X,23,0)</f>
        <v>0</v>
      </c>
      <c r="AS53" s="6">
        <f t="shared" si="35"/>
        <v>0.78535750000000004</v>
      </c>
      <c r="AT53" s="3">
        <v>380</v>
      </c>
      <c r="AU53" s="3">
        <v>143.08799999999999</v>
      </c>
      <c r="AV53" s="3"/>
      <c r="AW53" s="3"/>
      <c r="AX53" s="3">
        <f t="shared" si="36"/>
        <v>143.08799999999999</v>
      </c>
      <c r="AY53" s="5">
        <f>VLOOKUP(C53,[2]两年对比终版!$A:$AD,30,0)</f>
        <v>0</v>
      </c>
      <c r="AZ53" s="6">
        <f t="shared" si="37"/>
        <v>0.37654736842105302</v>
      </c>
    </row>
    <row r="54" spans="1:52" x14ac:dyDescent="0.15">
      <c r="A54" s="2">
        <v>46</v>
      </c>
      <c r="B54" s="2" t="s">
        <v>28</v>
      </c>
      <c r="C54" s="2" t="s">
        <v>72</v>
      </c>
      <c r="D54" s="3">
        <v>73</v>
      </c>
      <c r="E54" s="3">
        <v>48</v>
      </c>
      <c r="F54" s="3">
        <f>VLOOKUP(C54,'[1]5月25-5月31日汇总'!$C:$D,2,0)</f>
        <v>1</v>
      </c>
      <c r="G54" s="3">
        <f>VLOOKUP(C54,'[1]6月汇总'!$C:$D,2,0)</f>
        <v>20</v>
      </c>
      <c r="H54" s="3">
        <f t="shared" si="24"/>
        <v>69</v>
      </c>
      <c r="I54" s="5">
        <f>VLOOKUP(C54,[2]两年对比终版!$A:$C,3,0)</f>
        <v>57</v>
      </c>
      <c r="J54" s="6">
        <f t="shared" si="25"/>
        <v>0.94520547945205502</v>
      </c>
      <c r="K54" s="3">
        <v>816.66700000000003</v>
      </c>
      <c r="L54" s="3">
        <v>344.58800000000002</v>
      </c>
      <c r="M54" s="3">
        <f>VLOOKUP(C54,'[1]5月25-5月31日汇总'!$C:$E,3,0)</f>
        <v>5</v>
      </c>
      <c r="N54" s="3">
        <f>VLOOKUP(C54,'[1]6月汇总'!$C:$E,3,0)</f>
        <v>98</v>
      </c>
      <c r="O54" s="3">
        <f t="shared" si="26"/>
        <v>447.58800000000002</v>
      </c>
      <c r="P54" s="5">
        <f>VLOOKUP(C54,[2]两年对比终版!$A:$F,6,0)</f>
        <v>430.01145500000001</v>
      </c>
      <c r="Q54" s="6">
        <f t="shared" si="27"/>
        <v>0.54806671507480997</v>
      </c>
      <c r="R54" s="3">
        <v>31.5</v>
      </c>
      <c r="S54" s="3">
        <v>20</v>
      </c>
      <c r="T54" s="3">
        <f>VLOOKUP(C54,'[1]5月25-5月31日汇总'!$C:$F,4,0)</f>
        <v>1</v>
      </c>
      <c r="U54" s="3">
        <f>VLOOKUP(C54,'[1]6月汇总'!$C:$F,4,0)</f>
        <v>20</v>
      </c>
      <c r="V54" s="3">
        <f t="shared" si="28"/>
        <v>41</v>
      </c>
      <c r="W54" s="5">
        <f>VLOOKUP(C54,[2]两年对比终版!$A:$N,14,0)</f>
        <v>2</v>
      </c>
      <c r="X54" s="6">
        <f t="shared" si="29"/>
        <v>1.3015873015873001</v>
      </c>
      <c r="Y54" s="3">
        <v>350</v>
      </c>
      <c r="Z54" s="3">
        <v>124.407</v>
      </c>
      <c r="AA54" s="3">
        <f>VLOOKUP(C54,'[1]5月25-5月31日汇总'!$C:$G,5,0)</f>
        <v>5</v>
      </c>
      <c r="AB54" s="3">
        <f>VLOOKUP(C54,'[1]6月汇总'!$C:$G,5,0)</f>
        <v>98</v>
      </c>
      <c r="AC54" s="3">
        <f t="shared" si="30"/>
        <v>227.40700000000001</v>
      </c>
      <c r="AD54" s="5">
        <f>VLOOKUP(C54,[2]两年对比终版!$A:$Q,17,0)</f>
        <v>19.154128</v>
      </c>
      <c r="AE54" s="6">
        <f t="shared" si="31"/>
        <v>0.64973428571428604</v>
      </c>
      <c r="AF54" s="3">
        <v>31.5</v>
      </c>
      <c r="AG54" s="3">
        <v>25</v>
      </c>
      <c r="AH54" s="3">
        <f>VLOOKUP(C54,'[1]5月25-5月31日汇总'!$C:$H,6,0)</f>
        <v>0</v>
      </c>
      <c r="AI54" s="3">
        <f>VLOOKUP(C54,'[1]6月汇总'!$C:$I,6,0)</f>
        <v>6</v>
      </c>
      <c r="AJ54" s="3">
        <f t="shared" si="32"/>
        <v>31</v>
      </c>
      <c r="AK54" s="5">
        <f>VLOOKUP(C54,[2]两年对比终版!$A:$T,20,0)</f>
        <v>0</v>
      </c>
      <c r="AL54" s="6">
        <f t="shared" si="33"/>
        <v>0.98412698412698396</v>
      </c>
      <c r="AM54" s="3">
        <v>350</v>
      </c>
      <c r="AN54" s="3">
        <v>162.51300000000001</v>
      </c>
      <c r="AO54" s="3">
        <f>VLOOKUP(C54,'[1]5月25-5月31日汇总'!$C:$I,7,0)</f>
        <v>0</v>
      </c>
      <c r="AP54" s="3">
        <f>VLOOKUP(C54,'[1]6月汇总'!$C:$I,7,0)</f>
        <v>42</v>
      </c>
      <c r="AQ54" s="3">
        <f t="shared" si="34"/>
        <v>204.51300000000001</v>
      </c>
      <c r="AR54" s="5">
        <f>VLOOKUP(C54,[2]两年对比终版!$A:$X,23,0)</f>
        <v>0</v>
      </c>
      <c r="AS54" s="6">
        <f t="shared" si="35"/>
        <v>0.58432285714285703</v>
      </c>
      <c r="AT54" s="3">
        <v>332</v>
      </c>
      <c r="AU54" s="3">
        <v>16.761600000000001</v>
      </c>
      <c r="AV54" s="3"/>
      <c r="AW54" s="3"/>
      <c r="AX54" s="3">
        <f t="shared" si="36"/>
        <v>16.761600000000001</v>
      </c>
      <c r="AY54" s="5">
        <f>VLOOKUP(C54,[2]两年对比终版!$A:$AD,30,0)</f>
        <v>19.978638671875</v>
      </c>
      <c r="AZ54" s="6">
        <f t="shared" si="37"/>
        <v>5.0486746987951803E-2</v>
      </c>
    </row>
    <row r="55" spans="1:52" x14ac:dyDescent="0.15">
      <c r="A55" s="2">
        <v>47</v>
      </c>
      <c r="B55" s="2" t="s">
        <v>33</v>
      </c>
      <c r="C55" s="2" t="s">
        <v>73</v>
      </c>
      <c r="D55" s="3">
        <v>44</v>
      </c>
      <c r="E55" s="3">
        <v>0</v>
      </c>
      <c r="F55" s="3">
        <f>VLOOKUP(C55,'[1]5月25-5月31日汇总'!$C:$D,2,0)</f>
        <v>0</v>
      </c>
      <c r="G55" s="3">
        <f>VLOOKUP(C55,'[1]6月汇总'!$C:$D,2,0)</f>
        <v>0</v>
      </c>
      <c r="H55" s="3">
        <f t="shared" si="24"/>
        <v>0</v>
      </c>
      <c r="I55" s="5">
        <f>VLOOKUP(C55,[2]两年对比终版!$A:$C,3,0)</f>
        <v>0</v>
      </c>
      <c r="J55" s="6">
        <f t="shared" si="25"/>
        <v>0</v>
      </c>
      <c r="K55" s="3">
        <v>490</v>
      </c>
      <c r="L55" s="3">
        <v>0</v>
      </c>
      <c r="M55" s="3">
        <f>VLOOKUP(C55,'[1]5月25-5月31日汇总'!$C:$E,3,0)</f>
        <v>0</v>
      </c>
      <c r="N55" s="3">
        <f>VLOOKUP(C55,'[1]6月汇总'!$C:$E,3,0)</f>
        <v>0</v>
      </c>
      <c r="O55" s="3">
        <f t="shared" si="26"/>
        <v>0</v>
      </c>
      <c r="P55" s="5">
        <f>VLOOKUP(C55,[2]两年对比终版!$A:$F,6,0)</f>
        <v>0</v>
      </c>
      <c r="Q55" s="6">
        <f t="shared" si="27"/>
        <v>0</v>
      </c>
      <c r="R55" s="3">
        <v>20</v>
      </c>
      <c r="S55" s="3">
        <v>0</v>
      </c>
      <c r="T55" s="3">
        <f>VLOOKUP(C55,'[1]5月25-5月31日汇总'!$C:$F,4,0)</f>
        <v>0</v>
      </c>
      <c r="U55" s="3">
        <f>VLOOKUP(C55,'[1]6月汇总'!$C:$F,4,0)</f>
        <v>0</v>
      </c>
      <c r="V55" s="3">
        <f t="shared" si="28"/>
        <v>0</v>
      </c>
      <c r="W55" s="5">
        <f>VLOOKUP(C55,[2]两年对比终版!$A:$N,14,0)</f>
        <v>0</v>
      </c>
      <c r="X55" s="6">
        <f t="shared" si="29"/>
        <v>0</v>
      </c>
      <c r="Y55" s="3">
        <v>200</v>
      </c>
      <c r="Z55" s="3">
        <v>0</v>
      </c>
      <c r="AA55" s="3">
        <f>VLOOKUP(C55,'[1]5月25-5月31日汇总'!$C:$G,5,0)</f>
        <v>0</v>
      </c>
      <c r="AB55" s="3">
        <f>VLOOKUP(C55,'[1]6月汇总'!$C:$G,5,0)</f>
        <v>0</v>
      </c>
      <c r="AC55" s="3">
        <f t="shared" si="30"/>
        <v>0</v>
      </c>
      <c r="AD55" s="5">
        <f>VLOOKUP(C55,[2]两年对比终版!$A:$Q,17,0)</f>
        <v>0</v>
      </c>
      <c r="AE55" s="6">
        <f t="shared" si="31"/>
        <v>0</v>
      </c>
      <c r="AF55" s="3">
        <v>20</v>
      </c>
      <c r="AG55" s="3">
        <v>0</v>
      </c>
      <c r="AH55" s="3">
        <f>VLOOKUP(C55,'[1]5月25-5月31日汇总'!$C:$H,6,0)</f>
        <v>0</v>
      </c>
      <c r="AI55" s="3">
        <f>VLOOKUP(C55,'[1]6月汇总'!$C:$I,6,0)</f>
        <v>0</v>
      </c>
      <c r="AJ55" s="3">
        <f t="shared" si="32"/>
        <v>0</v>
      </c>
      <c r="AK55" s="5">
        <f>VLOOKUP(C55,[2]两年对比终版!$A:$T,20,0)</f>
        <v>0</v>
      </c>
      <c r="AL55" s="6">
        <f t="shared" si="33"/>
        <v>0</v>
      </c>
      <c r="AM55" s="3">
        <v>200</v>
      </c>
      <c r="AN55" s="3">
        <v>0</v>
      </c>
      <c r="AO55" s="3">
        <f>VLOOKUP(C55,'[1]5月25-5月31日汇总'!$C:$I,7,0)</f>
        <v>0</v>
      </c>
      <c r="AP55" s="3">
        <f>VLOOKUP(C55,'[1]6月汇总'!$C:$I,7,0)</f>
        <v>0</v>
      </c>
      <c r="AQ55" s="3">
        <f t="shared" si="34"/>
        <v>0</v>
      </c>
      <c r="AR55" s="5">
        <f>VLOOKUP(C55,[2]两年对比终版!$A:$X,23,0)</f>
        <v>0</v>
      </c>
      <c r="AS55" s="6">
        <f t="shared" si="35"/>
        <v>0</v>
      </c>
      <c r="AT55" s="3">
        <v>190</v>
      </c>
      <c r="AU55" s="3">
        <v>0</v>
      </c>
      <c r="AV55" s="3"/>
      <c r="AW55" s="3"/>
      <c r="AX55" s="3">
        <f t="shared" si="36"/>
        <v>0</v>
      </c>
      <c r="AY55" s="5">
        <f>VLOOKUP(C55,[2]两年对比终版!$A:$AD,30,0)</f>
        <v>0</v>
      </c>
      <c r="AZ55" s="6">
        <f t="shared" si="37"/>
        <v>0</v>
      </c>
    </row>
    <row r="56" spans="1:52" x14ac:dyDescent="0.15">
      <c r="A56" s="11" t="s">
        <v>74</v>
      </c>
      <c r="B56" s="12"/>
      <c r="C56" s="12"/>
      <c r="D56" s="4">
        <f t="shared" ref="D56:I56" si="40">SUM(D48:D55)</f>
        <v>1339</v>
      </c>
      <c r="E56" s="4">
        <f t="shared" si="40"/>
        <v>540</v>
      </c>
      <c r="F56" s="4">
        <f t="shared" si="40"/>
        <v>60</v>
      </c>
      <c r="G56" s="4">
        <f t="shared" si="40"/>
        <v>208</v>
      </c>
      <c r="H56" s="4">
        <f t="shared" si="40"/>
        <v>808</v>
      </c>
      <c r="I56" s="7">
        <f t="shared" si="40"/>
        <v>633</v>
      </c>
      <c r="J56" s="8">
        <f>H56/D56</f>
        <v>0.60343539955190395</v>
      </c>
      <c r="K56" s="4">
        <f t="shared" ref="K56:AY56" si="41">SUM(K48:K55)</f>
        <v>13439.847</v>
      </c>
      <c r="L56" s="4">
        <f t="shared" si="41"/>
        <v>4459.7560000000003</v>
      </c>
      <c r="M56" s="4">
        <f t="shared" si="41"/>
        <v>451</v>
      </c>
      <c r="N56" s="4">
        <f t="shared" si="41"/>
        <v>1302</v>
      </c>
      <c r="O56" s="4">
        <f t="shared" si="41"/>
        <v>6212.7560000000003</v>
      </c>
      <c r="P56" s="7">
        <f>SUM(P48:P55)</f>
        <v>6443.7584949999991</v>
      </c>
      <c r="Q56" s="8">
        <f>O56/K56</f>
        <v>0.46226389333152401</v>
      </c>
      <c r="R56" s="4">
        <f t="shared" si="41"/>
        <v>553.70000000000005</v>
      </c>
      <c r="S56" s="4">
        <f t="shared" si="41"/>
        <v>245</v>
      </c>
      <c r="T56" s="4">
        <f t="shared" si="41"/>
        <v>11</v>
      </c>
      <c r="U56" s="4">
        <f t="shared" si="41"/>
        <v>91</v>
      </c>
      <c r="V56" s="4">
        <f t="shared" si="41"/>
        <v>347</v>
      </c>
      <c r="W56" s="7">
        <f t="shared" si="41"/>
        <v>110</v>
      </c>
      <c r="X56" s="8">
        <f>V56/R56</f>
        <v>0.62669315513816104</v>
      </c>
      <c r="Y56" s="4">
        <f t="shared" si="41"/>
        <v>5504</v>
      </c>
      <c r="Z56" s="4">
        <f t="shared" si="41"/>
        <v>2016.4376</v>
      </c>
      <c r="AA56" s="4">
        <f t="shared" si="41"/>
        <v>105</v>
      </c>
      <c r="AB56" s="4">
        <f t="shared" si="41"/>
        <v>592</v>
      </c>
      <c r="AC56" s="4">
        <f t="shared" si="41"/>
        <v>2713.4376000000002</v>
      </c>
      <c r="AD56" s="7">
        <f t="shared" si="41"/>
        <v>1069.3995329999998</v>
      </c>
      <c r="AE56" s="8">
        <f>AC56/Y56</f>
        <v>0.49299375000000001</v>
      </c>
      <c r="AF56" s="4">
        <f t="shared" si="41"/>
        <v>553.70000000000005</v>
      </c>
      <c r="AG56" s="4">
        <f t="shared" si="41"/>
        <v>142</v>
      </c>
      <c r="AH56" s="4">
        <f t="shared" si="41"/>
        <v>15</v>
      </c>
      <c r="AI56" s="4">
        <f t="shared" si="41"/>
        <v>113</v>
      </c>
      <c r="AJ56" s="4">
        <f t="shared" si="41"/>
        <v>270</v>
      </c>
      <c r="AK56" s="7">
        <f t="shared" si="41"/>
        <v>88</v>
      </c>
      <c r="AL56" s="8">
        <f>AJ56/AF56</f>
        <v>0.48762867979050001</v>
      </c>
      <c r="AM56" s="4">
        <f t="shared" si="41"/>
        <v>5504</v>
      </c>
      <c r="AN56" s="4">
        <f t="shared" si="41"/>
        <v>1136.0524</v>
      </c>
      <c r="AO56" s="4">
        <f t="shared" si="41"/>
        <v>118</v>
      </c>
      <c r="AP56" s="4">
        <f t="shared" si="41"/>
        <v>1022</v>
      </c>
      <c r="AQ56" s="4">
        <f t="shared" si="41"/>
        <v>2276.0524</v>
      </c>
      <c r="AR56" s="7">
        <f t="shared" si="41"/>
        <v>937.54954399999997</v>
      </c>
      <c r="AS56" s="8">
        <f>AQ56/AM56</f>
        <v>0.41352696220930202</v>
      </c>
      <c r="AT56" s="4">
        <f t="shared" si="41"/>
        <v>5229</v>
      </c>
      <c r="AU56" s="4">
        <f t="shared" si="41"/>
        <v>1094.1470999999999</v>
      </c>
      <c r="AV56" s="4">
        <f t="shared" si="41"/>
        <v>0</v>
      </c>
      <c r="AW56" s="4">
        <f t="shared" si="41"/>
        <v>0</v>
      </c>
      <c r="AX56" s="4">
        <f t="shared" si="41"/>
        <v>1094.1470999999999</v>
      </c>
      <c r="AY56" s="7">
        <f t="shared" si="41"/>
        <v>1022.080103704548</v>
      </c>
      <c r="AZ56" s="8">
        <f>AX56/AT56</f>
        <v>0.20924595524956999</v>
      </c>
    </row>
    <row r="57" spans="1:52" x14ac:dyDescent="0.15">
      <c r="A57" s="2">
        <v>48</v>
      </c>
      <c r="B57" s="2" t="s">
        <v>19</v>
      </c>
      <c r="C57" s="2" t="s">
        <v>75</v>
      </c>
      <c r="D57" s="3">
        <v>450</v>
      </c>
      <c r="E57" s="3">
        <v>164</v>
      </c>
      <c r="F57" s="3">
        <f>VLOOKUP(C57,'[1]5月25-5月31日汇总'!$C:$D,2,0)</f>
        <v>0</v>
      </c>
      <c r="G57" s="3">
        <v>18</v>
      </c>
      <c r="H57" s="3">
        <f t="shared" si="24"/>
        <v>182</v>
      </c>
      <c r="I57" s="5">
        <f>VLOOKUP(C57,[2]两年对比终版!$A:$C,3,0)</f>
        <v>205</v>
      </c>
      <c r="J57" s="6">
        <f t="shared" si="25"/>
        <v>0.404444444444444</v>
      </c>
      <c r="K57" s="3">
        <v>6270</v>
      </c>
      <c r="L57" s="3">
        <v>3265.78</v>
      </c>
      <c r="M57" s="3">
        <f>VLOOKUP(C57,'[1]5月25-5月31日汇总'!$C:$E,3,0)</f>
        <v>0</v>
      </c>
      <c r="N57" s="3">
        <v>328</v>
      </c>
      <c r="O57" s="3">
        <f t="shared" si="26"/>
        <v>3593.78</v>
      </c>
      <c r="P57" s="5">
        <f>VLOOKUP(C57,[2]两年对比终版!$A:$F,6,0)</f>
        <v>3027.8659160000002</v>
      </c>
      <c r="Q57" s="6">
        <f t="shared" si="27"/>
        <v>0.573170653907496</v>
      </c>
      <c r="R57" s="3">
        <v>210</v>
      </c>
      <c r="S57" s="3">
        <v>92</v>
      </c>
      <c r="T57" s="3">
        <f>VLOOKUP(C57,'[1]5月25-5月31日汇总'!$C:$F,4,0)</f>
        <v>0</v>
      </c>
      <c r="U57" s="3">
        <v>10</v>
      </c>
      <c r="V57" s="3">
        <f t="shared" si="28"/>
        <v>102</v>
      </c>
      <c r="W57" s="5">
        <f>VLOOKUP(C57,[2]两年对比终版!$A:$N,14,0)</f>
        <v>61</v>
      </c>
      <c r="X57" s="6">
        <f t="shared" si="29"/>
        <v>0.48571428571428599</v>
      </c>
      <c r="Y57" s="3">
        <v>3050</v>
      </c>
      <c r="Z57" s="3">
        <v>1319.4</v>
      </c>
      <c r="AA57" s="3">
        <f>VLOOKUP(C57,'[1]5月25-5月31日汇总'!$C:$G,5,0)</f>
        <v>0</v>
      </c>
      <c r="AB57" s="3">
        <v>115</v>
      </c>
      <c r="AC57" s="3">
        <f t="shared" si="30"/>
        <v>1434.4</v>
      </c>
      <c r="AD57" s="5">
        <f>VLOOKUP(C57,[2]两年对比终版!$A:$Q,17,0)</f>
        <v>919.33171900000002</v>
      </c>
      <c r="AE57" s="6">
        <f t="shared" si="31"/>
        <v>0.47029508196721298</v>
      </c>
      <c r="AF57" s="3">
        <v>210</v>
      </c>
      <c r="AG57" s="3">
        <v>87</v>
      </c>
      <c r="AH57" s="3">
        <v>2</v>
      </c>
      <c r="AI57" s="3">
        <v>13</v>
      </c>
      <c r="AJ57" s="3">
        <f t="shared" si="32"/>
        <v>102</v>
      </c>
      <c r="AK57" s="5">
        <f>VLOOKUP(C57,[2]两年对比终版!$A:$T,20,0)</f>
        <v>38</v>
      </c>
      <c r="AL57" s="6">
        <f t="shared" si="33"/>
        <v>0.48571428571428599</v>
      </c>
      <c r="AM57" s="3">
        <v>3050</v>
      </c>
      <c r="AN57" s="3">
        <v>1253.1600000000001</v>
      </c>
      <c r="AO57" s="3">
        <v>16.309999999999999</v>
      </c>
      <c r="AP57" s="3">
        <v>188</v>
      </c>
      <c r="AQ57" s="3">
        <f t="shared" si="34"/>
        <v>1457.47</v>
      </c>
      <c r="AR57" s="5">
        <f>VLOOKUP(C57,[2]两年对比终版!$A:$X,23,0)</f>
        <v>490.77310799999998</v>
      </c>
      <c r="AS57" s="6">
        <f t="shared" si="35"/>
        <v>0.47785901639344303</v>
      </c>
      <c r="AT57" s="3">
        <v>2898</v>
      </c>
      <c r="AU57" s="3">
        <v>657.09400000000005</v>
      </c>
      <c r="AV57" s="3"/>
      <c r="AW57" s="3"/>
      <c r="AX57" s="3">
        <f t="shared" si="36"/>
        <v>657.09400000000005</v>
      </c>
      <c r="AY57" s="5">
        <f>VLOOKUP(C57,[2]两年对比终版!$A:$AD,30,0)</f>
        <v>603.53170870666497</v>
      </c>
      <c r="AZ57" s="6">
        <f t="shared" si="37"/>
        <v>0.22674051069703199</v>
      </c>
    </row>
    <row r="58" spans="1:52" x14ac:dyDescent="0.15">
      <c r="A58" s="2">
        <v>49</v>
      </c>
      <c r="B58" s="2" t="s">
        <v>19</v>
      </c>
      <c r="C58" s="2" t="s">
        <v>76</v>
      </c>
      <c r="D58" s="3">
        <v>450</v>
      </c>
      <c r="E58" s="3">
        <v>178</v>
      </c>
      <c r="F58" s="3">
        <f>VLOOKUP(C58,'[1]5月25-5月31日汇总'!$C:$D,2,0)</f>
        <v>0</v>
      </c>
      <c r="G58" s="3">
        <v>18</v>
      </c>
      <c r="H58" s="3">
        <f t="shared" si="24"/>
        <v>196</v>
      </c>
      <c r="I58" s="5">
        <f>VLOOKUP(C58,[2]两年对比终版!$A:$C,3,0)</f>
        <v>210</v>
      </c>
      <c r="J58" s="6">
        <f t="shared" si="25"/>
        <v>0.43555555555555597</v>
      </c>
      <c r="K58" s="3">
        <v>6270</v>
      </c>
      <c r="L58" s="3">
        <v>3358.67</v>
      </c>
      <c r="M58" s="3">
        <f>VLOOKUP(C58,'[1]5月25-5月31日汇总'!$C:$E,3,0)</f>
        <v>0</v>
      </c>
      <c r="N58" s="3">
        <v>328</v>
      </c>
      <c r="O58" s="3">
        <f t="shared" si="26"/>
        <v>3686.67</v>
      </c>
      <c r="P58" s="5">
        <f>VLOOKUP(C58,[2]两年对比终版!$A:$F,6,0)</f>
        <v>4171.5038949999998</v>
      </c>
      <c r="Q58" s="6">
        <f t="shared" si="27"/>
        <v>0.58798564593301395</v>
      </c>
      <c r="R58" s="3">
        <v>210</v>
      </c>
      <c r="S58" s="3">
        <v>107</v>
      </c>
      <c r="T58" s="3">
        <f>VLOOKUP(C58,'[1]5月25-5月31日汇总'!$C:$F,4,0)</f>
        <v>0</v>
      </c>
      <c r="U58" s="3">
        <v>10</v>
      </c>
      <c r="V58" s="3">
        <f t="shared" si="28"/>
        <v>117</v>
      </c>
      <c r="W58" s="5">
        <f>VLOOKUP(C58,[2]两年对比终版!$A:$N,14,0)</f>
        <v>90</v>
      </c>
      <c r="X58" s="6">
        <f t="shared" si="29"/>
        <v>0.55714285714285705</v>
      </c>
      <c r="Y58" s="3">
        <v>3050</v>
      </c>
      <c r="Z58" s="3">
        <v>1420.82</v>
      </c>
      <c r="AA58" s="3">
        <f>VLOOKUP(C58,'[1]5月25-5月31日汇总'!$C:$G,5,0)</f>
        <v>0</v>
      </c>
      <c r="AB58" s="3">
        <v>114</v>
      </c>
      <c r="AC58" s="3">
        <f t="shared" si="30"/>
        <v>1534.82</v>
      </c>
      <c r="AD58" s="5">
        <f>VLOOKUP(C58,[2]两年对比终版!$A:$Q,17,0)</f>
        <v>1491.4457580000001</v>
      </c>
      <c r="AE58" s="6">
        <f t="shared" si="31"/>
        <v>0.50321967213114704</v>
      </c>
      <c r="AF58" s="3">
        <v>210</v>
      </c>
      <c r="AG58" s="3">
        <v>67</v>
      </c>
      <c r="AH58" s="3">
        <v>1</v>
      </c>
      <c r="AI58" s="3">
        <v>12</v>
      </c>
      <c r="AJ58" s="3">
        <f t="shared" si="32"/>
        <v>80</v>
      </c>
      <c r="AK58" s="5">
        <f>VLOOKUP(C58,[2]两年对比终版!$A:$T,20,0)</f>
        <v>67</v>
      </c>
      <c r="AL58" s="6">
        <f t="shared" si="33"/>
        <v>0.38095238095238099</v>
      </c>
      <c r="AM58" s="3">
        <v>3050</v>
      </c>
      <c r="AN58" s="3">
        <v>884.928</v>
      </c>
      <c r="AO58" s="3">
        <v>7</v>
      </c>
      <c r="AP58" s="3">
        <v>188</v>
      </c>
      <c r="AQ58" s="3">
        <f t="shared" si="34"/>
        <v>1079.9280000000001</v>
      </c>
      <c r="AR58" s="5">
        <f>VLOOKUP(C58,[2]两年对比终版!$A:$X,23,0)</f>
        <v>931.40596400000004</v>
      </c>
      <c r="AS58" s="6">
        <f t="shared" si="35"/>
        <v>0.35407475409836098</v>
      </c>
      <c r="AT58" s="3">
        <v>2898</v>
      </c>
      <c r="AU58" s="3">
        <v>747.423</v>
      </c>
      <c r="AV58" s="3"/>
      <c r="AW58" s="3"/>
      <c r="AX58" s="3">
        <f t="shared" si="36"/>
        <v>747.423</v>
      </c>
      <c r="AY58" s="5">
        <f>VLOOKUP(C58,[2]两年对比终版!$A:$AD,30,0)</f>
        <v>968.51239232826197</v>
      </c>
      <c r="AZ58" s="6">
        <f t="shared" si="37"/>
        <v>0.25790993788819899</v>
      </c>
    </row>
    <row r="59" spans="1:52" x14ac:dyDescent="0.15">
      <c r="A59" s="2">
        <v>50</v>
      </c>
      <c r="B59" s="2" t="s">
        <v>28</v>
      </c>
      <c r="C59" s="2" t="s">
        <v>77</v>
      </c>
      <c r="D59" s="3">
        <v>100</v>
      </c>
      <c r="E59" s="3">
        <v>30</v>
      </c>
      <c r="F59" s="3">
        <f>VLOOKUP(C59,'[1]5月25-5月31日汇总'!$C:$D,2,0)</f>
        <v>0</v>
      </c>
      <c r="G59" s="3">
        <f>VLOOKUP(C59,'[1]6月汇总'!$C:$D,2,0)</f>
        <v>32</v>
      </c>
      <c r="H59" s="3">
        <f t="shared" si="24"/>
        <v>62</v>
      </c>
      <c r="I59" s="5">
        <f>VLOOKUP(C59,[2]两年对比终版!$A:$C,3,0)</f>
        <v>40</v>
      </c>
      <c r="J59" s="6">
        <f t="shared" si="25"/>
        <v>0.62</v>
      </c>
      <c r="K59" s="3">
        <v>1390</v>
      </c>
      <c r="L59" s="3">
        <v>384.74099999999999</v>
      </c>
      <c r="M59" s="3">
        <f>VLOOKUP(C59,'[1]5月25-5月31日汇总'!$C:$E,3,0)</f>
        <v>0</v>
      </c>
      <c r="N59" s="3">
        <f>VLOOKUP(C59,'[1]6月汇总'!$C:$E,3,0)</f>
        <v>345</v>
      </c>
      <c r="O59" s="3">
        <f t="shared" si="26"/>
        <v>729.74099999999999</v>
      </c>
      <c r="P59" s="5">
        <f>VLOOKUP(C59,[2]两年对比终版!$A:$F,6,0)</f>
        <v>715.240905</v>
      </c>
      <c r="Q59" s="6">
        <f t="shared" si="27"/>
        <v>0.52499352517985598</v>
      </c>
      <c r="R59" s="3">
        <v>35</v>
      </c>
      <c r="S59" s="3">
        <v>8</v>
      </c>
      <c r="T59" s="3">
        <f>VLOOKUP(C59,'[1]5月25-5月31日汇总'!$C:$F,4,0)</f>
        <v>0</v>
      </c>
      <c r="U59" s="3">
        <f>VLOOKUP(C59,'[1]6月汇总'!$C:$F,4,0)</f>
        <v>8</v>
      </c>
      <c r="V59" s="3">
        <f t="shared" si="28"/>
        <v>16</v>
      </c>
      <c r="W59" s="5">
        <f>VLOOKUP(C59,[2]两年对比终版!$A:$N,14,0)</f>
        <v>1</v>
      </c>
      <c r="X59" s="6">
        <f t="shared" si="29"/>
        <v>0.45714285714285702</v>
      </c>
      <c r="Y59" s="3">
        <v>410</v>
      </c>
      <c r="Z59" s="3">
        <v>99.284800000000004</v>
      </c>
      <c r="AA59" s="3">
        <f>VLOOKUP(C59,'[1]5月25-5月31日汇总'!$C:$G,5,0)</f>
        <v>0</v>
      </c>
      <c r="AB59" s="3">
        <f>VLOOKUP(C59,'[1]6月汇总'!$C:$G,5,0)</f>
        <v>80</v>
      </c>
      <c r="AC59" s="3">
        <f t="shared" si="30"/>
        <v>179.28479999999999</v>
      </c>
      <c r="AD59" s="5">
        <f>VLOOKUP(C59,[2]两年对比终版!$A:$Q,17,0)</f>
        <v>9.1833600000000004</v>
      </c>
      <c r="AE59" s="6">
        <f t="shared" si="31"/>
        <v>0.43728</v>
      </c>
      <c r="AF59" s="3">
        <v>35</v>
      </c>
      <c r="AG59" s="3">
        <v>2</v>
      </c>
      <c r="AH59" s="3">
        <f>VLOOKUP(C59,'[1]5月25-5月31日汇总'!$C:$H,6,0)</f>
        <v>0</v>
      </c>
      <c r="AI59" s="3">
        <f>VLOOKUP(C59,'[1]6月汇总'!$C:$I,6,0)</f>
        <v>11</v>
      </c>
      <c r="AJ59" s="3">
        <f t="shared" si="32"/>
        <v>13</v>
      </c>
      <c r="AK59" s="5">
        <f>VLOOKUP(C59,[2]两年对比终版!$A:$T,20,0)</f>
        <v>1</v>
      </c>
      <c r="AL59" s="6">
        <f t="shared" si="33"/>
        <v>0.371428571428571</v>
      </c>
      <c r="AM59" s="3">
        <v>410</v>
      </c>
      <c r="AN59" s="3">
        <v>26.889600000000002</v>
      </c>
      <c r="AO59" s="3">
        <f>VLOOKUP(C59,'[1]5月25-5月31日汇总'!$C:$I,7,0)</f>
        <v>0</v>
      </c>
      <c r="AP59" s="3">
        <f>VLOOKUP(C59,'[1]6月汇总'!$C:$I,7,0)</f>
        <v>128</v>
      </c>
      <c r="AQ59" s="3">
        <f t="shared" si="34"/>
        <v>154.8896</v>
      </c>
      <c r="AR59" s="5">
        <f>VLOOKUP(C59,[2]两年对比终版!$A:$X,23,0)</f>
        <v>16.065435999999998</v>
      </c>
      <c r="AS59" s="6">
        <f t="shared" si="35"/>
        <v>0.37777951219512201</v>
      </c>
      <c r="AT59" s="3">
        <v>390</v>
      </c>
      <c r="AU59" s="3">
        <v>28.447199999999999</v>
      </c>
      <c r="AV59" s="3"/>
      <c r="AW59" s="3"/>
      <c r="AX59" s="3">
        <f t="shared" si="36"/>
        <v>28.447199999999999</v>
      </c>
      <c r="AY59" s="5">
        <f>VLOOKUP(C59,[2]两年对比终版!$A:$AD,30,0)</f>
        <v>242.49100996093799</v>
      </c>
      <c r="AZ59" s="6">
        <f t="shared" si="37"/>
        <v>7.2941538461538502E-2</v>
      </c>
    </row>
    <row r="60" spans="1:52" x14ac:dyDescent="0.15">
      <c r="A60" s="2">
        <v>51</v>
      </c>
      <c r="B60" s="2" t="s">
        <v>28</v>
      </c>
      <c r="C60" s="2" t="s">
        <v>78</v>
      </c>
      <c r="D60" s="3">
        <v>120</v>
      </c>
      <c r="E60" s="3">
        <v>45</v>
      </c>
      <c r="F60" s="3">
        <f>VLOOKUP(C60,'[1]5月25-5月31日汇总'!$C:$D,2,0)</f>
        <v>10</v>
      </c>
      <c r="G60" s="3">
        <f>VLOOKUP(C60,'[1]6月汇总'!$C:$D,2,0)</f>
        <v>8</v>
      </c>
      <c r="H60" s="3">
        <f t="shared" si="24"/>
        <v>63</v>
      </c>
      <c r="I60" s="5">
        <f>VLOOKUP(C60,[2]两年对比终版!$A:$C,3,0)</f>
        <v>60</v>
      </c>
      <c r="J60" s="6">
        <f t="shared" si="25"/>
        <v>0.52500000000000002</v>
      </c>
      <c r="K60" s="3">
        <v>1670</v>
      </c>
      <c r="L60" s="3">
        <v>617.40599999999995</v>
      </c>
      <c r="M60" s="3">
        <f>VLOOKUP(C60,'[1]5月25-5月31日汇总'!$C:$E,3,0)</f>
        <v>140</v>
      </c>
      <c r="N60" s="3">
        <f>VLOOKUP(C60,'[1]6月汇总'!$C:$E,3,0)</f>
        <v>112</v>
      </c>
      <c r="O60" s="3">
        <f t="shared" si="26"/>
        <v>869.40599999999995</v>
      </c>
      <c r="P60" s="5">
        <f>VLOOKUP(C60,[2]两年对比终版!$A:$F,6,0)</f>
        <v>872.93738499999995</v>
      </c>
      <c r="Q60" s="6">
        <f t="shared" si="27"/>
        <v>0.52060239520958096</v>
      </c>
      <c r="R60" s="3">
        <v>40</v>
      </c>
      <c r="S60" s="3">
        <v>17</v>
      </c>
      <c r="T60" s="3">
        <f>VLOOKUP(C60,'[1]5月25-5月31日汇总'!$C:$F,4,0)</f>
        <v>0</v>
      </c>
      <c r="U60" s="3">
        <f>VLOOKUP(C60,'[1]6月汇总'!$C:$F,4,0)</f>
        <v>3</v>
      </c>
      <c r="V60" s="3">
        <f t="shared" si="28"/>
        <v>20</v>
      </c>
      <c r="W60" s="5">
        <f>VLOOKUP(C60,[2]两年对比终版!$A:$N,14,0)</f>
        <v>5</v>
      </c>
      <c r="X60" s="6">
        <f t="shared" si="29"/>
        <v>0.5</v>
      </c>
      <c r="Y60" s="3">
        <v>480</v>
      </c>
      <c r="Z60" s="3">
        <v>226.44399999999999</v>
      </c>
      <c r="AA60" s="3">
        <f>VLOOKUP(C60,'[1]5月25-5月31日汇总'!$C:$G,5,0)</f>
        <v>0</v>
      </c>
      <c r="AB60" s="3">
        <f>VLOOKUP(C60,'[1]6月汇总'!$C:$G,5,0)</f>
        <v>34.799999999999997</v>
      </c>
      <c r="AC60" s="3">
        <f t="shared" si="30"/>
        <v>261.24400000000003</v>
      </c>
      <c r="AD60" s="5">
        <f>VLOOKUP(C60,[2]两年对比终版!$A:$Q,17,0)</f>
        <v>50.763553999999999</v>
      </c>
      <c r="AE60" s="6">
        <f t="shared" si="31"/>
        <v>0.54425833333333296</v>
      </c>
      <c r="AF60" s="3">
        <v>40</v>
      </c>
      <c r="AG60" s="3">
        <v>9</v>
      </c>
      <c r="AH60" s="3">
        <f>VLOOKUP(C60,'[1]5月25-5月31日汇总'!$C:$H,6,0)</f>
        <v>0</v>
      </c>
      <c r="AI60" s="3">
        <f>VLOOKUP(C60,'[1]6月汇总'!$C:$I,6,0)</f>
        <v>8</v>
      </c>
      <c r="AJ60" s="3">
        <f t="shared" si="32"/>
        <v>17</v>
      </c>
      <c r="AK60" s="5">
        <f>VLOOKUP(C60,[2]两年对比终版!$A:$T,20,0)</f>
        <v>7</v>
      </c>
      <c r="AL60" s="6">
        <f t="shared" si="33"/>
        <v>0.42499999999999999</v>
      </c>
      <c r="AM60" s="3">
        <v>480</v>
      </c>
      <c r="AN60" s="3">
        <v>132.62700000000001</v>
      </c>
      <c r="AO60" s="3">
        <f>VLOOKUP(C60,'[1]5月25-5月31日汇总'!$C:$I,7,0)</f>
        <v>0</v>
      </c>
      <c r="AP60" s="3">
        <f>VLOOKUP(C60,'[1]6月汇总'!$C:$I,7,0)</f>
        <v>111.8</v>
      </c>
      <c r="AQ60" s="3">
        <f t="shared" si="34"/>
        <v>244.42699999999999</v>
      </c>
      <c r="AR60" s="5">
        <f>VLOOKUP(C60,[2]两年对比终版!$A:$X,23,0)</f>
        <v>73.763803999999993</v>
      </c>
      <c r="AS60" s="6">
        <f t="shared" si="35"/>
        <v>0.50922291666666697</v>
      </c>
      <c r="AT60" s="3">
        <v>456</v>
      </c>
      <c r="AU60" s="3">
        <v>39.435400000000001</v>
      </c>
      <c r="AV60" s="3"/>
      <c r="AW60" s="3"/>
      <c r="AX60" s="3">
        <f t="shared" si="36"/>
        <v>39.435400000000001</v>
      </c>
      <c r="AY60" s="5">
        <f>VLOOKUP(C60,[2]两年对比终版!$A:$AD,30,0)</f>
        <v>62.87622578125</v>
      </c>
      <c r="AZ60" s="6">
        <f t="shared" si="37"/>
        <v>8.64811403508772E-2</v>
      </c>
    </row>
    <row r="61" spans="1:52" x14ac:dyDescent="0.15">
      <c r="A61" s="2">
        <v>52</v>
      </c>
      <c r="B61" s="2" t="s">
        <v>19</v>
      </c>
      <c r="C61" s="2" t="s">
        <v>79</v>
      </c>
      <c r="D61" s="3">
        <v>520</v>
      </c>
      <c r="E61" s="3">
        <v>284</v>
      </c>
      <c r="F61" s="3">
        <f>VLOOKUP(C61,'[1]5月25-5月31日汇总'!$C:$D,2,0)</f>
        <v>0</v>
      </c>
      <c r="G61" s="3">
        <f>VLOOKUP(C61,'[1]6月汇总'!$C:$D,2,0)</f>
        <v>15</v>
      </c>
      <c r="H61" s="3">
        <f t="shared" si="24"/>
        <v>299</v>
      </c>
      <c r="I61" s="5">
        <f>VLOOKUP(C61,[2]两年对比终版!$A:$C,3,0)</f>
        <v>271</v>
      </c>
      <c r="J61" s="6">
        <f t="shared" si="25"/>
        <v>0.57499999999999996</v>
      </c>
      <c r="K61" s="3">
        <v>7248.8</v>
      </c>
      <c r="L61" s="3">
        <v>3389.86</v>
      </c>
      <c r="M61" s="3">
        <f>VLOOKUP(C61,'[1]5月25-5月31日汇总'!$C:$E,3,0)</f>
        <v>0</v>
      </c>
      <c r="N61" s="3">
        <f>VLOOKUP(C61,'[1]6月汇总'!$C:$E,3,0)</f>
        <v>128.4</v>
      </c>
      <c r="O61" s="3">
        <f t="shared" si="26"/>
        <v>3518.26</v>
      </c>
      <c r="P61" s="5">
        <f>VLOOKUP(C61,[2]两年对比终版!$A:$F,6,0)</f>
        <v>3201.1956659999901</v>
      </c>
      <c r="Q61" s="6">
        <f t="shared" si="27"/>
        <v>0.485357576426443</v>
      </c>
      <c r="R61" s="3">
        <v>200</v>
      </c>
      <c r="S61" s="3">
        <v>90</v>
      </c>
      <c r="T61" s="3">
        <f>VLOOKUP(C61,'[1]5月25-5月31日汇总'!$C:$F,4,0)</f>
        <v>0</v>
      </c>
      <c r="U61" s="3">
        <f>VLOOKUP(C61,'[1]6月汇总'!$C:$F,4,0)</f>
        <v>15</v>
      </c>
      <c r="V61" s="3">
        <f t="shared" si="28"/>
        <v>105</v>
      </c>
      <c r="W61" s="5">
        <f>VLOOKUP(C61,[2]两年对比终版!$A:$N,14,0)</f>
        <v>85</v>
      </c>
      <c r="X61" s="6">
        <f t="shared" si="29"/>
        <v>0.52500000000000002</v>
      </c>
      <c r="Y61" s="3">
        <v>2634</v>
      </c>
      <c r="Z61" s="3">
        <v>871.97699999999998</v>
      </c>
      <c r="AA61" s="3">
        <f>VLOOKUP(C61,'[1]5月25-5月31日汇总'!$C:$G,5,0)</f>
        <v>0</v>
      </c>
      <c r="AB61" s="3">
        <f>VLOOKUP(C61,'[1]6月汇总'!$C:$G,5,0)</f>
        <v>128.4</v>
      </c>
      <c r="AC61" s="3">
        <f t="shared" si="30"/>
        <v>1000.377</v>
      </c>
      <c r="AD61" s="5">
        <f>VLOOKUP(C61,[2]两年对比终版!$A:$Q,17,0)</f>
        <v>925.64737300000002</v>
      </c>
      <c r="AE61" s="6">
        <f t="shared" si="31"/>
        <v>0.37979384965831398</v>
      </c>
      <c r="AF61" s="3">
        <v>200</v>
      </c>
      <c r="AG61" s="3">
        <v>38</v>
      </c>
      <c r="AH61" s="3">
        <f>VLOOKUP(C61,'[1]5月25-5月31日汇总'!$C:$H,6,0)</f>
        <v>0</v>
      </c>
      <c r="AI61" s="3">
        <f>VLOOKUP(C61,'[1]6月汇总'!$C:$I,6,0)</f>
        <v>56</v>
      </c>
      <c r="AJ61" s="3">
        <f t="shared" si="32"/>
        <v>94</v>
      </c>
      <c r="AK61" s="5">
        <f>VLOOKUP(C61,[2]两年对比终版!$A:$T,20,0)</f>
        <v>75</v>
      </c>
      <c r="AL61" s="6">
        <f t="shared" si="33"/>
        <v>0.47</v>
      </c>
      <c r="AM61" s="3">
        <v>2634</v>
      </c>
      <c r="AN61" s="3">
        <v>341.53800000000001</v>
      </c>
      <c r="AO61" s="3">
        <f>VLOOKUP(C61,'[1]5月25-5月31日汇总'!$C:$I,7,0)</f>
        <v>0</v>
      </c>
      <c r="AP61" s="3">
        <f>VLOOKUP(C61,'[1]6月汇总'!$C:$I,7,0)</f>
        <v>502.25505720000001</v>
      </c>
      <c r="AQ61" s="3">
        <f t="shared" si="34"/>
        <v>843.79305720000002</v>
      </c>
      <c r="AR61" s="5">
        <f>VLOOKUP(C61,[2]两年对比终版!$A:$X,23,0)</f>
        <v>819.69526499999995</v>
      </c>
      <c r="AS61" s="6">
        <f t="shared" si="35"/>
        <v>0.32034664282460101</v>
      </c>
      <c r="AT61" s="3">
        <v>2500</v>
      </c>
      <c r="AU61" s="3">
        <v>392.267</v>
      </c>
      <c r="AV61" s="3"/>
      <c r="AW61" s="3"/>
      <c r="AX61" s="3">
        <f t="shared" si="36"/>
        <v>392.267</v>
      </c>
      <c r="AY61" s="5">
        <f>VLOOKUP(C61,[2]两年对比终版!$A:$AD,30,0)</f>
        <v>874.08540390014696</v>
      </c>
      <c r="AZ61" s="6">
        <f t="shared" si="37"/>
        <v>0.15690680000000001</v>
      </c>
    </row>
    <row r="62" spans="1:52" x14ac:dyDescent="0.15">
      <c r="A62" s="2">
        <v>53</v>
      </c>
      <c r="B62" s="2" t="s">
        <v>28</v>
      </c>
      <c r="C62" s="2" t="s">
        <v>80</v>
      </c>
      <c r="D62" s="3">
        <v>72</v>
      </c>
      <c r="E62" s="3">
        <v>12</v>
      </c>
      <c r="F62" s="3">
        <f>VLOOKUP(C62,'[1]5月25-5月31日汇总'!$C:$D,2,0)</f>
        <v>12</v>
      </c>
      <c r="G62" s="3">
        <f>VLOOKUP(C62,'[1]6月汇总'!$C:$D,2,0)</f>
        <v>0</v>
      </c>
      <c r="H62" s="3">
        <f t="shared" si="24"/>
        <v>24</v>
      </c>
      <c r="I62" s="5">
        <f>VLOOKUP(C62,[2]两年对比终版!$A:$C,3,0)</f>
        <v>0</v>
      </c>
      <c r="J62" s="6">
        <f t="shared" si="25"/>
        <v>0.33333333333333298</v>
      </c>
      <c r="K62" s="3">
        <v>1000</v>
      </c>
      <c r="L62" s="3">
        <v>101.98</v>
      </c>
      <c r="M62" s="3">
        <f>VLOOKUP(C62,'[1]5月25-5月31日汇总'!$C:$E,3,0)</f>
        <v>10.199999999999999</v>
      </c>
      <c r="N62" s="3">
        <f>VLOOKUP(C62,'[1]6月汇总'!$C:$E,3,0)</f>
        <v>0</v>
      </c>
      <c r="O62" s="3">
        <f t="shared" si="26"/>
        <v>112.18</v>
      </c>
      <c r="P62" s="5">
        <f>VLOOKUP(C62,[2]两年对比终版!$A:$F,6,0)</f>
        <v>0</v>
      </c>
      <c r="Q62" s="6">
        <f t="shared" si="27"/>
        <v>0.11218</v>
      </c>
      <c r="R62" s="3">
        <v>40</v>
      </c>
      <c r="S62" s="3">
        <v>0</v>
      </c>
      <c r="T62" s="3">
        <f>VLOOKUP(C62,'[1]5月25-5月31日汇总'!$C:$F,4,0)</f>
        <v>0</v>
      </c>
      <c r="U62" s="3">
        <f>VLOOKUP(C62,'[1]6月汇总'!$C:$F,4,0)</f>
        <v>0</v>
      </c>
      <c r="V62" s="3">
        <f t="shared" si="28"/>
        <v>0</v>
      </c>
      <c r="W62" s="5">
        <f>VLOOKUP(C62,[2]两年对比终版!$A:$N,14,0)</f>
        <v>0</v>
      </c>
      <c r="X62" s="6">
        <f t="shared" si="29"/>
        <v>0</v>
      </c>
      <c r="Y62" s="3">
        <v>400</v>
      </c>
      <c r="Z62" s="3">
        <v>0</v>
      </c>
      <c r="AA62" s="3">
        <f>VLOOKUP(C62,'[1]5月25-5月31日汇总'!$C:$G,5,0)</f>
        <v>0</v>
      </c>
      <c r="AB62" s="3">
        <f>VLOOKUP(C62,'[1]6月汇总'!$C:$G,5,0)</f>
        <v>0</v>
      </c>
      <c r="AC62" s="3">
        <f t="shared" si="30"/>
        <v>0</v>
      </c>
      <c r="AD62" s="5">
        <f>VLOOKUP(C62,[2]两年对比终版!$A:$Q,17,0)</f>
        <v>0</v>
      </c>
      <c r="AE62" s="6">
        <f t="shared" si="31"/>
        <v>0</v>
      </c>
      <c r="AF62" s="3">
        <v>40</v>
      </c>
      <c r="AG62" s="3">
        <v>0</v>
      </c>
      <c r="AH62" s="3">
        <f>VLOOKUP(C62,'[1]5月25-5月31日汇总'!$C:$H,6,0)</f>
        <v>0</v>
      </c>
      <c r="AI62" s="3">
        <f>VLOOKUP(C62,'[1]6月汇总'!$C:$I,6,0)</f>
        <v>0</v>
      </c>
      <c r="AJ62" s="3">
        <f t="shared" si="32"/>
        <v>0</v>
      </c>
      <c r="AK62" s="5">
        <f>VLOOKUP(C62,[2]两年对比终版!$A:$T,20,0)</f>
        <v>0</v>
      </c>
      <c r="AL62" s="6">
        <f t="shared" si="33"/>
        <v>0</v>
      </c>
      <c r="AM62" s="3">
        <v>400</v>
      </c>
      <c r="AN62" s="3">
        <v>0</v>
      </c>
      <c r="AO62" s="3">
        <f>VLOOKUP(C62,'[1]5月25-5月31日汇总'!$C:$I,7,0)</f>
        <v>0</v>
      </c>
      <c r="AP62" s="3">
        <f>VLOOKUP(C62,'[1]6月汇总'!$C:$I,7,0)</f>
        <v>0</v>
      </c>
      <c r="AQ62" s="3">
        <f t="shared" si="34"/>
        <v>0</v>
      </c>
      <c r="AR62" s="5">
        <f>VLOOKUP(C62,[2]两年对比终版!$A:$X,23,0)</f>
        <v>0</v>
      </c>
      <c r="AS62" s="6">
        <f t="shared" si="35"/>
        <v>0</v>
      </c>
      <c r="AT62" s="3">
        <v>380</v>
      </c>
      <c r="AU62" s="3">
        <v>0</v>
      </c>
      <c r="AV62" s="3"/>
      <c r="AW62" s="3"/>
      <c r="AX62" s="3">
        <f t="shared" si="36"/>
        <v>0</v>
      </c>
      <c r="AY62" s="5">
        <f>VLOOKUP(C62,[2]两年对比终版!$A:$AD,30,0)</f>
        <v>0</v>
      </c>
      <c r="AZ62" s="6">
        <f t="shared" si="37"/>
        <v>0</v>
      </c>
    </row>
    <row r="63" spans="1:52" x14ac:dyDescent="0.15">
      <c r="A63" s="2">
        <v>54</v>
      </c>
      <c r="B63" s="2" t="s">
        <v>19</v>
      </c>
      <c r="C63" s="2" t="s">
        <v>81</v>
      </c>
      <c r="D63" s="3">
        <v>800</v>
      </c>
      <c r="E63" s="3">
        <v>230</v>
      </c>
      <c r="F63" s="3">
        <f>VLOOKUP(C63,'[1]5月25-5月31日汇总'!$C:$D,2,0)</f>
        <v>87</v>
      </c>
      <c r="G63" s="3">
        <f>VLOOKUP(C63,'[1]6月汇总'!$C:$D,2,0)</f>
        <v>110</v>
      </c>
      <c r="H63" s="3">
        <f t="shared" si="24"/>
        <v>427</v>
      </c>
      <c r="I63" s="5">
        <f>VLOOKUP(C63,[2]两年对比终版!$A:$C,3,0)</f>
        <v>326</v>
      </c>
      <c r="J63" s="6">
        <f t="shared" si="25"/>
        <v>0.53374999999999995</v>
      </c>
      <c r="K63" s="3">
        <v>11151</v>
      </c>
      <c r="L63" s="3">
        <v>4430.67</v>
      </c>
      <c r="M63" s="3">
        <f>VLOOKUP(C63,'[1]5月25-5月31日汇总'!$C:$E,3,0)</f>
        <v>1300</v>
      </c>
      <c r="N63" s="3">
        <f>VLOOKUP(C63,'[1]6月汇总'!$C:$E,3,0)</f>
        <v>1700</v>
      </c>
      <c r="O63" s="3">
        <f t="shared" si="26"/>
        <v>7430.67</v>
      </c>
      <c r="P63" s="5">
        <f>VLOOKUP(C63,[2]两年对比终版!$A:$F,6,0)</f>
        <v>3941.709069</v>
      </c>
      <c r="Q63" s="6">
        <f t="shared" si="27"/>
        <v>0.66636803874091999</v>
      </c>
      <c r="R63" s="3">
        <v>360</v>
      </c>
      <c r="S63" s="3">
        <v>72</v>
      </c>
      <c r="T63" s="3">
        <f>VLOOKUP(C63,'[1]5月25-5月31日汇总'!$C:$F,4,0)</f>
        <v>0</v>
      </c>
      <c r="U63" s="3">
        <f>VLOOKUP(C63,'[1]6月汇总'!$C:$F,4,0)</f>
        <v>40</v>
      </c>
      <c r="V63" s="3">
        <f t="shared" si="28"/>
        <v>112</v>
      </c>
      <c r="W63" s="5">
        <f>VLOOKUP(C63,[2]两年对比终版!$A:$N,14,0)</f>
        <v>135</v>
      </c>
      <c r="X63" s="6">
        <f t="shared" si="29"/>
        <v>0.31111111111111101</v>
      </c>
      <c r="Y63" s="3">
        <v>4350</v>
      </c>
      <c r="Z63" s="3">
        <v>682.41700000000003</v>
      </c>
      <c r="AA63" s="3">
        <f>VLOOKUP(C63,'[1]5月25-5月31日汇总'!$C:$G,5,0)</f>
        <v>0</v>
      </c>
      <c r="AB63" s="3">
        <f>VLOOKUP(C63,'[1]6月汇总'!$C:$G,5,0)</f>
        <v>400</v>
      </c>
      <c r="AC63" s="3">
        <f t="shared" si="30"/>
        <v>1082.4169999999999</v>
      </c>
      <c r="AD63" s="5">
        <f>VLOOKUP(C63,[2]两年对比终版!$A:$Q,17,0)</f>
        <v>1488.884333</v>
      </c>
      <c r="AE63" s="6">
        <f t="shared" si="31"/>
        <v>0.24883149425287401</v>
      </c>
      <c r="AF63" s="3">
        <v>360</v>
      </c>
      <c r="AG63" s="3">
        <v>74</v>
      </c>
      <c r="AH63" s="3">
        <f>VLOOKUP(C63,'[1]5月25-5月31日汇总'!$C:$H,6,0)</f>
        <v>9</v>
      </c>
      <c r="AI63" s="3">
        <f>VLOOKUP(C63,'[1]6月汇总'!$C:$I,6,0)</f>
        <v>30</v>
      </c>
      <c r="AJ63" s="3">
        <f t="shared" si="32"/>
        <v>113</v>
      </c>
      <c r="AK63" s="5">
        <f>VLOOKUP(C63,[2]两年对比终版!$A:$T,20,0)</f>
        <v>110</v>
      </c>
      <c r="AL63" s="6">
        <f t="shared" si="33"/>
        <v>0.31388888888888899</v>
      </c>
      <c r="AM63" s="3">
        <v>4350</v>
      </c>
      <c r="AN63" s="3">
        <v>896.52200000000005</v>
      </c>
      <c r="AO63" s="3">
        <f>VLOOKUP(C63,'[1]5月25-5月31日汇总'!$C:$I,7,0)</f>
        <v>61</v>
      </c>
      <c r="AP63" s="3">
        <f>VLOOKUP(C63,'[1]6月汇总'!$C:$I,7,0)</f>
        <v>300</v>
      </c>
      <c r="AQ63" s="3">
        <f t="shared" si="34"/>
        <v>1257.5219999999999</v>
      </c>
      <c r="AR63" s="5">
        <f>VLOOKUP(C63,[2]两年对比终版!$A:$X,23,0)</f>
        <v>1188.587968</v>
      </c>
      <c r="AS63" s="6">
        <f t="shared" si="35"/>
        <v>0.28908551724137899</v>
      </c>
      <c r="AT63" s="3">
        <v>4133</v>
      </c>
      <c r="AU63" s="3">
        <v>668.24400000000003</v>
      </c>
      <c r="AV63" s="3"/>
      <c r="AW63" s="3"/>
      <c r="AX63" s="3">
        <f t="shared" si="36"/>
        <v>668.24400000000003</v>
      </c>
      <c r="AY63" s="5">
        <f>VLOOKUP(C63,[2]两年对比终版!$A:$AD,30,0)</f>
        <v>1539.2963425708799</v>
      </c>
      <c r="AZ63" s="6">
        <f t="shared" si="37"/>
        <v>0.161684974594725</v>
      </c>
    </row>
    <row r="64" spans="1:52" x14ac:dyDescent="0.15">
      <c r="A64" s="2">
        <v>55</v>
      </c>
      <c r="B64" s="2" t="s">
        <v>33</v>
      </c>
      <c r="C64" s="2" t="s">
        <v>82</v>
      </c>
      <c r="D64" s="3">
        <v>50</v>
      </c>
      <c r="E64" s="3">
        <v>2</v>
      </c>
      <c r="F64" s="3">
        <f>VLOOKUP(C64,'[1]5月25-5月31日汇总'!$C:$D,2,0)</f>
        <v>0</v>
      </c>
      <c r="G64" s="3">
        <f>VLOOKUP(C64,'[1]6月汇总'!$C:$D,2,0)</f>
        <v>5</v>
      </c>
      <c r="H64" s="3">
        <f t="shared" si="24"/>
        <v>7</v>
      </c>
      <c r="I64" s="5">
        <f>VLOOKUP(C64,[2]两年对比终版!$A:$C,3,0)</f>
        <v>0</v>
      </c>
      <c r="J64" s="6">
        <f t="shared" si="25"/>
        <v>0.14000000000000001</v>
      </c>
      <c r="K64" s="3">
        <v>700</v>
      </c>
      <c r="L64" s="3">
        <v>18.923100000000002</v>
      </c>
      <c r="M64" s="3">
        <f>VLOOKUP(C64,'[1]5月25-5月31日汇总'!$C:$E,3,0)</f>
        <v>0</v>
      </c>
      <c r="N64" s="3">
        <f>VLOOKUP(C64,'[1]6月汇总'!$C:$E,3,0)</f>
        <v>42</v>
      </c>
      <c r="O64" s="3">
        <f t="shared" si="26"/>
        <v>60.923099999999998</v>
      </c>
      <c r="P64" s="5">
        <f>VLOOKUP(C64,[2]两年对比终版!$A:$F,6,0)</f>
        <v>0</v>
      </c>
      <c r="Q64" s="6">
        <f t="shared" si="27"/>
        <v>8.7032999999999999E-2</v>
      </c>
      <c r="R64" s="3">
        <v>30</v>
      </c>
      <c r="S64" s="3">
        <v>0</v>
      </c>
      <c r="T64" s="3">
        <f>VLOOKUP(C64,'[1]5月25-5月31日汇总'!$C:$F,4,0)</f>
        <v>0</v>
      </c>
      <c r="U64" s="3">
        <f>VLOOKUP(C64,'[1]6月汇总'!$C:$F,4,0)</f>
        <v>1</v>
      </c>
      <c r="V64" s="3">
        <f t="shared" si="28"/>
        <v>1</v>
      </c>
      <c r="W64" s="5">
        <f>VLOOKUP(C64,[2]两年对比终版!$A:$N,14,0)</f>
        <v>0</v>
      </c>
      <c r="X64" s="6">
        <f t="shared" si="29"/>
        <v>3.3333333333333298E-2</v>
      </c>
      <c r="Y64" s="3">
        <v>300</v>
      </c>
      <c r="Z64" s="3">
        <v>0</v>
      </c>
      <c r="AA64" s="3">
        <f>VLOOKUP(C64,'[1]5月25-5月31日汇总'!$C:$G,5,0)</f>
        <v>0</v>
      </c>
      <c r="AB64" s="3">
        <f>VLOOKUP(C64,'[1]6月汇总'!$C:$G,5,0)</f>
        <v>10</v>
      </c>
      <c r="AC64" s="3">
        <f t="shared" si="30"/>
        <v>10</v>
      </c>
      <c r="AD64" s="5">
        <f>VLOOKUP(C64,[2]两年对比终版!$A:$Q,17,0)</f>
        <v>0</v>
      </c>
      <c r="AE64" s="6">
        <f t="shared" si="31"/>
        <v>3.3333333333333298E-2</v>
      </c>
      <c r="AF64" s="3">
        <v>30</v>
      </c>
      <c r="AG64" s="3">
        <v>0</v>
      </c>
      <c r="AH64" s="3">
        <f>VLOOKUP(C64,'[1]5月25-5月31日汇总'!$C:$H,6,0)</f>
        <v>0</v>
      </c>
      <c r="AI64" s="3">
        <f>VLOOKUP(C64,'[1]6月汇总'!$C:$I,6,0)</f>
        <v>0</v>
      </c>
      <c r="AJ64" s="3">
        <f t="shared" si="32"/>
        <v>0</v>
      </c>
      <c r="AK64" s="5">
        <f>VLOOKUP(C64,[2]两年对比终版!$A:$T,20,0)</f>
        <v>0</v>
      </c>
      <c r="AL64" s="6">
        <f t="shared" si="33"/>
        <v>0</v>
      </c>
      <c r="AM64" s="3">
        <v>300</v>
      </c>
      <c r="AN64" s="3">
        <v>0</v>
      </c>
      <c r="AO64" s="3">
        <f>VLOOKUP(C64,'[1]5月25-5月31日汇总'!$C:$I,7,0)</f>
        <v>0</v>
      </c>
      <c r="AP64" s="3">
        <f>VLOOKUP(C64,'[1]6月汇总'!$C:$I,7,0)</f>
        <v>0</v>
      </c>
      <c r="AQ64" s="3">
        <f t="shared" si="34"/>
        <v>0</v>
      </c>
      <c r="AR64" s="5">
        <f>VLOOKUP(C64,[2]两年对比终版!$A:$X,23,0)</f>
        <v>0</v>
      </c>
      <c r="AS64" s="6">
        <f t="shared" si="35"/>
        <v>0</v>
      </c>
      <c r="AT64" s="3">
        <v>285</v>
      </c>
      <c r="AU64" s="3">
        <v>0</v>
      </c>
      <c r="AV64" s="3"/>
      <c r="AW64" s="3"/>
      <c r="AX64" s="3">
        <f t="shared" si="36"/>
        <v>0</v>
      </c>
      <c r="AY64" s="5">
        <f>VLOOKUP(C64,[2]两年对比终版!$A:$AD,30,0)</f>
        <v>0</v>
      </c>
      <c r="AZ64" s="6">
        <f t="shared" si="37"/>
        <v>0</v>
      </c>
    </row>
    <row r="65" spans="1:52" x14ac:dyDescent="0.15">
      <c r="A65" s="2">
        <v>56</v>
      </c>
      <c r="B65" s="2" t="s">
        <v>33</v>
      </c>
      <c r="C65" s="2" t="s">
        <v>83</v>
      </c>
      <c r="D65" s="3">
        <v>60</v>
      </c>
      <c r="E65" s="3">
        <v>0</v>
      </c>
      <c r="F65" s="3">
        <f>VLOOKUP(C65,'[1]5月25-5月31日汇总'!$C:$D,2,0)</f>
        <v>0</v>
      </c>
      <c r="G65" s="3">
        <f>VLOOKUP(C65,'[1]6月汇总'!$C:$D,2,0)</f>
        <v>0</v>
      </c>
      <c r="H65" s="3">
        <f t="shared" si="24"/>
        <v>0</v>
      </c>
      <c r="I65" s="5">
        <f>VLOOKUP(C65,[2]两年对比终版!$A:$C,3,0)</f>
        <v>0</v>
      </c>
      <c r="J65" s="6">
        <f t="shared" si="25"/>
        <v>0</v>
      </c>
      <c r="K65" s="3">
        <v>840</v>
      </c>
      <c r="L65" s="3">
        <v>0</v>
      </c>
      <c r="M65" s="3">
        <f>VLOOKUP(C65,'[1]5月25-5月31日汇总'!$C:$E,3,0)</f>
        <v>0</v>
      </c>
      <c r="N65" s="3">
        <f>VLOOKUP(C65,'[1]6月汇总'!$C:$E,3,0)</f>
        <v>0</v>
      </c>
      <c r="O65" s="3">
        <f t="shared" si="26"/>
        <v>0</v>
      </c>
      <c r="P65" s="5">
        <f>VLOOKUP(C65,[2]两年对比终版!$A:$F,6,0)</f>
        <v>0</v>
      </c>
      <c r="Q65" s="6">
        <f t="shared" si="27"/>
        <v>0</v>
      </c>
      <c r="R65" s="3">
        <v>20</v>
      </c>
      <c r="S65" s="3">
        <v>0</v>
      </c>
      <c r="T65" s="3">
        <f>VLOOKUP(C65,'[1]5月25-5月31日汇总'!$C:$F,4,0)</f>
        <v>0</v>
      </c>
      <c r="U65" s="3">
        <f>VLOOKUP(C65,'[1]6月汇总'!$C:$F,4,0)</f>
        <v>0</v>
      </c>
      <c r="V65" s="3">
        <f t="shared" si="28"/>
        <v>0</v>
      </c>
      <c r="W65" s="5">
        <f>VLOOKUP(C65,[2]两年对比终版!$A:$N,14,0)</f>
        <v>0</v>
      </c>
      <c r="X65" s="6">
        <f t="shared" si="29"/>
        <v>0</v>
      </c>
      <c r="Y65" s="3">
        <v>200</v>
      </c>
      <c r="Z65" s="3">
        <v>0</v>
      </c>
      <c r="AA65" s="3">
        <f>VLOOKUP(C65,'[1]5月25-5月31日汇总'!$C:$G,5,0)</f>
        <v>0</v>
      </c>
      <c r="AB65" s="3">
        <f>VLOOKUP(C65,'[1]6月汇总'!$C:$G,5,0)</f>
        <v>0</v>
      </c>
      <c r="AC65" s="3">
        <f t="shared" si="30"/>
        <v>0</v>
      </c>
      <c r="AD65" s="5">
        <f>VLOOKUP(C65,[2]两年对比终版!$A:$Q,17,0)</f>
        <v>0</v>
      </c>
      <c r="AE65" s="6">
        <f t="shared" si="31"/>
        <v>0</v>
      </c>
      <c r="AF65" s="3">
        <v>20</v>
      </c>
      <c r="AG65" s="3">
        <v>0</v>
      </c>
      <c r="AH65" s="3">
        <f>VLOOKUP(C65,'[1]5月25-5月31日汇总'!$C:$H,6,0)</f>
        <v>0</v>
      </c>
      <c r="AI65" s="3">
        <f>VLOOKUP(C65,'[1]6月汇总'!$C:$I,6,0)</f>
        <v>0</v>
      </c>
      <c r="AJ65" s="3">
        <f t="shared" si="32"/>
        <v>0</v>
      </c>
      <c r="AK65" s="5">
        <f>VLOOKUP(C65,[2]两年对比终版!$A:$T,20,0)</f>
        <v>0</v>
      </c>
      <c r="AL65" s="6">
        <f t="shared" si="33"/>
        <v>0</v>
      </c>
      <c r="AM65" s="3">
        <v>200</v>
      </c>
      <c r="AN65" s="3">
        <v>0</v>
      </c>
      <c r="AO65" s="3">
        <f>VLOOKUP(C65,'[1]5月25-5月31日汇总'!$C:$I,7,0)</f>
        <v>0</v>
      </c>
      <c r="AP65" s="3">
        <f>VLOOKUP(C65,'[1]6月汇总'!$C:$I,7,0)</f>
        <v>0</v>
      </c>
      <c r="AQ65" s="3">
        <f t="shared" si="34"/>
        <v>0</v>
      </c>
      <c r="AR65" s="5">
        <f>VLOOKUP(C65,[2]两年对比终版!$A:$X,23,0)</f>
        <v>0</v>
      </c>
      <c r="AS65" s="6">
        <f t="shared" si="35"/>
        <v>0</v>
      </c>
      <c r="AT65" s="3">
        <v>190</v>
      </c>
      <c r="AU65" s="3">
        <v>0</v>
      </c>
      <c r="AV65" s="3"/>
      <c r="AW65" s="3"/>
      <c r="AX65" s="3">
        <f t="shared" si="36"/>
        <v>0</v>
      </c>
      <c r="AY65" s="5">
        <f>VLOOKUP(C65,[2]两年对比终版!$A:$AD,30,0)</f>
        <v>0</v>
      </c>
      <c r="AZ65" s="6">
        <f t="shared" si="37"/>
        <v>0</v>
      </c>
    </row>
    <row r="66" spans="1:52" x14ac:dyDescent="0.15">
      <c r="A66" s="11" t="s">
        <v>84</v>
      </c>
      <c r="B66" s="12"/>
      <c r="C66" s="12"/>
      <c r="D66" s="4">
        <f t="shared" ref="D66:I66" si="42">SUM(D57:D65)</f>
        <v>2622</v>
      </c>
      <c r="E66" s="4">
        <f t="shared" si="42"/>
        <v>945</v>
      </c>
      <c r="F66" s="4">
        <f t="shared" si="42"/>
        <v>109</v>
      </c>
      <c r="G66" s="4">
        <f t="shared" si="42"/>
        <v>206</v>
      </c>
      <c r="H66" s="4">
        <f t="shared" si="42"/>
        <v>1260</v>
      </c>
      <c r="I66" s="7">
        <f t="shared" si="42"/>
        <v>1112</v>
      </c>
      <c r="J66" s="8">
        <f>H66/D66</f>
        <v>0.48054919908466798</v>
      </c>
      <c r="K66" s="4">
        <f t="shared" ref="K66:AY66" si="43">SUM(K57:K65)</f>
        <v>36539.800000000003</v>
      </c>
      <c r="L66" s="4">
        <f t="shared" si="43"/>
        <v>15568.0301</v>
      </c>
      <c r="M66" s="4">
        <f t="shared" si="43"/>
        <v>1450.2</v>
      </c>
      <c r="N66" s="4">
        <f t="shared" si="43"/>
        <v>2983.4</v>
      </c>
      <c r="O66" s="4">
        <f t="shared" si="43"/>
        <v>20001.630099999998</v>
      </c>
      <c r="P66" s="7">
        <f t="shared" si="43"/>
        <v>15930.452835999991</v>
      </c>
      <c r="Q66" s="8">
        <f>O66/K66</f>
        <v>0.547392982446538</v>
      </c>
      <c r="R66" s="4">
        <f t="shared" si="43"/>
        <v>1145</v>
      </c>
      <c r="S66" s="4">
        <f t="shared" si="43"/>
        <v>386</v>
      </c>
      <c r="T66" s="4">
        <f t="shared" si="43"/>
        <v>0</v>
      </c>
      <c r="U66" s="4">
        <f t="shared" si="43"/>
        <v>87</v>
      </c>
      <c r="V66" s="4">
        <f t="shared" si="43"/>
        <v>473</v>
      </c>
      <c r="W66" s="7">
        <f t="shared" si="43"/>
        <v>377</v>
      </c>
      <c r="X66" s="8">
        <f>V66/R66</f>
        <v>0.41310043668122298</v>
      </c>
      <c r="Y66" s="4">
        <f t="shared" si="43"/>
        <v>14874</v>
      </c>
      <c r="Z66" s="4">
        <f t="shared" si="43"/>
        <v>4620.3428000000004</v>
      </c>
      <c r="AA66" s="4">
        <f t="shared" si="43"/>
        <v>0</v>
      </c>
      <c r="AB66" s="4">
        <f t="shared" si="43"/>
        <v>882.2</v>
      </c>
      <c r="AC66" s="4">
        <f t="shared" si="43"/>
        <v>5502.5428000000002</v>
      </c>
      <c r="AD66" s="7">
        <f t="shared" si="43"/>
        <v>4885.2560970000004</v>
      </c>
      <c r="AE66" s="8">
        <f>AC66/Y66</f>
        <v>0.36994371386311697</v>
      </c>
      <c r="AF66" s="4">
        <f t="shared" si="43"/>
        <v>1145</v>
      </c>
      <c r="AG66" s="4">
        <f t="shared" si="43"/>
        <v>277</v>
      </c>
      <c r="AH66" s="4">
        <f t="shared" si="43"/>
        <v>12</v>
      </c>
      <c r="AI66" s="4">
        <f t="shared" si="43"/>
        <v>130</v>
      </c>
      <c r="AJ66" s="4">
        <f t="shared" si="43"/>
        <v>419</v>
      </c>
      <c r="AK66" s="7">
        <f t="shared" si="43"/>
        <v>298</v>
      </c>
      <c r="AL66" s="8">
        <f>AJ66/AF66</f>
        <v>0.36593886462882103</v>
      </c>
      <c r="AM66" s="4">
        <f t="shared" si="43"/>
        <v>14874</v>
      </c>
      <c r="AN66" s="4">
        <f t="shared" si="43"/>
        <v>3535.6646000000001</v>
      </c>
      <c r="AO66" s="4">
        <f t="shared" si="43"/>
        <v>84.31</v>
      </c>
      <c r="AP66" s="4">
        <f t="shared" si="43"/>
        <v>1418.0550572</v>
      </c>
      <c r="AQ66" s="4">
        <f t="shared" si="43"/>
        <v>5038.0296571999997</v>
      </c>
      <c r="AR66" s="7">
        <f t="shared" si="43"/>
        <v>3520.291545</v>
      </c>
      <c r="AS66" s="8">
        <f>AQ66/AM66</f>
        <v>0.338713840069921</v>
      </c>
      <c r="AT66" s="4">
        <f t="shared" si="43"/>
        <v>14130</v>
      </c>
      <c r="AU66" s="4">
        <f t="shared" si="43"/>
        <v>2532.9106000000002</v>
      </c>
      <c r="AV66" s="4">
        <f t="shared" si="43"/>
        <v>0</v>
      </c>
      <c r="AW66" s="4">
        <f t="shared" si="43"/>
        <v>0</v>
      </c>
      <c r="AX66" s="4">
        <f t="shared" si="43"/>
        <v>2532.9106000000002</v>
      </c>
      <c r="AY66" s="7">
        <f t="shared" si="43"/>
        <v>4290.7930832481416</v>
      </c>
      <c r="AZ66" s="8">
        <f>AX66/AT66</f>
        <v>0.17925765038924299</v>
      </c>
    </row>
    <row r="67" spans="1:52" x14ac:dyDescent="0.15">
      <c r="A67" s="2">
        <v>57</v>
      </c>
      <c r="B67" s="2" t="s">
        <v>19</v>
      </c>
      <c r="C67" s="2" t="s">
        <v>85</v>
      </c>
      <c r="D67" s="3">
        <v>900</v>
      </c>
      <c r="E67" s="3">
        <v>312</v>
      </c>
      <c r="F67" s="3">
        <f>VLOOKUP(C67,'[1]5月25-5月31日汇总'!$C:$D,2,0)</f>
        <v>0</v>
      </c>
      <c r="G67" s="3">
        <f>VLOOKUP(C67,'[1]6月汇总'!$C:$D,2,0)</f>
        <v>211</v>
      </c>
      <c r="H67" s="3">
        <f t="shared" si="24"/>
        <v>523</v>
      </c>
      <c r="I67" s="5">
        <f>VLOOKUP(C67,[2]两年对比终版!$A:$C,3,0)</f>
        <v>469</v>
      </c>
      <c r="J67" s="6">
        <f t="shared" si="25"/>
        <v>0.58111111111111102</v>
      </c>
      <c r="K67" s="3">
        <v>6000</v>
      </c>
      <c r="L67" s="3">
        <v>1984.17</v>
      </c>
      <c r="M67" s="3">
        <f>VLOOKUP(C67,'[1]5月25-5月31日汇总'!$C:$E,3,0)</f>
        <v>0</v>
      </c>
      <c r="N67" s="3">
        <f>VLOOKUP(C67,'[1]6月汇总'!$C:$E,3,0)</f>
        <v>1510</v>
      </c>
      <c r="O67" s="3">
        <f t="shared" si="26"/>
        <v>3494.17</v>
      </c>
      <c r="P67" s="5">
        <f>VLOOKUP(C67,[2]两年对比终版!$A:$F,6,0)</f>
        <v>6870.23698899998</v>
      </c>
      <c r="Q67" s="6">
        <f t="shared" si="27"/>
        <v>0.582361666666667</v>
      </c>
      <c r="R67" s="3">
        <v>400</v>
      </c>
      <c r="S67" s="3">
        <v>2</v>
      </c>
      <c r="T67" s="3">
        <f>VLOOKUP(C67,'[1]5月25-5月31日汇总'!$C:$F,4,0)</f>
        <v>0</v>
      </c>
      <c r="U67" s="3">
        <f>VLOOKUP(C67,'[1]6月汇总'!$C:$F,4,0)</f>
        <v>5</v>
      </c>
      <c r="V67" s="3">
        <f t="shared" si="28"/>
        <v>7</v>
      </c>
      <c r="W67" s="5">
        <f>VLOOKUP(C67,[2]两年对比终版!$A:$N,14,0)</f>
        <v>406</v>
      </c>
      <c r="X67" s="6">
        <f t="shared" si="29"/>
        <v>1.7500000000000002E-2</v>
      </c>
      <c r="Y67" s="3">
        <v>2600</v>
      </c>
      <c r="Z67" s="3">
        <v>16.293399999999998</v>
      </c>
      <c r="AA67" s="3">
        <f>VLOOKUP(C67,'[1]5月25-5月31日汇总'!$C:$G,5,0)</f>
        <v>0</v>
      </c>
      <c r="AB67" s="3">
        <f>VLOOKUP(C67,'[1]6月汇总'!$C:$G,5,0)</f>
        <v>50</v>
      </c>
      <c r="AC67" s="3">
        <f t="shared" si="30"/>
        <v>66.293400000000005</v>
      </c>
      <c r="AD67" s="5">
        <f>VLOOKUP(C67,[2]两年对比终版!$A:$Q,17,0)</f>
        <v>2397.89588799999</v>
      </c>
      <c r="AE67" s="6">
        <f t="shared" si="31"/>
        <v>2.54974615384615E-2</v>
      </c>
      <c r="AF67" s="3">
        <v>400</v>
      </c>
      <c r="AG67" s="3">
        <v>0</v>
      </c>
      <c r="AH67" s="3">
        <f>VLOOKUP(C67,'[1]5月25-5月31日汇总'!$C:$H,6,0)</f>
        <v>0</v>
      </c>
      <c r="AI67" s="3">
        <f>VLOOKUP(C67,'[1]6月汇总'!$C:$I,6,0)</f>
        <v>5</v>
      </c>
      <c r="AJ67" s="3">
        <f t="shared" si="32"/>
        <v>5</v>
      </c>
      <c r="AK67" s="5">
        <f>VLOOKUP(C67,[2]两年对比终版!$A:$T,20,0)+160</f>
        <v>166</v>
      </c>
      <c r="AL67" s="6">
        <f t="shared" si="33"/>
        <v>1.2500000000000001E-2</v>
      </c>
      <c r="AM67" s="3">
        <v>2600</v>
      </c>
      <c r="AN67" s="3">
        <v>0</v>
      </c>
      <c r="AO67" s="3">
        <f>VLOOKUP(C67,'[1]5月25-5月31日汇总'!$C:$I,7,0)</f>
        <v>0</v>
      </c>
      <c r="AP67" s="3">
        <f>VLOOKUP(C67,'[1]6月汇总'!$C:$I,7,0)</f>
        <v>50</v>
      </c>
      <c r="AQ67" s="3">
        <f t="shared" si="34"/>
        <v>50</v>
      </c>
      <c r="AR67" s="5">
        <f>VLOOKUP(C67,[2]两年对比终版!$A:$X,23,0)+946.99</f>
        <v>1004.924756</v>
      </c>
      <c r="AS67" s="6">
        <f t="shared" si="35"/>
        <v>1.9230769230769201E-2</v>
      </c>
      <c r="AT67" s="3">
        <v>2470</v>
      </c>
      <c r="AU67" s="3">
        <v>2.1069</v>
      </c>
      <c r="AV67" s="3"/>
      <c r="AW67" s="3"/>
      <c r="AX67" s="3">
        <f t="shared" si="36"/>
        <v>2.1069</v>
      </c>
      <c r="AY67" s="5">
        <f>VLOOKUP(C67,[2]两年对比终版!$A:$AD,30,0)</f>
        <v>190.39357004394299</v>
      </c>
      <c r="AZ67" s="6">
        <f t="shared" si="37"/>
        <v>8.5299595141700405E-4</v>
      </c>
    </row>
    <row r="68" spans="1:52" x14ac:dyDescent="0.15">
      <c r="A68" s="2">
        <v>58</v>
      </c>
      <c r="B68" s="2" t="s">
        <v>33</v>
      </c>
      <c r="C68" s="2" t="s">
        <v>86</v>
      </c>
      <c r="D68" s="3">
        <v>100</v>
      </c>
      <c r="E68" s="3">
        <v>28</v>
      </c>
      <c r="F68" s="3">
        <f>VLOOKUP(C68,'[1]5月25-5月31日汇总'!$C:$D,2,0)</f>
        <v>16</v>
      </c>
      <c r="G68" s="3">
        <f>VLOOKUP(C68,'[1]6月汇总'!$C:$D,2,0)</f>
        <v>10</v>
      </c>
      <c r="H68" s="3">
        <f t="shared" si="24"/>
        <v>54</v>
      </c>
      <c r="I68" s="5">
        <f>VLOOKUP(C68,[2]两年对比终版!$A:$C,3,0)</f>
        <v>22</v>
      </c>
      <c r="J68" s="6">
        <f t="shared" si="25"/>
        <v>0.54</v>
      </c>
      <c r="K68" s="3">
        <v>800</v>
      </c>
      <c r="L68" s="3">
        <v>227.35400000000001</v>
      </c>
      <c r="M68" s="3">
        <f>VLOOKUP(C68,'[1]5月25-5月31日汇总'!$C:$E,3,0)</f>
        <v>87</v>
      </c>
      <c r="N68" s="3">
        <f>VLOOKUP(C68,'[1]6月汇总'!$C:$E,3,0)</f>
        <v>64</v>
      </c>
      <c r="O68" s="3">
        <f t="shared" si="26"/>
        <v>378.35399999999998</v>
      </c>
      <c r="P68" s="5">
        <f>VLOOKUP(C68,[2]两年对比终版!$A:$F,6,0)</f>
        <v>202.744236</v>
      </c>
      <c r="Q68" s="6">
        <f t="shared" si="27"/>
        <v>0.47294249999999999</v>
      </c>
      <c r="R68" s="3">
        <v>30</v>
      </c>
      <c r="S68" s="3">
        <v>1</v>
      </c>
      <c r="T68" s="3">
        <f>VLOOKUP(C68,'[1]5月25-5月31日汇总'!$C:$F,4,0)</f>
        <v>0</v>
      </c>
      <c r="U68" s="3">
        <f>VLOOKUP(C68,'[1]6月汇总'!$C:$F,4,0)</f>
        <v>16</v>
      </c>
      <c r="V68" s="3">
        <f t="shared" si="28"/>
        <v>17</v>
      </c>
      <c r="W68" s="5">
        <f>VLOOKUP(C68,[2]两年对比终版!$A:$N,14,0)</f>
        <v>7</v>
      </c>
      <c r="X68" s="6">
        <f t="shared" si="29"/>
        <v>0.56666666666666698</v>
      </c>
      <c r="Y68" s="3">
        <v>300</v>
      </c>
      <c r="Z68" s="3">
        <v>8.2169100000000004</v>
      </c>
      <c r="AA68" s="3">
        <f>VLOOKUP(C68,'[1]5月25-5月31日汇总'!$C:$G,5,0)</f>
        <v>0</v>
      </c>
      <c r="AB68" s="3">
        <f>VLOOKUP(C68,'[1]6月汇总'!$C:$G,5,0)</f>
        <v>116</v>
      </c>
      <c r="AC68" s="3">
        <f t="shared" si="30"/>
        <v>124.21691</v>
      </c>
      <c r="AD68" s="5">
        <f>VLOOKUP(C68,[2]两年对比终版!$A:$Q,17,0)</f>
        <v>57.436799999999998</v>
      </c>
      <c r="AE68" s="6">
        <f t="shared" si="31"/>
        <v>0.41405636666666701</v>
      </c>
      <c r="AF68" s="3">
        <v>30</v>
      </c>
      <c r="AG68" s="3">
        <v>11</v>
      </c>
      <c r="AH68" s="3">
        <f>VLOOKUP(C68,'[1]5月25-5月31日汇总'!$C:$H,6,0)</f>
        <v>0</v>
      </c>
      <c r="AI68" s="3">
        <f>VLOOKUP(C68,'[1]6月汇总'!$C:$I,6,0)</f>
        <v>0</v>
      </c>
      <c r="AJ68" s="3">
        <f t="shared" si="32"/>
        <v>11</v>
      </c>
      <c r="AK68" s="5">
        <f>VLOOKUP(C68,[2]两年对比终版!$A:$T,20,0)</f>
        <v>21</v>
      </c>
      <c r="AL68" s="6">
        <f t="shared" si="33"/>
        <v>0.36666666666666697</v>
      </c>
      <c r="AM68" s="3">
        <v>300</v>
      </c>
      <c r="AN68" s="3">
        <v>121.303</v>
      </c>
      <c r="AO68" s="3">
        <f>VLOOKUP(C68,'[1]5月25-5月31日汇总'!$C:$I,7,0)</f>
        <v>0</v>
      </c>
      <c r="AP68" s="3">
        <f>VLOOKUP(C68,'[1]6月汇总'!$C:$I,7,0)</f>
        <v>0</v>
      </c>
      <c r="AQ68" s="3">
        <f t="shared" si="34"/>
        <v>121.303</v>
      </c>
      <c r="AR68" s="5">
        <f>VLOOKUP(C68,[2]两年对比终版!$A:$X,23,0)</f>
        <v>165.82313400000001</v>
      </c>
      <c r="AS68" s="6">
        <f t="shared" si="35"/>
        <v>0.404343333333333</v>
      </c>
      <c r="AT68" s="3">
        <v>285</v>
      </c>
      <c r="AU68" s="3">
        <v>7.9219200000000001</v>
      </c>
      <c r="AV68" s="3"/>
      <c r="AW68" s="3"/>
      <c r="AX68" s="3">
        <f t="shared" si="36"/>
        <v>7.9219200000000001</v>
      </c>
      <c r="AY68" s="5">
        <f>VLOOKUP(C68,[2]两年对比终版!$A:$AD,30,0)</f>
        <v>110.664910253906</v>
      </c>
      <c r="AZ68" s="6">
        <f t="shared" si="37"/>
        <v>2.7796210526315802E-2</v>
      </c>
    </row>
    <row r="69" spans="1:52" x14ac:dyDescent="0.15">
      <c r="A69" s="2">
        <v>59</v>
      </c>
      <c r="B69" s="2" t="s">
        <v>28</v>
      </c>
      <c r="C69" s="2" t="s">
        <v>87</v>
      </c>
      <c r="D69" s="3">
        <v>101</v>
      </c>
      <c r="E69" s="3">
        <v>29</v>
      </c>
      <c r="F69" s="3">
        <f>VLOOKUP(C69,'[1]5月25-5月31日汇总'!$C:$D,2,0)</f>
        <v>1</v>
      </c>
      <c r="G69" s="3">
        <f>VLOOKUP(C69,'[1]6月汇总'!$C:$D,2,0)</f>
        <v>15</v>
      </c>
      <c r="H69" s="3">
        <f t="shared" si="24"/>
        <v>45</v>
      </c>
      <c r="I69" s="5">
        <f>VLOOKUP(C69,[2]两年对比终版!$A:$C,3,0)</f>
        <v>39</v>
      </c>
      <c r="J69" s="6">
        <f t="shared" si="25"/>
        <v>0.445544554455446</v>
      </c>
      <c r="K69" s="3">
        <v>980</v>
      </c>
      <c r="L69" s="3">
        <v>274.34899999999999</v>
      </c>
      <c r="M69" s="3">
        <f>VLOOKUP(C69,'[1]5月25-5月31日汇总'!$C:$E,3,0)</f>
        <v>8.1999999999999993</v>
      </c>
      <c r="N69" s="3">
        <f>VLOOKUP(C69,'[1]6月汇总'!$C:$E,3,0)</f>
        <v>120</v>
      </c>
      <c r="O69" s="3">
        <f t="shared" si="26"/>
        <v>402.54899999999998</v>
      </c>
      <c r="P69" s="5">
        <f>VLOOKUP(C69,[2]两年对比终版!$A:$F,6,0)</f>
        <v>652.63722499999994</v>
      </c>
      <c r="Q69" s="6">
        <f t="shared" si="27"/>
        <v>0.41076428571428603</v>
      </c>
      <c r="R69" s="3">
        <v>32.803400000000003</v>
      </c>
      <c r="S69" s="3">
        <v>1</v>
      </c>
      <c r="T69" s="3">
        <f>VLOOKUP(C69,'[1]5月25-5月31日汇总'!$C:$F,4,0)</f>
        <v>1</v>
      </c>
      <c r="U69" s="3">
        <f>VLOOKUP(C69,'[1]6月汇总'!$C:$F,4,0)</f>
        <v>15</v>
      </c>
      <c r="V69" s="3">
        <f t="shared" si="28"/>
        <v>17</v>
      </c>
      <c r="W69" s="5">
        <f>VLOOKUP(C69,[2]两年对比终版!$A:$N,14,0)</f>
        <v>0</v>
      </c>
      <c r="X69" s="6">
        <f t="shared" si="29"/>
        <v>0.51823896303432004</v>
      </c>
      <c r="Y69" s="3">
        <v>401.84199999999998</v>
      </c>
      <c r="Z69" s="3">
        <v>8.5245899999999999</v>
      </c>
      <c r="AA69" s="3">
        <f>VLOOKUP(C69,'[1]5月25-5月31日汇总'!$C:$G,5,0)</f>
        <v>8.1999999999999993</v>
      </c>
      <c r="AB69" s="3">
        <f>VLOOKUP(C69,'[1]6月汇总'!$C:$G,5,0)</f>
        <v>120</v>
      </c>
      <c r="AC69" s="3">
        <f t="shared" si="30"/>
        <v>136.72459000000001</v>
      </c>
      <c r="AD69" s="5">
        <f>VLOOKUP(C69,[2]两年对比终版!$A:$Q,17,0)</f>
        <v>0</v>
      </c>
      <c r="AE69" s="6">
        <f t="shared" si="31"/>
        <v>0.34024464839414498</v>
      </c>
      <c r="AF69" s="3">
        <v>32.803400000000003</v>
      </c>
      <c r="AG69" s="3">
        <v>0</v>
      </c>
      <c r="AH69" s="3">
        <f>VLOOKUP(C69,'[1]5月25-5月31日汇总'!$C:$H,6,0)</f>
        <v>1</v>
      </c>
      <c r="AI69" s="3">
        <f>VLOOKUP(C69,'[1]6月汇总'!$C:$I,6,0)</f>
        <v>15</v>
      </c>
      <c r="AJ69" s="3">
        <f t="shared" si="32"/>
        <v>16</v>
      </c>
      <c r="AK69" s="5">
        <f>VLOOKUP(C69,[2]两年对比终版!$A:$T,20,0)</f>
        <v>1</v>
      </c>
      <c r="AL69" s="6">
        <f t="shared" si="33"/>
        <v>0.48775431814994802</v>
      </c>
      <c r="AM69" s="3">
        <v>401.84199999999998</v>
      </c>
      <c r="AN69" s="3">
        <v>0</v>
      </c>
      <c r="AO69" s="3">
        <f>VLOOKUP(C69,'[1]5月25-5月31日汇总'!$C:$I,7,0)</f>
        <v>8.1999999999999993</v>
      </c>
      <c r="AP69" s="3">
        <f>VLOOKUP(C69,'[1]6月汇总'!$C:$I,7,0)</f>
        <v>120</v>
      </c>
      <c r="AQ69" s="3">
        <f t="shared" si="34"/>
        <v>128.19999999999999</v>
      </c>
      <c r="AR69" s="5">
        <f>VLOOKUP(C69,[2]两年对比终版!$A:$X,23,0)</f>
        <v>13.231109999999999</v>
      </c>
      <c r="AS69" s="6">
        <f t="shared" si="35"/>
        <v>0.31903086287645399</v>
      </c>
      <c r="AT69" s="3">
        <v>382</v>
      </c>
      <c r="AU69" s="3">
        <v>1.714</v>
      </c>
      <c r="AV69" s="3"/>
      <c r="AW69" s="3"/>
      <c r="AX69" s="3">
        <f t="shared" si="36"/>
        <v>1.714</v>
      </c>
      <c r="AY69" s="5">
        <f>VLOOKUP(C69,[2]两年对比终版!$A:$AD,30,0)</f>
        <v>9.2725203124999993</v>
      </c>
      <c r="AZ69" s="6">
        <f t="shared" si="37"/>
        <v>4.4869109947644004E-3</v>
      </c>
    </row>
    <row r="70" spans="1:52" x14ac:dyDescent="0.15">
      <c r="A70" s="2">
        <v>60</v>
      </c>
      <c r="B70" s="2" t="s">
        <v>28</v>
      </c>
      <c r="C70" s="2" t="s">
        <v>88</v>
      </c>
      <c r="D70" s="3">
        <v>100</v>
      </c>
      <c r="E70" s="3">
        <v>39</v>
      </c>
      <c r="F70" s="3">
        <f>VLOOKUP(C70,'[1]5月25-5月31日汇总'!$C:$D,2,0)</f>
        <v>25</v>
      </c>
      <c r="G70" s="3">
        <f>VLOOKUP(C70,'[1]6月汇总'!$C:$D,2,0)</f>
        <v>0</v>
      </c>
      <c r="H70" s="3">
        <f t="shared" ref="H70:H83" si="44">SUM(E70:G70)</f>
        <v>64</v>
      </c>
      <c r="I70" s="5">
        <f>VLOOKUP(C70,[2]两年对比终版!$A:$C,3,0)</f>
        <v>38</v>
      </c>
      <c r="J70" s="6">
        <f t="shared" ref="J70:J83" si="45">H70/D70</f>
        <v>0.64</v>
      </c>
      <c r="K70" s="3">
        <v>980</v>
      </c>
      <c r="L70" s="3">
        <v>449.84199999999998</v>
      </c>
      <c r="M70" s="3">
        <f>VLOOKUP(C70,'[1]5月25-5月31日汇总'!$C:$E,3,0)</f>
        <v>266.8</v>
      </c>
      <c r="N70" s="3">
        <f>VLOOKUP(C70,'[1]6月汇总'!$C:$E,3,0)</f>
        <v>0</v>
      </c>
      <c r="O70" s="3">
        <f t="shared" ref="O70:O83" si="46">SUM(L70:N70)</f>
        <v>716.64200000000005</v>
      </c>
      <c r="P70" s="5">
        <f>VLOOKUP(C70,[2]两年对比终版!$A:$F,6,0)</f>
        <v>550.22496799999999</v>
      </c>
      <c r="Q70" s="6">
        <f t="shared" ref="Q70:Q83" si="47">O70/K70</f>
        <v>0.73126734693877604</v>
      </c>
      <c r="R70" s="3">
        <v>32.816299999999998</v>
      </c>
      <c r="S70" s="3">
        <v>8</v>
      </c>
      <c r="T70" s="3">
        <f>VLOOKUP(C70,'[1]5月25-5月31日汇总'!$C:$F,4,0)</f>
        <v>14</v>
      </c>
      <c r="U70" s="3">
        <f>VLOOKUP(C70,'[1]6月汇总'!$C:$F,4,0)</f>
        <v>0</v>
      </c>
      <c r="V70" s="3">
        <f t="shared" ref="V70:V83" si="48">SUM(S70:U70)</f>
        <v>22</v>
      </c>
      <c r="W70" s="5">
        <f>VLOOKUP(C70,[2]两年对比终版!$A:$N,14,0)</f>
        <v>14</v>
      </c>
      <c r="X70" s="6">
        <f t="shared" ref="X70:X83" si="49">V70/R70</f>
        <v>0.67039855193912801</v>
      </c>
      <c r="Y70" s="3">
        <v>402</v>
      </c>
      <c r="Z70" s="3">
        <v>80.185699999999997</v>
      </c>
      <c r="AA70" s="3">
        <f>VLOOKUP(C70,'[1]5月25-5月31日汇总'!$C:$G,5,0)</f>
        <v>143</v>
      </c>
      <c r="AB70" s="3">
        <f>VLOOKUP(C70,'[1]6月汇总'!$C:$G,5,0)</f>
        <v>0</v>
      </c>
      <c r="AC70" s="3">
        <f t="shared" ref="AC70:AC83" si="50">SUM(Z70:AB70)</f>
        <v>223.1857</v>
      </c>
      <c r="AD70" s="5">
        <f>VLOOKUP(C70,[2]两年对比终版!$A:$Q,17,0)</f>
        <v>177.80094199999999</v>
      </c>
      <c r="AE70" s="6">
        <f t="shared" ref="AE70:AE83" si="51">AC70/Y70</f>
        <v>0.55518830845771105</v>
      </c>
      <c r="AF70" s="3">
        <v>32.816299999999998</v>
      </c>
      <c r="AG70" s="3">
        <v>15</v>
      </c>
      <c r="AH70" s="3">
        <f>VLOOKUP(C70,'[1]5月25-5月31日汇总'!$C:$H,6,0)</f>
        <v>0</v>
      </c>
      <c r="AI70" s="3">
        <f>VLOOKUP(C70,'[1]6月汇总'!$C:$I,6,0)</f>
        <v>14</v>
      </c>
      <c r="AJ70" s="3">
        <f t="shared" ref="AJ70:AJ83" si="52">SUM(AG70:AI70)</f>
        <v>29</v>
      </c>
      <c r="AK70" s="5">
        <f>VLOOKUP(C70,[2]两年对比终版!$A:$T,20,0)</f>
        <v>17</v>
      </c>
      <c r="AL70" s="6">
        <f t="shared" ref="AL70:AL83" si="53">AJ70/AF70</f>
        <v>0.88370718210157795</v>
      </c>
      <c r="AM70" s="3">
        <v>402</v>
      </c>
      <c r="AN70" s="3">
        <v>155.648</v>
      </c>
      <c r="AO70" s="3">
        <f>VLOOKUP(C70,'[1]5月25-5月31日汇总'!$C:$I,7,0)</f>
        <v>0</v>
      </c>
      <c r="AP70" s="3">
        <f>VLOOKUP(C70,'[1]6月汇总'!$C:$I,7,0)</f>
        <v>143</v>
      </c>
      <c r="AQ70" s="3">
        <f t="shared" ref="AQ70:AQ83" si="54">SUM(AN70:AP70)</f>
        <v>298.64800000000002</v>
      </c>
      <c r="AR70" s="5">
        <f>VLOOKUP(C70,[2]两年对比终版!$A:$X,23,0)</f>
        <v>210.26359199999999</v>
      </c>
      <c r="AS70" s="6">
        <f t="shared" ref="AS70:AS83" si="55">AQ70/AM70</f>
        <v>0.74290547263681606</v>
      </c>
      <c r="AT70" s="3">
        <v>382</v>
      </c>
      <c r="AU70" s="3">
        <v>48.064999999999998</v>
      </c>
      <c r="AV70" s="3"/>
      <c r="AW70" s="3"/>
      <c r="AX70" s="3">
        <f t="shared" ref="AX70:AX83" si="56">SUM(AU70:AW70)</f>
        <v>48.064999999999998</v>
      </c>
      <c r="AY70" s="5">
        <f>VLOOKUP(C70,[2]两年对比终版!$A:$AD,30,0)</f>
        <v>187.08207557034501</v>
      </c>
      <c r="AZ70" s="6">
        <f t="shared" ref="AZ70:AZ83" si="57">AX70/AT70</f>
        <v>0.12582460732984299</v>
      </c>
    </row>
    <row r="71" spans="1:52" x14ac:dyDescent="0.15">
      <c r="A71" s="2">
        <v>61</v>
      </c>
      <c r="B71" s="2" t="s">
        <v>33</v>
      </c>
      <c r="C71" s="2" t="s">
        <v>89</v>
      </c>
      <c r="D71" s="3">
        <v>90</v>
      </c>
      <c r="E71" s="3">
        <v>26</v>
      </c>
      <c r="F71" s="3">
        <f>VLOOKUP(C71,'[1]5月25-5月31日汇总'!$C:$D,2,0)</f>
        <v>2</v>
      </c>
      <c r="G71" s="3">
        <f>VLOOKUP(C71,'[1]6月汇总'!$C:$D,2,0)</f>
        <v>15</v>
      </c>
      <c r="H71" s="3">
        <f t="shared" si="44"/>
        <v>43</v>
      </c>
      <c r="I71" s="5">
        <f>VLOOKUP(C71,[2]两年对比终版!$A:$C,3,0)</f>
        <v>129</v>
      </c>
      <c r="J71" s="6">
        <f t="shared" si="45"/>
        <v>0.47777777777777802</v>
      </c>
      <c r="K71" s="3">
        <v>800</v>
      </c>
      <c r="L71" s="3">
        <v>184.577</v>
      </c>
      <c r="M71" s="3">
        <f>VLOOKUP(C71,'[1]5月25-5月31日汇总'!$C:$E,3,0)</f>
        <v>10.3</v>
      </c>
      <c r="N71" s="3">
        <f>VLOOKUP(C71,'[1]6月汇总'!$C:$E,3,0)</f>
        <v>87</v>
      </c>
      <c r="O71" s="3">
        <f t="shared" si="46"/>
        <v>281.87700000000001</v>
      </c>
      <c r="P71" s="5">
        <f>VLOOKUP(C71,[2]两年对比终版!$A:$F,6,0)</f>
        <v>1471.255735</v>
      </c>
      <c r="Q71" s="6">
        <f t="shared" si="47"/>
        <v>0.35234625000000003</v>
      </c>
      <c r="R71" s="3">
        <v>30</v>
      </c>
      <c r="S71" s="3">
        <v>0</v>
      </c>
      <c r="T71" s="3">
        <f>VLOOKUP(C71,'[1]5月25-5月31日汇总'!$C:$F,4,0)</f>
        <v>0</v>
      </c>
      <c r="U71" s="3">
        <f>VLOOKUP(C71,'[1]6月汇总'!$C:$F,4,0)</f>
        <v>6</v>
      </c>
      <c r="V71" s="3">
        <f t="shared" si="48"/>
        <v>6</v>
      </c>
      <c r="W71" s="5">
        <f>VLOOKUP(C71,[2]两年对比终版!$A:$N,14,0)</f>
        <v>0</v>
      </c>
      <c r="X71" s="6">
        <f t="shared" si="49"/>
        <v>0.2</v>
      </c>
      <c r="Y71" s="3">
        <v>300</v>
      </c>
      <c r="Z71" s="3">
        <v>0</v>
      </c>
      <c r="AA71" s="3">
        <f>VLOOKUP(C71,'[1]5月25-5月31日汇总'!$C:$G,5,0)</f>
        <v>0</v>
      </c>
      <c r="AB71" s="3">
        <f>VLOOKUP(C71,'[1]6月汇总'!$C:$G,5,0)</f>
        <v>34</v>
      </c>
      <c r="AC71" s="3">
        <f t="shared" si="50"/>
        <v>34</v>
      </c>
      <c r="AD71" s="5">
        <f>VLOOKUP(C71,[2]两年对比终版!$A:$Q,17,0)</f>
        <v>0</v>
      </c>
      <c r="AE71" s="6">
        <f t="shared" si="51"/>
        <v>0.11333333333333299</v>
      </c>
      <c r="AF71" s="3">
        <v>30</v>
      </c>
      <c r="AG71" s="3">
        <v>0</v>
      </c>
      <c r="AH71" s="3">
        <f>VLOOKUP(C71,'[1]5月25-5月31日汇总'!$C:$H,6,0)</f>
        <v>0</v>
      </c>
      <c r="AI71" s="3">
        <f>VLOOKUP(C71,'[1]6月汇总'!$C:$I,6,0)</f>
        <v>0</v>
      </c>
      <c r="AJ71" s="3">
        <f t="shared" si="52"/>
        <v>0</v>
      </c>
      <c r="AK71" s="5">
        <f>VLOOKUP(C71,[2]两年对比终版!$A:$T,20,0)</f>
        <v>0</v>
      </c>
      <c r="AL71" s="6">
        <f t="shared" si="53"/>
        <v>0</v>
      </c>
      <c r="AM71" s="3">
        <v>300</v>
      </c>
      <c r="AN71" s="3">
        <v>0</v>
      </c>
      <c r="AO71" s="3">
        <f>VLOOKUP(C71,'[1]5月25-5月31日汇总'!$C:$I,7,0)</f>
        <v>0</v>
      </c>
      <c r="AP71" s="3">
        <f>VLOOKUP(C71,'[1]6月汇总'!$C:$I,7,0)</f>
        <v>0</v>
      </c>
      <c r="AQ71" s="3">
        <f t="shared" si="54"/>
        <v>0</v>
      </c>
      <c r="AR71" s="5">
        <f>VLOOKUP(C71,[2]两年对比终版!$A:$X,23,0)</f>
        <v>0</v>
      </c>
      <c r="AS71" s="6">
        <f t="shared" si="55"/>
        <v>0</v>
      </c>
      <c r="AT71" s="3">
        <v>285</v>
      </c>
      <c r="AU71" s="3">
        <v>0</v>
      </c>
      <c r="AV71" s="3"/>
      <c r="AW71" s="3"/>
      <c r="AX71" s="3">
        <f t="shared" si="56"/>
        <v>0</v>
      </c>
      <c r="AY71" s="5">
        <f>VLOOKUP(C71,[2]两年对比终版!$A:$AD,30,0)</f>
        <v>628.831877654648</v>
      </c>
      <c r="AZ71" s="6">
        <f t="shared" si="57"/>
        <v>0</v>
      </c>
    </row>
    <row r="72" spans="1:52" x14ac:dyDescent="0.15">
      <c r="A72" s="2">
        <v>62</v>
      </c>
      <c r="B72" s="2" t="s">
        <v>33</v>
      </c>
      <c r="C72" s="2" t="s">
        <v>90</v>
      </c>
      <c r="D72" s="3">
        <v>90</v>
      </c>
      <c r="E72" s="3">
        <v>24</v>
      </c>
      <c r="F72" s="3">
        <f>VLOOKUP(C72,'[1]5月25-5月31日汇总'!$C:$D,2,0)</f>
        <v>0</v>
      </c>
      <c r="G72" s="3">
        <f>VLOOKUP(C72,'[1]6月汇总'!$C:$D,2,0)</f>
        <v>10</v>
      </c>
      <c r="H72" s="3">
        <f t="shared" si="44"/>
        <v>34</v>
      </c>
      <c r="I72" s="5">
        <f>VLOOKUP(C72,[2]两年对比终版!$A:$C,3,0)</f>
        <v>0</v>
      </c>
      <c r="J72" s="6">
        <f t="shared" si="45"/>
        <v>0.37777777777777799</v>
      </c>
      <c r="K72" s="3">
        <v>800</v>
      </c>
      <c r="L72" s="3">
        <v>308.23500000000001</v>
      </c>
      <c r="M72" s="3">
        <f>VLOOKUP(C72,'[1]5月25-5月31日汇总'!$C:$E,3,0)</f>
        <v>0</v>
      </c>
      <c r="N72" s="3">
        <f>VLOOKUP(C72,'[1]6月汇总'!$C:$E,3,0)</f>
        <v>100</v>
      </c>
      <c r="O72" s="3">
        <f t="shared" si="46"/>
        <v>408.23500000000001</v>
      </c>
      <c r="P72" s="5">
        <f>VLOOKUP(C72,[2]两年对比终版!$A:$F,6,0)</f>
        <v>0</v>
      </c>
      <c r="Q72" s="6">
        <f t="shared" si="47"/>
        <v>0.51029374999999999</v>
      </c>
      <c r="R72" s="3">
        <v>30</v>
      </c>
      <c r="S72" s="3">
        <v>2</v>
      </c>
      <c r="T72" s="3">
        <f>VLOOKUP(C72,'[1]5月25-5月31日汇总'!$C:$F,4,0)</f>
        <v>1</v>
      </c>
      <c r="U72" s="3">
        <f>VLOOKUP(C72,'[1]6月汇总'!$C:$F,4,0)</f>
        <v>4</v>
      </c>
      <c r="V72" s="3">
        <f t="shared" si="48"/>
        <v>7</v>
      </c>
      <c r="W72" s="5">
        <f>VLOOKUP(C72,[2]两年对比终版!$A:$N,14,0)</f>
        <v>0</v>
      </c>
      <c r="X72" s="6">
        <f t="shared" si="49"/>
        <v>0.233333333333333</v>
      </c>
      <c r="Y72" s="3">
        <v>300</v>
      </c>
      <c r="Z72" s="3">
        <v>24.9391</v>
      </c>
      <c r="AA72" s="3">
        <f>VLOOKUP(C72,'[1]5月25-5月31日汇总'!$C:$G,5,0)</f>
        <v>12</v>
      </c>
      <c r="AB72" s="3">
        <f>VLOOKUP(C72,'[1]6月汇总'!$C:$G,5,0)</f>
        <v>35</v>
      </c>
      <c r="AC72" s="3">
        <f t="shared" si="50"/>
        <v>71.939099999999996</v>
      </c>
      <c r="AD72" s="5">
        <f>VLOOKUP(C72,[2]两年对比终版!$A:$Q,17,0)</f>
        <v>0</v>
      </c>
      <c r="AE72" s="6">
        <f t="shared" si="51"/>
        <v>0.23979700000000001</v>
      </c>
      <c r="AF72" s="3">
        <v>30</v>
      </c>
      <c r="AG72" s="3">
        <v>2</v>
      </c>
      <c r="AH72" s="3">
        <f>VLOOKUP(C72,'[1]5月25-5月31日汇总'!$C:$H,6,0)</f>
        <v>1</v>
      </c>
      <c r="AI72" s="3">
        <f>VLOOKUP(C72,'[1]6月汇总'!$C:$I,6,0)</f>
        <v>1</v>
      </c>
      <c r="AJ72" s="3">
        <f t="shared" si="52"/>
        <v>4</v>
      </c>
      <c r="AK72" s="5">
        <f>VLOOKUP(C72,[2]两年对比终版!$A:$T,20,0)</f>
        <v>0</v>
      </c>
      <c r="AL72" s="6">
        <f t="shared" si="53"/>
        <v>0.133333333333333</v>
      </c>
      <c r="AM72" s="3">
        <v>300</v>
      </c>
      <c r="AN72" s="3">
        <v>24.9391</v>
      </c>
      <c r="AO72" s="3">
        <f>VLOOKUP(C72,'[1]5月25-5月31日汇总'!$C:$I,7,0)</f>
        <v>11.5</v>
      </c>
      <c r="AP72" s="3">
        <f>VLOOKUP(C72,'[1]6月汇总'!$C:$I,7,0)</f>
        <v>12</v>
      </c>
      <c r="AQ72" s="3">
        <f t="shared" si="54"/>
        <v>48.439100000000003</v>
      </c>
      <c r="AR72" s="5">
        <f>VLOOKUP(C72,[2]两年对比终版!$A:$X,23,0)</f>
        <v>0</v>
      </c>
      <c r="AS72" s="6">
        <f t="shared" si="55"/>
        <v>0.16146366666666701</v>
      </c>
      <c r="AT72" s="3">
        <v>285</v>
      </c>
      <c r="AU72" s="3">
        <v>11.7334</v>
      </c>
      <c r="AV72" s="3"/>
      <c r="AW72" s="3"/>
      <c r="AX72" s="3">
        <f t="shared" si="56"/>
        <v>11.7334</v>
      </c>
      <c r="AY72" s="5">
        <f>VLOOKUP(C72,[2]两年对比终版!$A:$AD,30,0)</f>
        <v>0</v>
      </c>
      <c r="AZ72" s="6">
        <f t="shared" si="57"/>
        <v>4.1169824561403501E-2</v>
      </c>
    </row>
    <row r="73" spans="1:52" x14ac:dyDescent="0.15">
      <c r="A73" s="11" t="s">
        <v>91</v>
      </c>
      <c r="B73" s="12"/>
      <c r="C73" s="12"/>
      <c r="D73" s="4">
        <f t="shared" ref="D73:I73" si="58">SUM(D67:D72)</f>
        <v>1381</v>
      </c>
      <c r="E73" s="4">
        <f t="shared" si="58"/>
        <v>458</v>
      </c>
      <c r="F73" s="4">
        <f t="shared" si="58"/>
        <v>44</v>
      </c>
      <c r="G73" s="4">
        <f t="shared" si="58"/>
        <v>261</v>
      </c>
      <c r="H73" s="4">
        <f t="shared" si="58"/>
        <v>763</v>
      </c>
      <c r="I73" s="7">
        <f t="shared" si="58"/>
        <v>697</v>
      </c>
      <c r="J73" s="8">
        <f>H73/D73</f>
        <v>0.55249818971759601</v>
      </c>
      <c r="K73" s="4">
        <f t="shared" ref="K73:AY73" si="59">SUM(K67:K72)</f>
        <v>10360</v>
      </c>
      <c r="L73" s="4">
        <f t="shared" si="59"/>
        <v>3428.527</v>
      </c>
      <c r="M73" s="4">
        <f t="shared" si="59"/>
        <v>372.3</v>
      </c>
      <c r="N73" s="4">
        <f t="shared" si="59"/>
        <v>1881</v>
      </c>
      <c r="O73" s="4">
        <f t="shared" si="59"/>
        <v>5681.8270000000002</v>
      </c>
      <c r="P73" s="7">
        <f>SUM(P67:P72)</f>
        <v>9747.099152999981</v>
      </c>
      <c r="Q73" s="8">
        <f>O73/K73</f>
        <v>0.54843889961390002</v>
      </c>
      <c r="R73" s="4">
        <f t="shared" si="59"/>
        <v>555.61969999999997</v>
      </c>
      <c r="S73" s="4">
        <f t="shared" si="59"/>
        <v>14</v>
      </c>
      <c r="T73" s="4">
        <f t="shared" si="59"/>
        <v>16</v>
      </c>
      <c r="U73" s="4">
        <f t="shared" si="59"/>
        <v>46</v>
      </c>
      <c r="V73" s="4">
        <f t="shared" si="59"/>
        <v>76</v>
      </c>
      <c r="W73" s="7">
        <f t="shared" si="59"/>
        <v>427</v>
      </c>
      <c r="X73" s="8">
        <f>V73/R73</f>
        <v>0.13678420689547199</v>
      </c>
      <c r="Y73" s="4">
        <f t="shared" si="59"/>
        <v>4303.8419999999996</v>
      </c>
      <c r="Z73" s="4">
        <f t="shared" si="59"/>
        <v>138.15969999999999</v>
      </c>
      <c r="AA73" s="4">
        <f t="shared" si="59"/>
        <v>163.19999999999999</v>
      </c>
      <c r="AB73" s="4">
        <f t="shared" si="59"/>
        <v>355</v>
      </c>
      <c r="AC73" s="4">
        <f t="shared" si="59"/>
        <v>656.35969999999998</v>
      </c>
      <c r="AD73" s="7">
        <f t="shared" si="59"/>
        <v>2633.1336299999898</v>
      </c>
      <c r="AE73" s="8">
        <f>AC73/Y73</f>
        <v>0.15250552878102899</v>
      </c>
      <c r="AF73" s="4">
        <f t="shared" si="59"/>
        <v>555.61969999999997</v>
      </c>
      <c r="AG73" s="4">
        <f t="shared" si="59"/>
        <v>28</v>
      </c>
      <c r="AH73" s="4">
        <f t="shared" si="59"/>
        <v>2</v>
      </c>
      <c r="AI73" s="4">
        <f t="shared" si="59"/>
        <v>35</v>
      </c>
      <c r="AJ73" s="4">
        <f t="shared" si="59"/>
        <v>65</v>
      </c>
      <c r="AK73" s="7">
        <f t="shared" si="59"/>
        <v>205</v>
      </c>
      <c r="AL73" s="8">
        <f>AJ73/AF73</f>
        <v>0.116986492739548</v>
      </c>
      <c r="AM73" s="4">
        <f t="shared" si="59"/>
        <v>4303.8419999999996</v>
      </c>
      <c r="AN73" s="4">
        <f t="shared" si="59"/>
        <v>301.89010000000002</v>
      </c>
      <c r="AO73" s="4">
        <f t="shared" si="59"/>
        <v>19.7</v>
      </c>
      <c r="AP73" s="4">
        <f t="shared" si="59"/>
        <v>325</v>
      </c>
      <c r="AQ73" s="4">
        <f t="shared" si="59"/>
        <v>646.59010000000001</v>
      </c>
      <c r="AR73" s="7">
        <f t="shared" si="59"/>
        <v>1394.2425920000001</v>
      </c>
      <c r="AS73" s="8">
        <f>AQ73/AM73</f>
        <v>0.15023555697444299</v>
      </c>
      <c r="AT73" s="4">
        <f t="shared" si="59"/>
        <v>4089</v>
      </c>
      <c r="AU73" s="4">
        <f t="shared" si="59"/>
        <v>71.541219999999996</v>
      </c>
      <c r="AV73" s="4">
        <f t="shared" si="59"/>
        <v>0</v>
      </c>
      <c r="AW73" s="4">
        <f t="shared" si="59"/>
        <v>0</v>
      </c>
      <c r="AX73" s="4">
        <f t="shared" si="59"/>
        <v>71.541219999999996</v>
      </c>
      <c r="AY73" s="7">
        <f t="shared" si="59"/>
        <v>1126.2449538353419</v>
      </c>
      <c r="AZ73" s="8">
        <f>AX73/AT73</f>
        <v>1.7496018586451501E-2</v>
      </c>
    </row>
    <row r="74" spans="1:52" x14ac:dyDescent="0.15">
      <c r="A74" s="2">
        <v>63</v>
      </c>
      <c r="B74" s="2" t="s">
        <v>33</v>
      </c>
      <c r="C74" s="2" t="s">
        <v>92</v>
      </c>
      <c r="D74" s="3">
        <v>34</v>
      </c>
      <c r="E74" s="3">
        <v>0</v>
      </c>
      <c r="F74" s="3">
        <f>VLOOKUP(C74,'[1]5月25-5月31日汇总'!$C:$D,2,0)</f>
        <v>0</v>
      </c>
      <c r="G74" s="3">
        <f>VLOOKUP(C74,'[1]6月汇总'!$C:$D,2,0)</f>
        <v>0</v>
      </c>
      <c r="H74" s="3">
        <f t="shared" si="44"/>
        <v>0</v>
      </c>
      <c r="I74" s="5">
        <f>VLOOKUP(C74,[2]两年对比终版!$A:$C,3,0)</f>
        <v>0</v>
      </c>
      <c r="J74" s="6">
        <f t="shared" si="45"/>
        <v>0</v>
      </c>
      <c r="K74" s="3">
        <v>520</v>
      </c>
      <c r="L74" s="3">
        <v>0</v>
      </c>
      <c r="M74" s="3">
        <f>VLOOKUP(C74,'[1]5月25-5月31日汇总'!$C:$E,3,0)</f>
        <v>0</v>
      </c>
      <c r="N74" s="3">
        <f>VLOOKUP(C74,'[1]6月汇总'!$C:$E,3,0)</f>
        <v>0</v>
      </c>
      <c r="O74" s="3">
        <f t="shared" si="46"/>
        <v>0</v>
      </c>
      <c r="P74" s="5">
        <f>VLOOKUP(C74,[2]两年对比终版!$A:$F,6,0)</f>
        <v>0</v>
      </c>
      <c r="Q74" s="6">
        <f t="shared" si="47"/>
        <v>0</v>
      </c>
      <c r="R74" s="3">
        <v>15</v>
      </c>
      <c r="S74" s="3">
        <v>0</v>
      </c>
      <c r="T74" s="3">
        <f>VLOOKUP(C74,'[1]5月25-5月31日汇总'!$C:$F,4,0)</f>
        <v>0</v>
      </c>
      <c r="U74" s="3">
        <f>VLOOKUP(C74,'[1]6月汇总'!$C:$F,4,0)</f>
        <v>0</v>
      </c>
      <c r="V74" s="3">
        <f t="shared" si="48"/>
        <v>0</v>
      </c>
      <c r="W74" s="5">
        <f>VLOOKUP(C74,[2]两年对比终版!$A:$N,14,0)</f>
        <v>0</v>
      </c>
      <c r="X74" s="6">
        <f t="shared" si="49"/>
        <v>0</v>
      </c>
      <c r="Y74" s="3">
        <v>210</v>
      </c>
      <c r="Z74" s="3">
        <v>0</v>
      </c>
      <c r="AA74" s="3">
        <f>VLOOKUP(C74,'[1]5月25-5月31日汇总'!$C:$G,5,0)</f>
        <v>0</v>
      </c>
      <c r="AB74" s="3">
        <f>VLOOKUP(C74,'[1]6月汇总'!$C:$G,5,0)</f>
        <v>0</v>
      </c>
      <c r="AC74" s="3">
        <f t="shared" si="50"/>
        <v>0</v>
      </c>
      <c r="AD74" s="5">
        <f>VLOOKUP(C74,[2]两年对比终版!$A:$Q,17,0)</f>
        <v>0</v>
      </c>
      <c r="AE74" s="6">
        <f t="shared" si="51"/>
        <v>0</v>
      </c>
      <c r="AF74" s="3">
        <v>15</v>
      </c>
      <c r="AG74" s="3">
        <v>0</v>
      </c>
      <c r="AH74" s="3">
        <f>VLOOKUP(C74,'[1]5月25-5月31日汇总'!$C:$H,6,0)</f>
        <v>0</v>
      </c>
      <c r="AI74" s="3">
        <f>VLOOKUP(C74,'[1]6月汇总'!$C:$I,6,0)</f>
        <v>0</v>
      </c>
      <c r="AJ74" s="3">
        <f t="shared" si="52"/>
        <v>0</v>
      </c>
      <c r="AK74" s="5">
        <f>VLOOKUP(C74,[2]两年对比终版!$A:$T,20,0)</f>
        <v>0</v>
      </c>
      <c r="AL74" s="6">
        <f t="shared" si="53"/>
        <v>0</v>
      </c>
      <c r="AM74" s="3">
        <v>210</v>
      </c>
      <c r="AN74" s="3">
        <v>0</v>
      </c>
      <c r="AO74" s="3">
        <f>VLOOKUP(C74,'[1]5月25-5月31日汇总'!$C:$I,7,0)</f>
        <v>0</v>
      </c>
      <c r="AP74" s="3">
        <f>VLOOKUP(C74,'[1]6月汇总'!$C:$I,7,0)</f>
        <v>0</v>
      </c>
      <c r="AQ74" s="3">
        <f t="shared" si="54"/>
        <v>0</v>
      </c>
      <c r="AR74" s="5">
        <f>VLOOKUP(C74,[2]两年对比终版!$A:$X,23,0)</f>
        <v>0</v>
      </c>
      <c r="AS74" s="6">
        <f t="shared" si="55"/>
        <v>0</v>
      </c>
      <c r="AT74" s="3">
        <v>200</v>
      </c>
      <c r="AU74" s="3">
        <v>0</v>
      </c>
      <c r="AV74" s="3"/>
      <c r="AW74" s="3"/>
      <c r="AX74" s="3">
        <f t="shared" si="56"/>
        <v>0</v>
      </c>
      <c r="AY74" s="5">
        <f>VLOOKUP(C74,[2]两年对比终版!$A:$AD,30,0)</f>
        <v>0</v>
      </c>
      <c r="AZ74" s="6">
        <f t="shared" si="57"/>
        <v>0</v>
      </c>
    </row>
    <row r="75" spans="1:52" x14ac:dyDescent="0.15">
      <c r="A75" s="2">
        <v>64</v>
      </c>
      <c r="B75" s="2" t="s">
        <v>33</v>
      </c>
      <c r="C75" s="2" t="s">
        <v>93</v>
      </c>
      <c r="D75" s="3">
        <v>50</v>
      </c>
      <c r="E75" s="3">
        <v>0</v>
      </c>
      <c r="F75" s="3">
        <f>VLOOKUP(C75,'[1]5月25-5月31日汇总'!$C:$D,2,0)</f>
        <v>0</v>
      </c>
      <c r="G75" s="3">
        <f>VLOOKUP(C75,'[1]6月汇总'!$C:$D,2,0)</f>
        <v>1</v>
      </c>
      <c r="H75" s="3">
        <f t="shared" si="44"/>
        <v>1</v>
      </c>
      <c r="I75" s="5">
        <f>VLOOKUP(C75,[2]两年对比终版!$A:$C,3,0)</f>
        <v>0</v>
      </c>
      <c r="J75" s="6">
        <f t="shared" si="45"/>
        <v>0.02</v>
      </c>
      <c r="K75" s="3">
        <v>500</v>
      </c>
      <c r="L75" s="3">
        <v>0</v>
      </c>
      <c r="M75" s="3">
        <f>VLOOKUP(C75,'[1]5月25-5月31日汇总'!$C:$E,3,0)</f>
        <v>0</v>
      </c>
      <c r="N75" s="3">
        <f>VLOOKUP(C75,'[1]6月汇总'!$C:$E,3,0)</f>
        <v>89</v>
      </c>
      <c r="O75" s="3">
        <f t="shared" si="46"/>
        <v>89</v>
      </c>
      <c r="P75" s="5">
        <f>VLOOKUP(C75,[2]两年对比终版!$A:$F,6,0)</f>
        <v>0</v>
      </c>
      <c r="Q75" s="6">
        <f t="shared" si="47"/>
        <v>0.17799999999999999</v>
      </c>
      <c r="R75" s="3">
        <v>15</v>
      </c>
      <c r="S75" s="3">
        <v>0</v>
      </c>
      <c r="T75" s="3">
        <f>VLOOKUP(C75,'[1]5月25-5月31日汇总'!$C:$F,4,0)</f>
        <v>1</v>
      </c>
      <c r="U75" s="3">
        <f>VLOOKUP(C75,'[1]6月汇总'!$C:$F,4,0)</f>
        <v>0</v>
      </c>
      <c r="V75" s="3">
        <f t="shared" si="48"/>
        <v>1</v>
      </c>
      <c r="W75" s="5">
        <f>VLOOKUP(C75,[2]两年对比终版!$A:$N,14,0)</f>
        <v>0</v>
      </c>
      <c r="X75" s="6">
        <f t="shared" si="49"/>
        <v>6.6666666666666693E-2</v>
      </c>
      <c r="Y75" s="3">
        <v>201</v>
      </c>
      <c r="Z75" s="3">
        <v>0</v>
      </c>
      <c r="AA75" s="3">
        <f>VLOOKUP(C75,'[1]5月25-5月31日汇总'!$C:$G,5,0)</f>
        <v>2.2000000000000002</v>
      </c>
      <c r="AB75" s="3">
        <f>VLOOKUP(C75,'[1]6月汇总'!$C:$G,5,0)</f>
        <v>0</v>
      </c>
      <c r="AC75" s="3">
        <f t="shared" si="50"/>
        <v>2.2000000000000002</v>
      </c>
      <c r="AD75" s="5">
        <f>VLOOKUP(C75,[2]两年对比终版!$A:$Q,17,0)</f>
        <v>0</v>
      </c>
      <c r="AE75" s="6">
        <f t="shared" si="51"/>
        <v>1.09452736318408E-2</v>
      </c>
      <c r="AF75" s="3">
        <v>15</v>
      </c>
      <c r="AG75" s="3">
        <v>0</v>
      </c>
      <c r="AH75" s="3">
        <f>VLOOKUP(C75,'[1]5月25-5月31日汇总'!$C:$H,6,0)</f>
        <v>0</v>
      </c>
      <c r="AI75" s="3">
        <f>VLOOKUP(C75,'[1]6月汇总'!$C:$I,6,0)</f>
        <v>0</v>
      </c>
      <c r="AJ75" s="3">
        <f t="shared" si="52"/>
        <v>0</v>
      </c>
      <c r="AK75" s="5">
        <f>VLOOKUP(C75,[2]两年对比终版!$A:$T,20,0)</f>
        <v>0</v>
      </c>
      <c r="AL75" s="6">
        <f t="shared" si="53"/>
        <v>0</v>
      </c>
      <c r="AM75" s="3">
        <v>201</v>
      </c>
      <c r="AN75" s="3">
        <v>0</v>
      </c>
      <c r="AO75" s="3">
        <f>VLOOKUP(C75,'[1]5月25-5月31日汇总'!$C:$I,7,0)</f>
        <v>0</v>
      </c>
      <c r="AP75" s="3">
        <f>VLOOKUP(C75,'[1]6月汇总'!$C:$I,7,0)</f>
        <v>0</v>
      </c>
      <c r="AQ75" s="3">
        <f t="shared" si="54"/>
        <v>0</v>
      </c>
      <c r="AR75" s="5">
        <f>VLOOKUP(C75,[2]两年对比终版!$A:$X,23,0)</f>
        <v>0</v>
      </c>
      <c r="AS75" s="6">
        <f t="shared" si="55"/>
        <v>0</v>
      </c>
      <c r="AT75" s="3">
        <v>190</v>
      </c>
      <c r="AU75" s="3">
        <v>1.0919000000000001</v>
      </c>
      <c r="AV75" s="3"/>
      <c r="AW75" s="3"/>
      <c r="AX75" s="3">
        <f t="shared" si="56"/>
        <v>1.0919000000000001</v>
      </c>
      <c r="AY75" s="5">
        <f>VLOOKUP(C75,[2]两年对比终版!$A:$AD,30,0)</f>
        <v>0</v>
      </c>
      <c r="AZ75" s="6">
        <f t="shared" si="57"/>
        <v>5.7468421052631596E-3</v>
      </c>
    </row>
    <row r="76" spans="1:52" x14ac:dyDescent="0.15">
      <c r="A76" s="2">
        <v>65</v>
      </c>
      <c r="B76" s="2" t="s">
        <v>33</v>
      </c>
      <c r="C76" s="2" t="s">
        <v>94</v>
      </c>
      <c r="D76" s="3">
        <v>34</v>
      </c>
      <c r="E76" s="3">
        <v>0</v>
      </c>
      <c r="F76" s="3">
        <f>VLOOKUP(C76,'[1]5月25-5月31日汇总'!$C:$D,2,0)</f>
        <v>0</v>
      </c>
      <c r="G76" s="3">
        <f>VLOOKUP(C76,'[1]6月汇总'!$C:$D,2,0)</f>
        <v>0</v>
      </c>
      <c r="H76" s="3">
        <f t="shared" si="44"/>
        <v>0</v>
      </c>
      <c r="I76" s="5">
        <f>VLOOKUP(C76,[2]两年对比终版!$A:$C,3,0)</f>
        <v>0</v>
      </c>
      <c r="J76" s="6">
        <f t="shared" si="45"/>
        <v>0</v>
      </c>
      <c r="K76" s="3">
        <v>520</v>
      </c>
      <c r="L76" s="3">
        <v>0</v>
      </c>
      <c r="M76" s="3">
        <f>VLOOKUP(C76,'[1]5月25-5月31日汇总'!$C:$E,3,0)</f>
        <v>0</v>
      </c>
      <c r="N76" s="3">
        <f>VLOOKUP(C76,'[1]6月汇总'!$C:$E,3,0)</f>
        <v>6</v>
      </c>
      <c r="O76" s="3">
        <f t="shared" si="46"/>
        <v>6</v>
      </c>
      <c r="P76" s="5">
        <f>VLOOKUP(C76,[2]两年对比终版!$A:$F,6,0)</f>
        <v>0</v>
      </c>
      <c r="Q76" s="6">
        <f t="shared" si="47"/>
        <v>1.1538461538461499E-2</v>
      </c>
      <c r="R76" s="3">
        <v>15</v>
      </c>
      <c r="S76" s="3">
        <v>0</v>
      </c>
      <c r="T76" s="3">
        <f>VLOOKUP(C76,'[1]5月25-5月31日汇总'!$C:$F,4,0)</f>
        <v>0</v>
      </c>
      <c r="U76" s="3">
        <f>VLOOKUP(C76,'[1]6月汇总'!$C:$F,4,0)</f>
        <v>0</v>
      </c>
      <c r="V76" s="3">
        <f t="shared" si="48"/>
        <v>0</v>
      </c>
      <c r="W76" s="5">
        <f>VLOOKUP(C76,[2]两年对比终版!$A:$N,14,0)</f>
        <v>0</v>
      </c>
      <c r="X76" s="6">
        <f t="shared" si="49"/>
        <v>0</v>
      </c>
      <c r="Y76" s="3">
        <v>210</v>
      </c>
      <c r="Z76" s="3">
        <v>0</v>
      </c>
      <c r="AA76" s="3">
        <f>VLOOKUP(C76,'[1]5月25-5月31日汇总'!$C:$G,5,0)</f>
        <v>0</v>
      </c>
      <c r="AB76" s="3">
        <f>VLOOKUP(C76,'[1]6月汇总'!$C:$G,5,0)</f>
        <v>6</v>
      </c>
      <c r="AC76" s="3">
        <f t="shared" si="50"/>
        <v>6</v>
      </c>
      <c r="AD76" s="5">
        <f>VLOOKUP(C76,[2]两年对比终版!$A:$Q,17,0)</f>
        <v>0</v>
      </c>
      <c r="AE76" s="6">
        <f t="shared" si="51"/>
        <v>2.8571428571428598E-2</v>
      </c>
      <c r="AF76" s="3">
        <v>15</v>
      </c>
      <c r="AG76" s="3">
        <v>0</v>
      </c>
      <c r="AH76" s="3">
        <f>VLOOKUP(C76,'[1]5月25-5月31日汇总'!$C:$H,6,0)</f>
        <v>0</v>
      </c>
      <c r="AI76" s="3">
        <f>VLOOKUP(C76,'[1]6月汇总'!$C:$I,6,0)</f>
        <v>0</v>
      </c>
      <c r="AJ76" s="3">
        <f t="shared" si="52"/>
        <v>0</v>
      </c>
      <c r="AK76" s="5">
        <f>VLOOKUP(C76,[2]两年对比终版!$A:$T,20,0)</f>
        <v>0</v>
      </c>
      <c r="AL76" s="6">
        <f t="shared" si="53"/>
        <v>0</v>
      </c>
      <c r="AM76" s="3">
        <v>210</v>
      </c>
      <c r="AN76" s="3">
        <v>0</v>
      </c>
      <c r="AO76" s="3">
        <f>VLOOKUP(C76,'[1]5月25-5月31日汇总'!$C:$I,7,0)</f>
        <v>3</v>
      </c>
      <c r="AP76" s="3">
        <f>VLOOKUP(C76,'[1]6月汇总'!$C:$I,7,0)</f>
        <v>6</v>
      </c>
      <c r="AQ76" s="3">
        <f t="shared" si="54"/>
        <v>9</v>
      </c>
      <c r="AR76" s="5">
        <f>VLOOKUP(C76,[2]两年对比终版!$A:$X,23,0)</f>
        <v>0</v>
      </c>
      <c r="AS76" s="6">
        <f t="shared" si="55"/>
        <v>4.2857142857142899E-2</v>
      </c>
      <c r="AT76" s="3">
        <v>200</v>
      </c>
      <c r="AU76" s="3">
        <v>2.7262900000000001</v>
      </c>
      <c r="AV76" s="3"/>
      <c r="AW76" s="3"/>
      <c r="AX76" s="3">
        <f t="shared" si="56"/>
        <v>2.7262900000000001</v>
      </c>
      <c r="AY76" s="5">
        <f>VLOOKUP(C76,[2]两年对比终版!$A:$AD,30,0)</f>
        <v>0</v>
      </c>
      <c r="AZ76" s="6">
        <f t="shared" si="57"/>
        <v>1.363145E-2</v>
      </c>
    </row>
    <row r="77" spans="1:52" x14ac:dyDescent="0.15">
      <c r="A77" s="11" t="s">
        <v>95</v>
      </c>
      <c r="B77" s="12"/>
      <c r="C77" s="12"/>
      <c r="D77" s="4">
        <f t="shared" ref="D77:I77" si="60">SUM(D74:D76)</f>
        <v>118</v>
      </c>
      <c r="E77" s="4">
        <f t="shared" si="60"/>
        <v>0</v>
      </c>
      <c r="F77" s="4">
        <f t="shared" si="60"/>
        <v>0</v>
      </c>
      <c r="G77" s="4">
        <f t="shared" si="60"/>
        <v>1</v>
      </c>
      <c r="H77" s="4">
        <f t="shared" si="60"/>
        <v>1</v>
      </c>
      <c r="I77" s="7">
        <f t="shared" si="60"/>
        <v>0</v>
      </c>
      <c r="J77" s="8">
        <f>H77/D77</f>
        <v>8.4745762711864406E-3</v>
      </c>
      <c r="K77" s="4">
        <f t="shared" ref="K77:AY77" si="61">SUM(K74:K76)</f>
        <v>1540</v>
      </c>
      <c r="L77" s="4">
        <f t="shared" si="61"/>
        <v>0</v>
      </c>
      <c r="M77" s="4">
        <f t="shared" si="61"/>
        <v>0</v>
      </c>
      <c r="N77" s="4">
        <f t="shared" si="61"/>
        <v>95</v>
      </c>
      <c r="O77" s="4">
        <f t="shared" si="61"/>
        <v>95</v>
      </c>
      <c r="P77" s="7">
        <f t="shared" si="61"/>
        <v>0</v>
      </c>
      <c r="Q77" s="8">
        <f>O77/K77</f>
        <v>6.1688311688311702E-2</v>
      </c>
      <c r="R77" s="4">
        <f t="shared" si="61"/>
        <v>45</v>
      </c>
      <c r="S77" s="4">
        <f t="shared" si="61"/>
        <v>0</v>
      </c>
      <c r="T77" s="4">
        <f t="shared" si="61"/>
        <v>1</v>
      </c>
      <c r="U77" s="4">
        <f t="shared" si="61"/>
        <v>0</v>
      </c>
      <c r="V77" s="4">
        <f t="shared" si="61"/>
        <v>1</v>
      </c>
      <c r="W77" s="7">
        <f t="shared" si="61"/>
        <v>0</v>
      </c>
      <c r="X77" s="8">
        <f>V77/R77</f>
        <v>2.2222222222222199E-2</v>
      </c>
      <c r="Y77" s="4">
        <f t="shared" si="61"/>
        <v>621</v>
      </c>
      <c r="Z77" s="4">
        <f t="shared" si="61"/>
        <v>0</v>
      </c>
      <c r="AA77" s="4">
        <f t="shared" si="61"/>
        <v>2.2000000000000002</v>
      </c>
      <c r="AB77" s="4">
        <f t="shared" si="61"/>
        <v>6</v>
      </c>
      <c r="AC77" s="4">
        <f t="shared" si="61"/>
        <v>8.1999999999999993</v>
      </c>
      <c r="AD77" s="7">
        <f t="shared" si="61"/>
        <v>0</v>
      </c>
      <c r="AE77" s="8">
        <f>AC77/Y77</f>
        <v>1.32045088566828E-2</v>
      </c>
      <c r="AF77" s="4">
        <f t="shared" si="61"/>
        <v>45</v>
      </c>
      <c r="AG77" s="4">
        <f t="shared" si="61"/>
        <v>0</v>
      </c>
      <c r="AH77" s="4">
        <f t="shared" si="61"/>
        <v>0</v>
      </c>
      <c r="AI77" s="4">
        <f t="shared" si="61"/>
        <v>0</v>
      </c>
      <c r="AJ77" s="4">
        <f t="shared" si="61"/>
        <v>0</v>
      </c>
      <c r="AK77" s="7">
        <f t="shared" si="61"/>
        <v>0</v>
      </c>
      <c r="AL77" s="8">
        <f>AJ77/AF77</f>
        <v>0</v>
      </c>
      <c r="AM77" s="4">
        <f t="shared" si="61"/>
        <v>621</v>
      </c>
      <c r="AN77" s="4">
        <f t="shared" si="61"/>
        <v>0</v>
      </c>
      <c r="AO77" s="4">
        <f t="shared" si="61"/>
        <v>3</v>
      </c>
      <c r="AP77" s="4">
        <f t="shared" si="61"/>
        <v>6</v>
      </c>
      <c r="AQ77" s="4">
        <f t="shared" si="61"/>
        <v>9</v>
      </c>
      <c r="AR77" s="7">
        <f t="shared" si="61"/>
        <v>0</v>
      </c>
      <c r="AS77" s="8">
        <f>AQ77/AM77</f>
        <v>1.4492753623188401E-2</v>
      </c>
      <c r="AT77" s="4">
        <f t="shared" si="61"/>
        <v>590</v>
      </c>
      <c r="AU77" s="4">
        <f t="shared" si="61"/>
        <v>3.81819</v>
      </c>
      <c r="AV77" s="4">
        <f t="shared" si="61"/>
        <v>0</v>
      </c>
      <c r="AW77" s="4">
        <f t="shared" si="61"/>
        <v>0</v>
      </c>
      <c r="AX77" s="4">
        <f t="shared" si="61"/>
        <v>3.81819</v>
      </c>
      <c r="AY77" s="7">
        <f t="shared" si="61"/>
        <v>0</v>
      </c>
      <c r="AZ77" s="8">
        <f>AX77/AT77</f>
        <v>6.4715084745762697E-3</v>
      </c>
    </row>
    <row r="78" spans="1:52" x14ac:dyDescent="0.15">
      <c r="A78" s="2">
        <v>66</v>
      </c>
      <c r="B78" s="2" t="s">
        <v>96</v>
      </c>
      <c r="C78" s="2" t="s">
        <v>97</v>
      </c>
      <c r="D78" s="3">
        <v>0</v>
      </c>
      <c r="E78" s="3">
        <v>0</v>
      </c>
      <c r="F78" s="3">
        <f>VLOOKUP(C78,'[1]5月25-5月31日汇总'!$C:$D,2,0)</f>
        <v>0</v>
      </c>
      <c r="G78" s="3">
        <f>VLOOKUP(C78,'[1]6月汇总'!$C:$D,2,0)</f>
        <v>0</v>
      </c>
      <c r="H78" s="3">
        <f t="shared" si="44"/>
        <v>0</v>
      </c>
      <c r="I78" s="5">
        <f>VLOOKUP(C78,[2]两年对比终版!$A:$C,3,0)</f>
        <v>0</v>
      </c>
      <c r="J78" s="6" t="e">
        <f t="shared" si="45"/>
        <v>#DIV/0!</v>
      </c>
      <c r="K78" s="3">
        <v>1402</v>
      </c>
      <c r="L78" s="3">
        <v>420.70699999999999</v>
      </c>
      <c r="M78" s="3">
        <f>VLOOKUP(C78,'[1]5月25-5月31日汇总'!$C:$E,3,0)</f>
        <v>190</v>
      </c>
      <c r="N78" s="3">
        <f>VLOOKUP(C78,'[1]6月汇总'!$C:$E,3,0)</f>
        <v>316</v>
      </c>
      <c r="O78" s="3">
        <f t="shared" si="46"/>
        <v>926.70699999999999</v>
      </c>
      <c r="P78" s="5">
        <f>VLOOKUP(C78,[2]两年对比终版!$A:$F,6,0)</f>
        <v>1730.42433504</v>
      </c>
      <c r="Q78" s="6">
        <f t="shared" si="47"/>
        <v>0.660989300998573</v>
      </c>
      <c r="R78" s="3">
        <v>0</v>
      </c>
      <c r="S78" s="3">
        <v>0</v>
      </c>
      <c r="T78" s="3">
        <f>VLOOKUP(C78,'[1]5月25-5月31日汇总'!$C:$F,4,0)</f>
        <v>0</v>
      </c>
      <c r="U78" s="3">
        <f>VLOOKUP(C78,'[1]6月汇总'!$C:$F,4,0)</f>
        <v>0</v>
      </c>
      <c r="V78" s="3">
        <f t="shared" si="48"/>
        <v>0</v>
      </c>
      <c r="W78" s="5">
        <f>VLOOKUP(C78,[2]两年对比终版!$A:$N,14,0)</f>
        <v>0</v>
      </c>
      <c r="X78" s="6" t="e">
        <f t="shared" si="49"/>
        <v>#DIV/0!</v>
      </c>
      <c r="Y78" s="3">
        <v>600</v>
      </c>
      <c r="Z78" s="3">
        <v>178.41399999999999</v>
      </c>
      <c r="AA78" s="3">
        <f>VLOOKUP(C78,'[1]5月25-5月31日汇总'!$C:$G,5,0)</f>
        <v>20</v>
      </c>
      <c r="AB78" s="3">
        <f>VLOOKUP(C78,'[1]6月汇总'!$C:$G,5,0)</f>
        <v>206</v>
      </c>
      <c r="AC78" s="3">
        <f t="shared" si="50"/>
        <v>404.41399999999999</v>
      </c>
      <c r="AD78" s="5">
        <f>VLOOKUP(C78,[2]两年对比终版!$A:$Q,17,0)</f>
        <v>488.30637452069999</v>
      </c>
      <c r="AE78" s="6">
        <f t="shared" si="51"/>
        <v>0.67402333333333297</v>
      </c>
      <c r="AF78" s="3">
        <v>0</v>
      </c>
      <c r="AG78" s="3">
        <v>0</v>
      </c>
      <c r="AH78" s="3">
        <f>VLOOKUP(C78,'[1]5月25-5月31日汇总'!$C:$H,6,0)</f>
        <v>0</v>
      </c>
      <c r="AI78" s="3">
        <f>VLOOKUP(C78,'[1]6月汇总'!$C:$I,6,0)</f>
        <v>0</v>
      </c>
      <c r="AJ78" s="3">
        <f t="shared" si="52"/>
        <v>0</v>
      </c>
      <c r="AK78" s="5">
        <f>VLOOKUP(C78,[2]两年对比终版!$A:$T,20,0)</f>
        <v>0</v>
      </c>
      <c r="AL78" s="6" t="e">
        <f t="shared" si="53"/>
        <v>#DIV/0!</v>
      </c>
      <c r="AM78" s="3">
        <v>600</v>
      </c>
      <c r="AN78" s="3">
        <v>38.547199999999997</v>
      </c>
      <c r="AO78" s="3">
        <f>VLOOKUP(C78,'[1]5月25-5月31日汇总'!$C:$I,7,0)</f>
        <v>8</v>
      </c>
      <c r="AP78" s="3">
        <f>VLOOKUP(C78,'[1]6月汇总'!$C:$I,7,0)</f>
        <v>122</v>
      </c>
      <c r="AQ78" s="3">
        <f t="shared" si="54"/>
        <v>168.5472</v>
      </c>
      <c r="AR78" s="5">
        <f>VLOOKUP(C78,[2]两年对比终版!$A:$X,23,0)</f>
        <v>488.30637452069999</v>
      </c>
      <c r="AS78" s="6">
        <f t="shared" si="55"/>
        <v>0.280912</v>
      </c>
      <c r="AT78" s="3">
        <v>570</v>
      </c>
      <c r="AU78" s="3">
        <v>0</v>
      </c>
      <c r="AV78" s="3"/>
      <c r="AW78" s="3"/>
      <c r="AX78" s="3">
        <f t="shared" si="56"/>
        <v>0</v>
      </c>
      <c r="AY78" s="5">
        <f>VLOOKUP(C78,[2]两年对比终版!$A:$AD,30,0)</f>
        <v>488.30637452069999</v>
      </c>
      <c r="AZ78" s="6">
        <f t="shared" si="57"/>
        <v>0</v>
      </c>
    </row>
    <row r="79" spans="1:52" x14ac:dyDescent="0.15">
      <c r="A79" s="2">
        <v>67</v>
      </c>
      <c r="B79" s="2" t="s">
        <v>96</v>
      </c>
      <c r="C79" s="2" t="s">
        <v>98</v>
      </c>
      <c r="D79" s="3">
        <v>0</v>
      </c>
      <c r="E79" s="3">
        <v>0</v>
      </c>
      <c r="F79" s="3">
        <f>VLOOKUP(C79,'[1]5月25-5月31日汇总'!$C:$D,2,0)</f>
        <v>0</v>
      </c>
      <c r="G79" s="3">
        <f>VLOOKUP(C79,'[1]6月汇总'!$C:$D,2,0)</f>
        <v>0</v>
      </c>
      <c r="H79" s="3">
        <f t="shared" si="44"/>
        <v>0</v>
      </c>
      <c r="I79" s="5">
        <f>VLOOKUP(C79,[2]两年对比终版!$A:$C,3,0)</f>
        <v>0</v>
      </c>
      <c r="J79" s="6" t="e">
        <f t="shared" si="45"/>
        <v>#DIV/0!</v>
      </c>
      <c r="K79" s="3">
        <v>720</v>
      </c>
      <c r="L79" s="3">
        <v>143.33000000000001</v>
      </c>
      <c r="M79" s="3">
        <f>VLOOKUP(C79,'[1]5月25-5月31日汇总'!$C:$E,3,0)</f>
        <v>0</v>
      </c>
      <c r="N79" s="3">
        <f>VLOOKUP(C79,'[1]6月汇总'!$C:$E,3,0)</f>
        <v>0</v>
      </c>
      <c r="O79" s="3">
        <f t="shared" si="46"/>
        <v>143.33000000000001</v>
      </c>
      <c r="P79" s="5">
        <f>VLOOKUP(C79,[2]两年对比终版!$A:$F,6,0)</f>
        <v>0</v>
      </c>
      <c r="Q79" s="6">
        <f t="shared" si="47"/>
        <v>0.19906944444444399</v>
      </c>
      <c r="R79" s="3">
        <v>0</v>
      </c>
      <c r="S79" s="3">
        <v>0</v>
      </c>
      <c r="T79" s="3">
        <f>VLOOKUP(C79,'[1]5月25-5月31日汇总'!$C:$F,4,0)</f>
        <v>0</v>
      </c>
      <c r="U79" s="3">
        <f>VLOOKUP(C79,'[1]6月汇总'!$C:$F,4,0)</f>
        <v>0</v>
      </c>
      <c r="V79" s="3">
        <f t="shared" si="48"/>
        <v>0</v>
      </c>
      <c r="W79" s="5">
        <f>VLOOKUP(C79,[2]两年对比终版!$A:$N,14,0)</f>
        <v>0</v>
      </c>
      <c r="X79" s="6" t="e">
        <f t="shared" si="49"/>
        <v>#DIV/0!</v>
      </c>
      <c r="Y79" s="3">
        <v>300</v>
      </c>
      <c r="Z79" s="3">
        <v>0</v>
      </c>
      <c r="AA79" s="3">
        <f>VLOOKUP(C79,'[1]5月25-5月31日汇总'!$C:$G,5,0)</f>
        <v>0</v>
      </c>
      <c r="AB79" s="3">
        <f>VLOOKUP(C79,'[1]6月汇总'!$C:$G,5,0)</f>
        <v>0</v>
      </c>
      <c r="AC79" s="3">
        <f t="shared" si="50"/>
        <v>0</v>
      </c>
      <c r="AD79" s="5">
        <f>VLOOKUP(C79,[2]两年对比终版!$A:$Q,17,0)</f>
        <v>0</v>
      </c>
      <c r="AE79" s="6">
        <f t="shared" si="51"/>
        <v>0</v>
      </c>
      <c r="AF79" s="3">
        <v>0</v>
      </c>
      <c r="AG79" s="3">
        <v>0</v>
      </c>
      <c r="AH79" s="3">
        <f>VLOOKUP(C79,'[1]5月25-5月31日汇总'!$C:$H,6,0)</f>
        <v>0</v>
      </c>
      <c r="AI79" s="3">
        <f>VLOOKUP(C79,'[1]6月汇总'!$C:$I,6,0)</f>
        <v>0</v>
      </c>
      <c r="AJ79" s="3">
        <f t="shared" si="52"/>
        <v>0</v>
      </c>
      <c r="AK79" s="5">
        <f>VLOOKUP(C79,[2]两年对比终版!$A:$T,20,0)</f>
        <v>0</v>
      </c>
      <c r="AL79" s="6" t="e">
        <f t="shared" si="53"/>
        <v>#DIV/0!</v>
      </c>
      <c r="AM79" s="3">
        <v>300</v>
      </c>
      <c r="AN79" s="3">
        <v>0</v>
      </c>
      <c r="AO79" s="3">
        <f>VLOOKUP(C79,'[1]5月25-5月31日汇总'!$C:$I,7,0)</f>
        <v>0</v>
      </c>
      <c r="AP79" s="3">
        <f>VLOOKUP(C79,'[1]6月汇总'!$C:$I,7,0)</f>
        <v>0</v>
      </c>
      <c r="AQ79" s="3">
        <f t="shared" si="54"/>
        <v>0</v>
      </c>
      <c r="AR79" s="5">
        <f>VLOOKUP(C79,[2]两年对比终版!$A:$X,23,0)</f>
        <v>0</v>
      </c>
      <c r="AS79" s="6">
        <f t="shared" si="55"/>
        <v>0</v>
      </c>
      <c r="AT79" s="3">
        <v>285</v>
      </c>
      <c r="AU79" s="3">
        <v>0</v>
      </c>
      <c r="AV79" s="3"/>
      <c r="AW79" s="3"/>
      <c r="AX79" s="3">
        <f t="shared" si="56"/>
        <v>0</v>
      </c>
      <c r="AY79" s="5">
        <f>VLOOKUP(C79,[2]两年对比终版!$A:$AD,30,0)</f>
        <v>0</v>
      </c>
      <c r="AZ79" s="6">
        <f t="shared" si="57"/>
        <v>0</v>
      </c>
    </row>
    <row r="80" spans="1:52" x14ac:dyDescent="0.15">
      <c r="A80" s="2">
        <v>68</v>
      </c>
      <c r="B80" s="2" t="s">
        <v>96</v>
      </c>
      <c r="C80" s="2" t="s">
        <v>99</v>
      </c>
      <c r="D80" s="3">
        <v>0</v>
      </c>
      <c r="E80" s="3">
        <v>0</v>
      </c>
      <c r="F80" s="3">
        <f>VLOOKUP(C80,'[1]5月25-5月31日汇总'!$C:$D,2,0)</f>
        <v>0</v>
      </c>
      <c r="G80" s="3">
        <f>VLOOKUP(C80,'[1]6月汇总'!$C:$D,2,0)</f>
        <v>0</v>
      </c>
      <c r="H80" s="3">
        <f t="shared" si="44"/>
        <v>0</v>
      </c>
      <c r="I80" s="5">
        <f>VLOOKUP(C80,[2]两年对比终版!$A:$C,3,0)</f>
        <v>0</v>
      </c>
      <c r="J80" s="6" t="e">
        <f t="shared" si="45"/>
        <v>#DIV/0!</v>
      </c>
      <c r="K80" s="3">
        <v>720</v>
      </c>
      <c r="L80" s="3">
        <v>211.179</v>
      </c>
      <c r="M80" s="3">
        <f>VLOOKUP(C80,'[1]5月25-5月31日汇总'!$C:$E,3,0)</f>
        <v>99</v>
      </c>
      <c r="N80" s="3">
        <f>VLOOKUP(C80,'[1]6月汇总'!$C:$E,3,0)</f>
        <v>53</v>
      </c>
      <c r="O80" s="3">
        <f t="shared" si="46"/>
        <v>363.17899999999997</v>
      </c>
      <c r="P80" s="5">
        <f>VLOOKUP(C80,[2]两年对比终版!$A:$F,6,0)</f>
        <v>0</v>
      </c>
      <c r="Q80" s="6">
        <f t="shared" si="47"/>
        <v>0.50441527777777795</v>
      </c>
      <c r="R80" s="3">
        <v>0</v>
      </c>
      <c r="S80" s="3">
        <v>0</v>
      </c>
      <c r="T80" s="3">
        <f>VLOOKUP(C80,'[1]5月25-5月31日汇总'!$C:$F,4,0)</f>
        <v>0</v>
      </c>
      <c r="U80" s="3">
        <f>VLOOKUP(C80,'[1]6月汇总'!$C:$F,4,0)</f>
        <v>0</v>
      </c>
      <c r="V80" s="3">
        <f t="shared" si="48"/>
        <v>0</v>
      </c>
      <c r="W80" s="5">
        <f>VLOOKUP(C80,[2]两年对比终版!$A:$N,14,0)</f>
        <v>0</v>
      </c>
      <c r="X80" s="6" t="e">
        <f t="shared" si="49"/>
        <v>#DIV/0!</v>
      </c>
      <c r="Y80" s="3">
        <v>300</v>
      </c>
      <c r="Z80" s="3">
        <v>7.1211200000000003</v>
      </c>
      <c r="AA80" s="3">
        <f>VLOOKUP(C80,'[1]5月25-5月31日汇总'!$C:$G,5,0)</f>
        <v>0</v>
      </c>
      <c r="AB80" s="3">
        <f>VLOOKUP(C80,'[1]6月汇总'!$C:$G,5,0)</f>
        <v>160</v>
      </c>
      <c r="AC80" s="3">
        <f t="shared" si="50"/>
        <v>167.12111999999999</v>
      </c>
      <c r="AD80" s="5">
        <f>VLOOKUP(C80,[2]两年对比终版!$A:$Q,17,0)</f>
        <v>0</v>
      </c>
      <c r="AE80" s="6">
        <f t="shared" si="51"/>
        <v>0.55707039999999997</v>
      </c>
      <c r="AF80" s="3">
        <v>0</v>
      </c>
      <c r="AG80" s="3">
        <v>0</v>
      </c>
      <c r="AH80" s="3">
        <f>VLOOKUP(C80,'[1]5月25-5月31日汇总'!$C:$H,6,0)</f>
        <v>0</v>
      </c>
      <c r="AI80" s="3">
        <f>VLOOKUP(C80,'[1]6月汇总'!$C:$I,6,0)</f>
        <v>0</v>
      </c>
      <c r="AJ80" s="3">
        <f t="shared" si="52"/>
        <v>0</v>
      </c>
      <c r="AK80" s="5">
        <f>VLOOKUP(C80,[2]两年对比终版!$A:$T,20,0)</f>
        <v>0</v>
      </c>
      <c r="AL80" s="6" t="e">
        <f t="shared" si="53"/>
        <v>#DIV/0!</v>
      </c>
      <c r="AM80" s="3">
        <v>300</v>
      </c>
      <c r="AN80" s="3">
        <v>7.1211200000000003</v>
      </c>
      <c r="AO80" s="3">
        <f>VLOOKUP(C80,'[1]5月25-5月31日汇总'!$C:$I,7,0)</f>
        <v>0</v>
      </c>
      <c r="AP80" s="3">
        <f>VLOOKUP(C80,'[1]6月汇总'!$C:$I,7,0)</f>
        <v>0</v>
      </c>
      <c r="AQ80" s="3">
        <f t="shared" si="54"/>
        <v>7.1211200000000003</v>
      </c>
      <c r="AR80" s="5">
        <f>VLOOKUP(C80,[2]两年对比终版!$A:$X,23,0)</f>
        <v>0</v>
      </c>
      <c r="AS80" s="6">
        <f t="shared" si="55"/>
        <v>2.3737066666666699E-2</v>
      </c>
      <c r="AT80" s="3">
        <v>285</v>
      </c>
      <c r="AU80" s="3">
        <v>0</v>
      </c>
      <c r="AV80" s="3"/>
      <c r="AW80" s="3"/>
      <c r="AX80" s="3">
        <f t="shared" si="56"/>
        <v>0</v>
      </c>
      <c r="AY80" s="5">
        <f>VLOOKUP(C80,[2]两年对比终版!$A:$AD,30,0)</f>
        <v>0</v>
      </c>
      <c r="AZ80" s="6">
        <f t="shared" si="57"/>
        <v>0</v>
      </c>
    </row>
    <row r="81" spans="1:52" x14ac:dyDescent="0.15">
      <c r="A81" s="2">
        <v>69</v>
      </c>
      <c r="B81" s="2" t="s">
        <v>96</v>
      </c>
      <c r="C81" s="2" t="s">
        <v>100</v>
      </c>
      <c r="D81" s="3">
        <v>0</v>
      </c>
      <c r="E81" s="3">
        <v>0</v>
      </c>
      <c r="F81" s="3">
        <f>VLOOKUP(C81,'[1]5月25-5月31日汇总'!$C:$D,2,0)</f>
        <v>0</v>
      </c>
      <c r="G81" s="3">
        <f>VLOOKUP(C81,'[1]6月汇总'!$C:$D,2,0)</f>
        <v>0</v>
      </c>
      <c r="H81" s="3">
        <f t="shared" si="44"/>
        <v>0</v>
      </c>
      <c r="I81" s="5">
        <f>VLOOKUP(C81,[2]两年对比终版!$A:$C,3,0)</f>
        <v>0</v>
      </c>
      <c r="J81" s="6" t="e">
        <f t="shared" si="45"/>
        <v>#DIV/0!</v>
      </c>
      <c r="K81" s="3">
        <v>4800</v>
      </c>
      <c r="L81" s="3">
        <v>1499.58545510197</v>
      </c>
      <c r="M81" s="3">
        <f>VLOOKUP(C81,'[1]5月25-5月31日汇总'!$C:$E,3,0)</f>
        <v>245</v>
      </c>
      <c r="N81" s="3">
        <f>VLOOKUP(C81,'[1]6月汇总'!$C:$E,3,0)</f>
        <v>415</v>
      </c>
      <c r="O81" s="3">
        <f t="shared" si="46"/>
        <v>2159.5854551019702</v>
      </c>
      <c r="P81" s="5">
        <f>VLOOKUP(C81,[2]两年对比终版!$A:$F,6,0)</f>
        <v>2015.4942814075</v>
      </c>
      <c r="Q81" s="6">
        <f t="shared" si="47"/>
        <v>0.449913636479576</v>
      </c>
      <c r="R81" s="3">
        <v>0</v>
      </c>
      <c r="S81" s="3">
        <v>0</v>
      </c>
      <c r="T81" s="3">
        <f>VLOOKUP(C81,'[1]5月25-5月31日汇总'!$C:$F,4,0)</f>
        <v>0</v>
      </c>
      <c r="U81" s="3">
        <f>VLOOKUP(C81,'[1]6月汇总'!$C:$F,4,0)</f>
        <v>0</v>
      </c>
      <c r="V81" s="3">
        <f t="shared" si="48"/>
        <v>0</v>
      </c>
      <c r="W81" s="5">
        <f>VLOOKUP(C81,[2]两年对比终版!$A:$N,14,0)</f>
        <v>0</v>
      </c>
      <c r="X81" s="6" t="e">
        <f t="shared" si="49"/>
        <v>#DIV/0!</v>
      </c>
      <c r="Y81" s="3">
        <v>2000</v>
      </c>
      <c r="Z81" s="3">
        <v>598.79237372398404</v>
      </c>
      <c r="AA81" s="3">
        <f>VLOOKUP(C81,'[1]5月25-5月31日汇总'!$C:$G,5,0)</f>
        <v>20</v>
      </c>
      <c r="AB81" s="3">
        <f>VLOOKUP(C81,'[1]6月汇总'!$C:$G,5,0)</f>
        <v>290</v>
      </c>
      <c r="AC81" s="3">
        <f t="shared" si="50"/>
        <v>908.79237372398404</v>
      </c>
      <c r="AD81" s="5">
        <f>VLOOKUP(C81,[2]两年对比终版!$A:$Q,17,0)</f>
        <v>752.97</v>
      </c>
      <c r="AE81" s="6">
        <f t="shared" si="51"/>
        <v>0.45439618686199201</v>
      </c>
      <c r="AF81" s="3">
        <v>0</v>
      </c>
      <c r="AG81" s="3">
        <v>0</v>
      </c>
      <c r="AH81" s="3">
        <f>VLOOKUP(C81,'[1]5月25-5月31日汇总'!$C:$H,6,0)</f>
        <v>0</v>
      </c>
      <c r="AI81" s="3">
        <f>VLOOKUP(C81,'[1]6月汇总'!$C:$I,6,0)</f>
        <v>0</v>
      </c>
      <c r="AJ81" s="3">
        <f t="shared" si="52"/>
        <v>0</v>
      </c>
      <c r="AK81" s="5">
        <f>VLOOKUP(C81,[2]两年对比终版!$A:$T,20,0)</f>
        <v>0</v>
      </c>
      <c r="AL81" s="6" t="e">
        <f t="shared" si="53"/>
        <v>#DIV/0!</v>
      </c>
      <c r="AM81" s="3">
        <v>2000</v>
      </c>
      <c r="AN81" s="3">
        <v>524.43510000000003</v>
      </c>
      <c r="AO81" s="3">
        <f>VLOOKUP(C81,'[1]5月25-5月31日汇总'!$C:$I,7,0)</f>
        <v>13</v>
      </c>
      <c r="AP81" s="3">
        <f>VLOOKUP(C81,'[1]6月汇总'!$C:$I,7,0)</f>
        <v>106.39</v>
      </c>
      <c r="AQ81" s="3">
        <f t="shared" si="54"/>
        <v>643.82510000000002</v>
      </c>
      <c r="AR81" s="5">
        <f>VLOOKUP(C81,[2]两年对比终版!$A:$X,23,0)</f>
        <v>752.97</v>
      </c>
      <c r="AS81" s="6">
        <f t="shared" si="55"/>
        <v>0.32191255000000002</v>
      </c>
      <c r="AT81" s="3">
        <v>1900</v>
      </c>
      <c r="AU81" s="3">
        <v>0</v>
      </c>
      <c r="AV81" s="3"/>
      <c r="AW81" s="3"/>
      <c r="AX81" s="3">
        <f t="shared" si="56"/>
        <v>0</v>
      </c>
      <c r="AY81" s="5">
        <f>VLOOKUP(C81,[2]两年对比终版!$A:$AD,30,0)</f>
        <v>752.97</v>
      </c>
      <c r="AZ81" s="6">
        <f t="shared" si="57"/>
        <v>0</v>
      </c>
    </row>
    <row r="82" spans="1:52" x14ac:dyDescent="0.15">
      <c r="A82" s="2">
        <v>70</v>
      </c>
      <c r="B82" s="2" t="s">
        <v>96</v>
      </c>
      <c r="C82" s="2" t="s">
        <v>101</v>
      </c>
      <c r="D82" s="3">
        <v>0</v>
      </c>
      <c r="E82" s="3">
        <v>0</v>
      </c>
      <c r="F82" s="3">
        <f>VLOOKUP(C82,'[1]5月25-5月31日汇总'!$C:$D,2,0)</f>
        <v>0</v>
      </c>
      <c r="G82" s="3">
        <f>VLOOKUP(C82,'[1]6月汇总'!$C:$D,2,0)</f>
        <v>0</v>
      </c>
      <c r="H82" s="3">
        <f t="shared" si="44"/>
        <v>0</v>
      </c>
      <c r="I82" s="5">
        <f>VLOOKUP(C82,[2]两年对比终版!$A:$C,3,0)</f>
        <v>0</v>
      </c>
      <c r="J82" s="6" t="e">
        <f t="shared" si="45"/>
        <v>#DIV/0!</v>
      </c>
      <c r="K82" s="3">
        <v>2400</v>
      </c>
      <c r="L82" s="3">
        <v>635.10064687500005</v>
      </c>
      <c r="M82" s="3">
        <f>VLOOKUP(C82,'[1]5月25-5月31日汇总'!$C:$E,3,0)</f>
        <v>122.5</v>
      </c>
      <c r="N82" s="3">
        <f>VLOOKUP(C82,'[1]6月汇总'!$C:$E,3,0)</f>
        <v>393</v>
      </c>
      <c r="O82" s="3">
        <f t="shared" si="46"/>
        <v>1150.6006468749999</v>
      </c>
      <c r="P82" s="5">
        <f>VLOOKUP(C82,[2]两年对比终版!$A:$F,6,0)</f>
        <v>0</v>
      </c>
      <c r="Q82" s="6">
        <f t="shared" si="47"/>
        <v>0.47941693619791698</v>
      </c>
      <c r="R82" s="3">
        <v>0</v>
      </c>
      <c r="S82" s="3">
        <v>0</v>
      </c>
      <c r="T82" s="3">
        <f>VLOOKUP(C82,'[1]5月25-5月31日汇总'!$C:$F,4,0)</f>
        <v>0</v>
      </c>
      <c r="U82" s="3">
        <f>VLOOKUP(C82,'[1]6月汇总'!$C:$F,4,0)</f>
        <v>0</v>
      </c>
      <c r="V82" s="3">
        <f t="shared" si="48"/>
        <v>0</v>
      </c>
      <c r="W82" s="5">
        <f>VLOOKUP(C82,[2]两年对比终版!$A:$N,14,0)</f>
        <v>0</v>
      </c>
      <c r="X82" s="6" t="e">
        <f t="shared" si="49"/>
        <v>#DIV/0!</v>
      </c>
      <c r="Y82" s="3">
        <v>1000</v>
      </c>
      <c r="Z82" s="3">
        <v>30.39004375</v>
      </c>
      <c r="AA82" s="3">
        <f>VLOOKUP(C82,'[1]5月25-5月31日汇总'!$C:$G,5,0)</f>
        <v>10</v>
      </c>
      <c r="AB82" s="3">
        <f>VLOOKUP(C82,'[1]6月汇总'!$C:$G,5,0)</f>
        <v>450</v>
      </c>
      <c r="AC82" s="3">
        <f t="shared" si="50"/>
        <v>490.39004375000002</v>
      </c>
      <c r="AD82" s="5">
        <f>VLOOKUP(C82,[2]两年对比终版!$A:$Q,17,0)</f>
        <v>0</v>
      </c>
      <c r="AE82" s="6">
        <f t="shared" si="51"/>
        <v>0.49039004375</v>
      </c>
      <c r="AF82" s="3">
        <v>0</v>
      </c>
      <c r="AG82" s="3">
        <v>0</v>
      </c>
      <c r="AH82" s="3">
        <f>VLOOKUP(C82,'[1]5月25-5月31日汇总'!$C:$H,6,0)</f>
        <v>0</v>
      </c>
      <c r="AI82" s="3">
        <f>VLOOKUP(C82,'[1]6月汇总'!$C:$I,6,0)</f>
        <v>0</v>
      </c>
      <c r="AJ82" s="3">
        <f t="shared" si="52"/>
        <v>0</v>
      </c>
      <c r="AK82" s="5">
        <f>VLOOKUP(C82,[2]两年对比终版!$A:$T,20,0)</f>
        <v>0</v>
      </c>
      <c r="AL82" s="6" t="e">
        <f t="shared" si="53"/>
        <v>#DIV/0!</v>
      </c>
      <c r="AM82" s="3">
        <v>1000</v>
      </c>
      <c r="AN82" s="3">
        <v>6.8597999999999999</v>
      </c>
      <c r="AO82" s="3">
        <f>VLOOKUP(C82,'[1]5月25-5月31日汇总'!$C:$I,7,0)</f>
        <v>0</v>
      </c>
      <c r="AP82" s="3">
        <f>VLOOKUP(C82,'[1]6月汇总'!$C:$I,7,0)</f>
        <v>53</v>
      </c>
      <c r="AQ82" s="3">
        <f t="shared" si="54"/>
        <v>59.8598</v>
      </c>
      <c r="AR82" s="5">
        <f>VLOOKUP(C82,[2]两年对比终版!$A:$X,23,0)</f>
        <v>0</v>
      </c>
      <c r="AS82" s="6">
        <f t="shared" si="55"/>
        <v>5.9859799999999998E-2</v>
      </c>
      <c r="AT82" s="3">
        <v>950</v>
      </c>
      <c r="AU82" s="3">
        <v>0</v>
      </c>
      <c r="AV82" s="3"/>
      <c r="AW82" s="3"/>
      <c r="AX82" s="3">
        <f t="shared" si="56"/>
        <v>0</v>
      </c>
      <c r="AY82" s="5">
        <f>VLOOKUP(C82,[2]两年对比终版!$A:$AD,30,0)</f>
        <v>0</v>
      </c>
      <c r="AZ82" s="6">
        <f t="shared" si="57"/>
        <v>0</v>
      </c>
    </row>
    <row r="83" spans="1:52" x14ac:dyDescent="0.15">
      <c r="A83" s="2">
        <v>71</v>
      </c>
      <c r="B83" s="2" t="s">
        <v>96</v>
      </c>
      <c r="C83" s="2" t="s">
        <v>102</v>
      </c>
      <c r="D83" s="3">
        <v>0</v>
      </c>
      <c r="E83" s="3">
        <v>0</v>
      </c>
      <c r="F83" s="3">
        <f>VLOOKUP(C83,'[1]5月25-5月31日汇总'!$C:$D,2,0)</f>
        <v>0</v>
      </c>
      <c r="G83" s="3">
        <f>VLOOKUP(C83,'[1]6月汇总'!$C:$D,2,0)</f>
        <v>0</v>
      </c>
      <c r="H83" s="3">
        <f t="shared" si="44"/>
        <v>0</v>
      </c>
      <c r="I83" s="5">
        <f>VLOOKUP(C83,[2]两年对比终版!$A:$C,3,0)</f>
        <v>0</v>
      </c>
      <c r="J83" s="6" t="e">
        <f t="shared" si="45"/>
        <v>#DIV/0!</v>
      </c>
      <c r="K83" s="3">
        <v>1960</v>
      </c>
      <c r="L83" s="3">
        <v>713.15364899999997</v>
      </c>
      <c r="M83" s="3">
        <f>VLOOKUP(C83,'[1]5月25-5月31日汇总'!$C:$E,3,0)</f>
        <v>110</v>
      </c>
      <c r="N83" s="3">
        <f>VLOOKUP(C83,'[1]6月汇总'!$C:$E,3,0)</f>
        <v>190</v>
      </c>
      <c r="O83" s="3">
        <f t="shared" si="46"/>
        <v>1013.153649</v>
      </c>
      <c r="P83" s="5">
        <f>VLOOKUP(C83,[2]两年对比终版!$A:$F,6,0)</f>
        <v>272.31968899999998</v>
      </c>
      <c r="Q83" s="6">
        <f t="shared" si="47"/>
        <v>0.51691512704081599</v>
      </c>
      <c r="R83" s="3">
        <v>0</v>
      </c>
      <c r="S83" s="3">
        <v>0</v>
      </c>
      <c r="T83" s="3">
        <f>VLOOKUP(C83,'[1]5月25-5月31日汇总'!$C:$F,4,0)</f>
        <v>0</v>
      </c>
      <c r="U83" s="3">
        <f>VLOOKUP(C83,'[1]6月汇总'!$C:$F,4,0)</f>
        <v>0</v>
      </c>
      <c r="V83" s="3">
        <f t="shared" si="48"/>
        <v>0</v>
      </c>
      <c r="W83" s="5">
        <f>VLOOKUP(C83,[2]两年对比终版!$A:$N,14,0)</f>
        <v>0</v>
      </c>
      <c r="X83" s="6" t="e">
        <f t="shared" si="49"/>
        <v>#DIV/0!</v>
      </c>
      <c r="Y83" s="3">
        <v>1000</v>
      </c>
      <c r="Z83" s="3">
        <v>294.01467300000002</v>
      </c>
      <c r="AA83" s="3">
        <f>VLOOKUP(C83,'[1]5月25-5月31日汇总'!$C:$G,5,0)</f>
        <v>50</v>
      </c>
      <c r="AB83" s="3">
        <f>VLOOKUP(C83,'[1]6月汇总'!$C:$G,5,0)</f>
        <v>100</v>
      </c>
      <c r="AC83" s="3">
        <f t="shared" si="50"/>
        <v>444.01467300000002</v>
      </c>
      <c r="AD83" s="5">
        <f>VLOOKUP(C83,[2]两年对比终版!$A:$Q,17,0)</f>
        <v>272.31968899999998</v>
      </c>
      <c r="AE83" s="6">
        <f t="shared" si="51"/>
        <v>0.44401467300000003</v>
      </c>
      <c r="AF83" s="3">
        <v>0</v>
      </c>
      <c r="AG83" s="3">
        <v>0</v>
      </c>
      <c r="AH83" s="3">
        <f>VLOOKUP(C83,'[1]5月25-5月31日汇总'!$C:$H,6,0)</f>
        <v>0</v>
      </c>
      <c r="AI83" s="3">
        <f>VLOOKUP(C83,'[1]6月汇总'!$C:$I,6,0)</f>
        <v>0</v>
      </c>
      <c r="AJ83" s="3">
        <f t="shared" si="52"/>
        <v>0</v>
      </c>
      <c r="AK83" s="5" t="str">
        <f>VLOOKUP(C83,[2]两年对比终版!$A:$T,20,0)</f>
        <v>-</v>
      </c>
      <c r="AL83" s="6" t="e">
        <f t="shared" si="53"/>
        <v>#DIV/0!</v>
      </c>
      <c r="AM83" s="3">
        <v>1000</v>
      </c>
      <c r="AN83" s="3">
        <v>45.716740000000001</v>
      </c>
      <c r="AO83" s="3">
        <f>VLOOKUP(C83,'[1]5月25-5月31日汇总'!$C:$I,7,0)</f>
        <v>20</v>
      </c>
      <c r="AP83" s="3">
        <f>VLOOKUP(C83,'[1]6月汇总'!$C:$I,7,0)</f>
        <v>100</v>
      </c>
      <c r="AQ83" s="3">
        <f t="shared" si="54"/>
        <v>165.71673999999999</v>
      </c>
      <c r="AR83" s="5">
        <f>VLOOKUP(C83,[2]两年对比终版!$A:$X,23,0)</f>
        <v>153.30144100000001</v>
      </c>
      <c r="AS83" s="6">
        <f t="shared" si="55"/>
        <v>0.16571674</v>
      </c>
      <c r="AT83" s="3">
        <v>950</v>
      </c>
      <c r="AU83" s="3">
        <v>0</v>
      </c>
      <c r="AV83" s="3"/>
      <c r="AW83" s="3"/>
      <c r="AX83" s="3">
        <f t="shared" si="56"/>
        <v>0</v>
      </c>
      <c r="AY83" s="5">
        <f>VLOOKUP(C83,[2]两年对比终版!$A:$AD,30,0)</f>
        <v>175.72447038803099</v>
      </c>
      <c r="AZ83" s="6">
        <f t="shared" si="57"/>
        <v>0</v>
      </c>
    </row>
    <row r="84" spans="1:52" x14ac:dyDescent="0.15">
      <c r="A84" s="11" t="s">
        <v>103</v>
      </c>
      <c r="B84" s="12"/>
      <c r="C84" s="12"/>
      <c r="D84" s="4">
        <f t="shared" ref="D84:I84" si="62">SUM(D78:D83)</f>
        <v>0</v>
      </c>
      <c r="E84" s="4">
        <f t="shared" si="62"/>
        <v>0</v>
      </c>
      <c r="F84" s="4">
        <f t="shared" si="62"/>
        <v>0</v>
      </c>
      <c r="G84" s="4">
        <f t="shared" si="62"/>
        <v>0</v>
      </c>
      <c r="H84" s="4">
        <f t="shared" si="62"/>
        <v>0</v>
      </c>
      <c r="I84" s="7">
        <f t="shared" si="62"/>
        <v>0</v>
      </c>
      <c r="J84" s="8" t="e">
        <f>H84/D84</f>
        <v>#DIV/0!</v>
      </c>
      <c r="K84" s="4">
        <f t="shared" ref="K84:AY84" si="63">SUM(K78:K83)</f>
        <v>12002</v>
      </c>
      <c r="L84" s="4">
        <f t="shared" si="63"/>
        <v>3623.0557509769701</v>
      </c>
      <c r="M84" s="4">
        <f t="shared" si="63"/>
        <v>766.5</v>
      </c>
      <c r="N84" s="4">
        <f t="shared" si="63"/>
        <v>1367</v>
      </c>
      <c r="O84" s="4">
        <f t="shared" si="63"/>
        <v>5756.5557509769696</v>
      </c>
      <c r="P84" s="7">
        <f t="shared" si="63"/>
        <v>4018.2383054474999</v>
      </c>
      <c r="Q84" s="8">
        <f>O84/K84</f>
        <v>0.47963304040801302</v>
      </c>
      <c r="R84" s="4">
        <f t="shared" si="63"/>
        <v>0</v>
      </c>
      <c r="S84" s="4">
        <f t="shared" si="63"/>
        <v>0</v>
      </c>
      <c r="T84" s="4">
        <f t="shared" si="63"/>
        <v>0</v>
      </c>
      <c r="U84" s="4">
        <f t="shared" si="63"/>
        <v>0</v>
      </c>
      <c r="V84" s="4">
        <f t="shared" si="63"/>
        <v>0</v>
      </c>
      <c r="W84" s="7">
        <f t="shared" si="63"/>
        <v>0</v>
      </c>
      <c r="X84" s="8" t="e">
        <f>V84/R84</f>
        <v>#DIV/0!</v>
      </c>
      <c r="Y84" s="4">
        <f t="shared" si="63"/>
        <v>5200</v>
      </c>
      <c r="Z84" s="4">
        <f t="shared" si="63"/>
        <v>1108.7322104739801</v>
      </c>
      <c r="AA84" s="4">
        <f t="shared" si="63"/>
        <v>100</v>
      </c>
      <c r="AB84" s="4">
        <f t="shared" si="63"/>
        <v>1206</v>
      </c>
      <c r="AC84" s="4">
        <f t="shared" si="63"/>
        <v>2414.7322104739801</v>
      </c>
      <c r="AD84" s="7">
        <f t="shared" si="63"/>
        <v>1513.5960635207</v>
      </c>
      <c r="AE84" s="8">
        <f>AC84/Y84</f>
        <v>0.46437157893730502</v>
      </c>
      <c r="AF84" s="4">
        <f t="shared" si="63"/>
        <v>0</v>
      </c>
      <c r="AG84" s="4">
        <f t="shared" si="63"/>
        <v>0</v>
      </c>
      <c r="AH84" s="4">
        <f t="shared" si="63"/>
        <v>0</v>
      </c>
      <c r="AI84" s="4">
        <f t="shared" si="63"/>
        <v>0</v>
      </c>
      <c r="AJ84" s="4">
        <f t="shared" si="63"/>
        <v>0</v>
      </c>
      <c r="AK84" s="7">
        <f t="shared" si="63"/>
        <v>0</v>
      </c>
      <c r="AL84" s="8" t="e">
        <f>AJ84/AF84</f>
        <v>#DIV/0!</v>
      </c>
      <c r="AM84" s="4">
        <f t="shared" si="63"/>
        <v>5200</v>
      </c>
      <c r="AN84" s="4">
        <f t="shared" si="63"/>
        <v>622.67996000000005</v>
      </c>
      <c r="AO84" s="4">
        <f t="shared" si="63"/>
        <v>41</v>
      </c>
      <c r="AP84" s="4">
        <f t="shared" si="63"/>
        <v>381.39</v>
      </c>
      <c r="AQ84" s="4">
        <f t="shared" si="63"/>
        <v>1045.06996</v>
      </c>
      <c r="AR84" s="7">
        <f t="shared" si="63"/>
        <v>1394.5778155207001</v>
      </c>
      <c r="AS84" s="8">
        <f>AQ84/AM84</f>
        <v>0.200974992307692</v>
      </c>
      <c r="AT84" s="4">
        <f t="shared" si="63"/>
        <v>4940</v>
      </c>
      <c r="AU84" s="4">
        <f t="shared" si="63"/>
        <v>0</v>
      </c>
      <c r="AV84" s="4">
        <f t="shared" si="63"/>
        <v>0</v>
      </c>
      <c r="AW84" s="4">
        <f t="shared" si="63"/>
        <v>0</v>
      </c>
      <c r="AX84" s="4">
        <f t="shared" si="63"/>
        <v>0</v>
      </c>
      <c r="AY84" s="7">
        <f t="shared" si="63"/>
        <v>1417.0008449087311</v>
      </c>
      <c r="AZ84" s="8">
        <f>AX84/AT84</f>
        <v>0</v>
      </c>
    </row>
    <row r="85" spans="1:52" x14ac:dyDescent="0.15">
      <c r="A85" s="11" t="s">
        <v>104</v>
      </c>
      <c r="B85" s="12"/>
      <c r="C85" s="12"/>
      <c r="D85" s="4">
        <f t="shared" ref="D85:H85" si="64">D15+D25+D37+D47+D56+D66+D73+D77+D84</f>
        <v>15930</v>
      </c>
      <c r="E85" s="4">
        <f t="shared" si="64"/>
        <v>4868</v>
      </c>
      <c r="F85" s="4">
        <f t="shared" si="64"/>
        <v>514</v>
      </c>
      <c r="G85" s="4">
        <f t="shared" si="64"/>
        <v>1758</v>
      </c>
      <c r="H85" s="4">
        <f t="shared" si="64"/>
        <v>7140</v>
      </c>
      <c r="I85" s="9">
        <f t="shared" ref="I85:AY85" si="65">I15+I25+I37+I47+I56+I66+I73+I77+I84</f>
        <v>7711</v>
      </c>
      <c r="J85" s="8">
        <f>H85/D85</f>
        <v>0.44821092278719399</v>
      </c>
      <c r="K85" s="4">
        <f t="shared" si="65"/>
        <v>245000.01699999999</v>
      </c>
      <c r="L85" s="4">
        <f t="shared" si="65"/>
        <v>73426.927250976994</v>
      </c>
      <c r="M85" s="4">
        <f t="shared" si="65"/>
        <v>8962.1167999999998</v>
      </c>
      <c r="N85" s="4">
        <f t="shared" si="65"/>
        <v>21050.517199999998</v>
      </c>
      <c r="O85" s="4">
        <f t="shared" si="65"/>
        <v>103439.561250977</v>
      </c>
      <c r="P85" s="9">
        <f t="shared" si="65"/>
        <v>111158.54658744743</v>
      </c>
      <c r="Q85" s="8">
        <f>O85/K85</f>
        <v>0.42220226152464702</v>
      </c>
      <c r="R85" s="4">
        <f t="shared" si="65"/>
        <v>6500.3197</v>
      </c>
      <c r="S85" s="4">
        <f t="shared" si="65"/>
        <v>1859</v>
      </c>
      <c r="T85" s="4">
        <f t="shared" si="65"/>
        <v>107</v>
      </c>
      <c r="U85" s="4">
        <f t="shared" si="65"/>
        <v>582</v>
      </c>
      <c r="V85" s="4">
        <f t="shared" si="65"/>
        <v>2548</v>
      </c>
      <c r="W85" s="9">
        <f t="shared" si="65"/>
        <v>2387</v>
      </c>
      <c r="X85" s="8">
        <f>V85/R85</f>
        <v>0.39198072057902</v>
      </c>
      <c r="Y85" s="4">
        <f t="shared" si="65"/>
        <v>100000.413</v>
      </c>
      <c r="Z85" s="4">
        <f t="shared" si="65"/>
        <v>29600.004010474</v>
      </c>
      <c r="AA85" s="4">
        <f t="shared" si="65"/>
        <v>1539.64</v>
      </c>
      <c r="AB85" s="4">
        <f t="shared" si="65"/>
        <v>7514.4359999999997</v>
      </c>
      <c r="AC85" s="4">
        <f t="shared" si="65"/>
        <v>38654.080010473997</v>
      </c>
      <c r="AD85" s="9">
        <f t="shared" si="65"/>
        <v>36453.58034052069</v>
      </c>
      <c r="AE85" s="8">
        <f>AC85/Y85</f>
        <v>0.38653920369782901</v>
      </c>
      <c r="AF85" s="4">
        <f t="shared" si="65"/>
        <v>6500.3197</v>
      </c>
      <c r="AG85" s="4">
        <f t="shared" si="65"/>
        <v>1439</v>
      </c>
      <c r="AH85" s="4">
        <f t="shared" si="65"/>
        <v>57</v>
      </c>
      <c r="AI85" s="4">
        <f t="shared" si="65"/>
        <v>673</v>
      </c>
      <c r="AJ85" s="4">
        <f t="shared" si="65"/>
        <v>2169</v>
      </c>
      <c r="AK85" s="9">
        <f t="shared" si="65"/>
        <v>1643</v>
      </c>
      <c r="AL85" s="8">
        <f>AJ85/AF85</f>
        <v>0.333675895971701</v>
      </c>
      <c r="AM85" s="4">
        <f t="shared" si="65"/>
        <v>100000.413</v>
      </c>
      <c r="AN85" s="4">
        <f t="shared" si="65"/>
        <v>25798.22536</v>
      </c>
      <c r="AO85" s="4">
        <f t="shared" si="65"/>
        <v>646.66999999999996</v>
      </c>
      <c r="AP85" s="4">
        <f t="shared" si="65"/>
        <v>8903.9823636000001</v>
      </c>
      <c r="AQ85" s="4">
        <f t="shared" si="65"/>
        <v>35348.877723600002</v>
      </c>
      <c r="AR85" s="9">
        <f t="shared" si="65"/>
        <v>27286.975442520696</v>
      </c>
      <c r="AS85" s="8">
        <f>AQ85/AM85</f>
        <v>0.35348731733337901</v>
      </c>
      <c r="AT85" s="4">
        <f t="shared" si="65"/>
        <v>95000</v>
      </c>
      <c r="AU85" s="4">
        <f t="shared" si="65"/>
        <v>13012.73487</v>
      </c>
      <c r="AV85" s="4">
        <f t="shared" si="65"/>
        <v>0</v>
      </c>
      <c r="AW85" s="4">
        <f t="shared" si="65"/>
        <v>0</v>
      </c>
      <c r="AX85" s="4">
        <f t="shared" si="65"/>
        <v>13012.73487</v>
      </c>
      <c r="AY85" s="9">
        <f t="shared" si="65"/>
        <v>31987.644188834882</v>
      </c>
      <c r="AZ85" s="8">
        <f>AX85/AT85</f>
        <v>0.13697615652631601</v>
      </c>
    </row>
  </sheetData>
  <autoFilter ref="A4:AZ85"/>
  <mergeCells count="21">
    <mergeCell ref="A1:AZ1"/>
    <mergeCell ref="D3:J3"/>
    <mergeCell ref="K3:Q3"/>
    <mergeCell ref="R3:X3"/>
    <mergeCell ref="Y3:AE3"/>
    <mergeCell ref="AF3:AL3"/>
    <mergeCell ref="AM3:AS3"/>
    <mergeCell ref="AT3:AZ3"/>
    <mergeCell ref="A3:A4"/>
    <mergeCell ref="B3:B4"/>
    <mergeCell ref="C3:C4"/>
    <mergeCell ref="A15:C15"/>
    <mergeCell ref="A25:C25"/>
    <mergeCell ref="A37:C37"/>
    <mergeCell ref="A47:C47"/>
    <mergeCell ref="A56:C56"/>
    <mergeCell ref="A66:C66"/>
    <mergeCell ref="A73:C73"/>
    <mergeCell ref="A77:C77"/>
    <mergeCell ref="A84:C84"/>
    <mergeCell ref="A85:C85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</vt:lpstr>
      <vt:lpstr>明细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2026-05-26T03:00:00Z</dcterms:created>
  <dcterms:modified xsi:type="dcterms:W3CDTF">2026-05-26T07:10:48Z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4C6F20D9D7A4467899F63F7D90F569C5_13</vt:lpwstr>
  </property>
  <property fmtid="{D5CDD505-2E9C-101B-9397-08002B2CF9AE}" pid="3" name="KSOProductBuildVer">
    <vt:lpwstr>2052-12.1.0.16729</vt:lpwstr>
  </property>
  <property fmtid="{D5CDD505-2E9C-101B-9397-08002B2CF9AE}" pid="4" name="KSOReadingLayout">
    <vt:bool>true</vt:bool>
  </property>
</Properties>
</file>