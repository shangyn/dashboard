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1" fontId="5" fillId="37" borderId="1" applyAlignment="1" pivotButton="0" quotePrefix="0" xfId="0">
      <alignment horizontal="center" vertical="center"/>
    </xf>
    <xf numFmtId="166" fontId="5" fillId="37" borderId="1" applyAlignment="1" pivotButton="0" quotePrefix="0" xfId="0">
      <alignment horizontal="center" vertical="center"/>
    </xf>
    <xf numFmtId="164" fontId="5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1" fontId="5" fillId="38" borderId="1" applyAlignment="1" pivotButton="0" quotePrefix="0" xfId="0">
      <alignment horizontal="center" vertical="center"/>
    </xf>
    <xf numFmtId="166" fontId="5" fillId="38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2026年6月签单排产发货情况</t>
        </is>
      </c>
    </row>
    <row r="2" ht="16" customHeight="1">
      <c r="A2" s="3" t="inlineStr">
        <is>
          <t>报表日期：2026-07-01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俄罗斯（西南）</t>
        </is>
      </c>
      <c r="C5" s="8" t="n">
        <v>80</v>
      </c>
      <c r="D5" s="8" t="n">
        <v>102</v>
      </c>
      <c r="E5" s="24">
        <f>IF(C5=0,IF(D5=0,0,1),D5/C5)</f>
        <v/>
      </c>
      <c r="F5" s="25" t="n">
        <v>1600</v>
      </c>
      <c r="G5" s="25" t="n">
        <v>3000.069999999998</v>
      </c>
      <c r="H5" s="24">
        <f>IF(F5=0,IF(G5=0,0,1),G5/F5)</f>
        <v/>
      </c>
      <c r="I5" s="8" t="n">
        <v>23</v>
      </c>
      <c r="J5" s="8" t="n">
        <v>25</v>
      </c>
      <c r="K5" s="24">
        <f>IF(I5=0,IF(J5=0,0,1),J5/I5)</f>
        <v/>
      </c>
      <c r="L5" s="25" t="n">
        <v>370</v>
      </c>
      <c r="M5" s="25" t="n">
        <v>423.727464</v>
      </c>
      <c r="N5" s="24">
        <f>IF(L5=0,IF(M5=0,0,1),M5/L5)</f>
        <v/>
      </c>
      <c r="O5" s="8" t="n">
        <v>4</v>
      </c>
      <c r="P5" s="8" t="n">
        <v>4</v>
      </c>
      <c r="Q5" s="24">
        <f>IF(O5=0,IF(P5=0,0,1),P5/O5)</f>
        <v/>
      </c>
      <c r="R5" s="25" t="n">
        <v>53</v>
      </c>
      <c r="S5" s="25" t="n">
        <v>51.84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俄罗斯（东部）</t>
        </is>
      </c>
      <c r="C6" s="8" t="n">
        <v>31</v>
      </c>
      <c r="D6" s="8" t="n">
        <v>31</v>
      </c>
      <c r="E6" s="24">
        <f>IF(C6=0,IF(D6=0,0,1),D6/C6)</f>
        <v/>
      </c>
      <c r="F6" s="25" t="n">
        <v>364</v>
      </c>
      <c r="G6" s="25" t="n">
        <v>701.2799999999997</v>
      </c>
      <c r="H6" s="24">
        <f>IF(F6=0,IF(G6=0,0,1),G6/F6)</f>
        <v/>
      </c>
      <c r="I6" s="8" t="n">
        <v>10</v>
      </c>
      <c r="J6" s="8" t="n">
        <v>2</v>
      </c>
      <c r="K6" s="24">
        <f>IF(I6=0,IF(J6=0,0,1),J6/I6)</f>
        <v/>
      </c>
      <c r="L6" s="25" t="n">
        <v>180</v>
      </c>
      <c r="M6" s="25" t="n">
        <v>19.06</v>
      </c>
      <c r="N6" s="24">
        <f>IF(L6=0,IF(M6=0,0,1),M6/L6)</f>
        <v/>
      </c>
      <c r="O6" s="8" t="n">
        <v>27</v>
      </c>
      <c r="P6" s="8" t="n">
        <v>28</v>
      </c>
      <c r="Q6" s="24">
        <f>IF(O6=0,IF(P6=0,0,1),P6/O6)</f>
        <v/>
      </c>
      <c r="R6" s="25" t="n">
        <v>374</v>
      </c>
      <c r="S6" s="25" t="n">
        <v>424.28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俄罗斯（中部）</t>
        </is>
      </c>
      <c r="C7" s="8" t="n">
        <v>100</v>
      </c>
      <c r="D7" s="8" t="n">
        <v>131</v>
      </c>
      <c r="E7" s="24">
        <f>IF(C7=0,IF(D7=0,0,1),D7/C7)</f>
        <v/>
      </c>
      <c r="F7" s="25" t="n">
        <v>1800</v>
      </c>
      <c r="G7" s="25" t="n">
        <v>4992.780000000001</v>
      </c>
      <c r="H7" s="24">
        <f>IF(F7=0,IF(G7=0,0,1),G7/F7)</f>
        <v/>
      </c>
      <c r="I7" s="8" t="n">
        <v>19</v>
      </c>
      <c r="J7" s="8" t="n">
        <v>90</v>
      </c>
      <c r="K7" s="24">
        <f>IF(I7=0,IF(J7=0,0,1),J7/I7)</f>
        <v/>
      </c>
      <c r="L7" s="25" t="n">
        <v>350</v>
      </c>
      <c r="M7" s="25" t="n">
        <v>2273.609999999998</v>
      </c>
      <c r="N7" s="24">
        <f>IF(L7=0,IF(M7=0,0,1),M7/L7)</f>
        <v/>
      </c>
      <c r="O7" s="8" t="n">
        <v>182</v>
      </c>
      <c r="P7" s="8" t="n">
        <v>99</v>
      </c>
      <c r="Q7" s="24">
        <f>IF(O7=0,IF(P7=0,0,1),P7/O7)</f>
        <v/>
      </c>
      <c r="R7" s="25" t="n">
        <v>2937</v>
      </c>
      <c r="S7" s="25" t="n">
        <v>1609.949999999999</v>
      </c>
      <c r="T7" s="24">
        <f>IF(R7=0,IF(S7=0,0,1),S7/R7)</f>
        <v/>
      </c>
    </row>
    <row r="8" ht="14" customHeight="1">
      <c r="A8" s="6" t="n">
        <v>4</v>
      </c>
      <c r="B8" s="7" t="inlineStr">
        <is>
          <t>俄罗斯（西部）</t>
        </is>
      </c>
      <c r="C8" s="8" t="n">
        <v>25</v>
      </c>
      <c r="D8" s="8" t="n">
        <v>235</v>
      </c>
      <c r="E8" s="24">
        <f>IF(C8=0,IF(D8=0,0,1),D8/C8)</f>
        <v/>
      </c>
      <c r="F8" s="25" t="n">
        <v>450</v>
      </c>
      <c r="G8" s="25" t="n">
        <v>6851.259999999994</v>
      </c>
      <c r="H8" s="24">
        <f>IF(F8=0,IF(G8=0,0,1),G8/F8)</f>
        <v/>
      </c>
      <c r="I8" s="8" t="n">
        <v>36</v>
      </c>
      <c r="J8" s="8" t="n">
        <v>43</v>
      </c>
      <c r="K8" s="24">
        <f>IF(I8=0,IF(J8=0,0,1),J8/I8)</f>
        <v/>
      </c>
      <c r="L8" s="25" t="n">
        <v>550</v>
      </c>
      <c r="M8" s="25" t="n">
        <v>1282.02</v>
      </c>
      <c r="N8" s="24">
        <f>IF(L8=0,IF(M8=0,0,1),M8/L8)</f>
        <v/>
      </c>
      <c r="O8" s="8" t="n">
        <v>0</v>
      </c>
      <c r="P8" s="8" t="n">
        <v>109</v>
      </c>
      <c r="Q8" s="24">
        <f>IF(O8=0,IF(P8=0,0,1),P8/O8)</f>
        <v/>
      </c>
      <c r="R8" s="25" t="n">
        <v>0</v>
      </c>
      <c r="S8" s="25" t="n">
        <v>1762.2</v>
      </c>
      <c r="T8" s="24">
        <f>IF(R8=0,IF(S8=0,0,1),S8/R8)</f>
        <v/>
      </c>
    </row>
    <row r="9" ht="14" customHeight="1">
      <c r="A9" s="6" t="n">
        <v>5</v>
      </c>
      <c r="B9" s="7" t="inlineStr">
        <is>
          <t>俄罗斯（中南）</t>
        </is>
      </c>
      <c r="C9" s="8" t="n">
        <v>70</v>
      </c>
      <c r="D9" s="8" t="n">
        <v>43</v>
      </c>
      <c r="E9" s="24">
        <f>IF(C9=0,IF(D9=0,0,1),D9/C9)</f>
        <v/>
      </c>
      <c r="F9" s="25" t="n">
        <v>900</v>
      </c>
      <c r="G9" s="25" t="n">
        <v>1342.78</v>
      </c>
      <c r="H9" s="24">
        <f>IF(F9=0,IF(G9=0,0,1),G9/F9)</f>
        <v/>
      </c>
      <c r="I9" s="8" t="n">
        <v>25</v>
      </c>
      <c r="J9" s="8" t="n">
        <v>0</v>
      </c>
      <c r="K9" s="24">
        <f>IF(I9=0,IF(J9=0,0,1),J9/I9)</f>
        <v/>
      </c>
      <c r="L9" s="25" t="n">
        <v>300</v>
      </c>
      <c r="M9" s="25" t="n">
        <v>0</v>
      </c>
      <c r="N9" s="24">
        <f>IF(L9=0,IF(M9=0,0,1),M9/L9)</f>
        <v/>
      </c>
      <c r="O9" s="8" t="n">
        <v>31</v>
      </c>
      <c r="P9" s="8" t="n">
        <v>9</v>
      </c>
      <c r="Q9" s="24">
        <f>IF(O9=0,IF(P9=0,0,1),P9/O9)</f>
        <v/>
      </c>
      <c r="R9" s="25" t="n">
        <v>292.7166</v>
      </c>
      <c r="S9" s="25" t="n">
        <v>84.89840000000001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罗斯托夫</t>
        </is>
      </c>
      <c r="C10" s="8" t="n">
        <v>33</v>
      </c>
      <c r="D10" s="8" t="n">
        <v>111</v>
      </c>
      <c r="E10" s="24">
        <f>IF(C10=0,IF(D10=0,0,1),D10/C10)</f>
        <v/>
      </c>
      <c r="F10" s="25" t="n">
        <v>354</v>
      </c>
      <c r="G10" s="25" t="n">
        <v>2033.040000000002</v>
      </c>
      <c r="H10" s="24">
        <f>IF(F10=0,IF(G10=0,0,1),G10/F10)</f>
        <v/>
      </c>
      <c r="I10" s="8" t="n">
        <v>13</v>
      </c>
      <c r="J10" s="8" t="n">
        <v>60</v>
      </c>
      <c r="K10" s="24">
        <f>IF(I10=0,IF(J10=0,0,1),J10/I10)</f>
        <v/>
      </c>
      <c r="L10" s="25" t="n">
        <v>176</v>
      </c>
      <c r="M10" s="25" t="n">
        <v>637.7700000000003</v>
      </c>
      <c r="N10" s="24">
        <f>IF(L10=0,IF(M10=0,0,1),M10/L10)</f>
        <v/>
      </c>
      <c r="O10" s="8" t="n">
        <v>4</v>
      </c>
      <c r="P10" s="8" t="n">
        <v>3</v>
      </c>
      <c r="Q10" s="24">
        <f>IF(O10=0,IF(P10=0,0,1),P10/O10)</f>
        <v/>
      </c>
      <c r="R10" s="25" t="n">
        <v>37</v>
      </c>
      <c r="S10" s="25" t="n">
        <v>28.77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哈巴</t>
        </is>
      </c>
      <c r="C11" s="8" t="n">
        <v>12</v>
      </c>
      <c r="D11" s="8" t="n">
        <v>28</v>
      </c>
      <c r="E11" s="24">
        <f>IF(C11=0,IF(D11=0,0,1),D11/C11)</f>
        <v/>
      </c>
      <c r="F11" s="25" t="n">
        <v>134.1</v>
      </c>
      <c r="G11" s="25" t="n">
        <v>279.95</v>
      </c>
      <c r="H11" s="24">
        <f>IF(F11=0,IF(G11=0,0,1),G11/F11)</f>
        <v/>
      </c>
      <c r="I11" s="8" t="n">
        <v>20</v>
      </c>
      <c r="J11" s="8" t="n">
        <v>28</v>
      </c>
      <c r="K11" s="24">
        <f>IF(I11=0,IF(J11=0,0,1),J11/I11)</f>
        <v/>
      </c>
      <c r="L11" s="25" t="n">
        <v>169.3</v>
      </c>
      <c r="M11" s="25" t="n">
        <v>279.95</v>
      </c>
      <c r="N11" s="24">
        <f>IF(L11=0,IF(M11=0,0,1),M11/L11)</f>
        <v/>
      </c>
      <c r="O11" s="8" t="n">
        <v>4</v>
      </c>
      <c r="P11" s="8" t="n">
        <v>4</v>
      </c>
      <c r="Q11" s="24">
        <f>IF(O11=0,IF(P11=0,0,1),P11/O11)</f>
        <v/>
      </c>
      <c r="R11" s="25" t="n">
        <v>43.4</v>
      </c>
      <c r="S11" s="25" t="n">
        <v>43.48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14</v>
      </c>
      <c r="D12" s="8" t="n">
        <v>72</v>
      </c>
      <c r="E12" s="24">
        <f>IF(C12=0,IF(D12=0,0,1),D12/C12)</f>
        <v/>
      </c>
      <c r="F12" s="25" t="n">
        <v>118</v>
      </c>
      <c r="G12" s="25" t="n">
        <v>527.5444130000001</v>
      </c>
      <c r="H12" s="24">
        <f>IF(F12=0,IF(G12=0,0,1),G12/F12)</f>
        <v/>
      </c>
      <c r="I12" s="8" t="n">
        <v>6</v>
      </c>
      <c r="J12" s="8" t="n">
        <v>0</v>
      </c>
      <c r="K12" s="24">
        <f>IF(I12=0,IF(J12=0,0,1),J12/I12)</f>
        <v/>
      </c>
      <c r="L12" s="25" t="n">
        <v>49</v>
      </c>
      <c r="M12" s="25" t="n">
        <v>0</v>
      </c>
      <c r="N12" s="24">
        <f>IF(L12=0,IF(M12=0,0,1),M12/L12)</f>
        <v/>
      </c>
      <c r="O12" s="8" t="n">
        <v>6</v>
      </c>
      <c r="P12" s="8" t="n">
        <v>0</v>
      </c>
      <c r="Q12" s="24">
        <f>IF(O12=0,IF(P12=0,0,1),P12/O12)</f>
        <v/>
      </c>
      <c r="R12" s="25" t="n">
        <v>49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26" t="inlineStr">
        <is>
          <t>俄罗斯合计</t>
        </is>
      </c>
      <c r="B15" s="12" t="n"/>
      <c r="C15" s="27">
        <f>SUM(C5:C14)</f>
        <v/>
      </c>
      <c r="D15" s="27">
        <f>SUM(D5:D14)</f>
        <v/>
      </c>
      <c r="E15" s="28">
        <f>IF(C15=0,IF(D15=0,0,1),D15/C15)</f>
        <v/>
      </c>
      <c r="F15" s="29">
        <f>SUM(F5:F14)</f>
        <v/>
      </c>
      <c r="G15" s="29">
        <f>SUM(G5:G14)</f>
        <v/>
      </c>
      <c r="H15" s="28">
        <f>IF(F15=0,IF(G15=0,0,1),G15/F15)</f>
        <v/>
      </c>
      <c r="I15" s="27">
        <f>SUM(I5:I14)</f>
        <v/>
      </c>
      <c r="J15" s="27">
        <f>SUM(J5:J14)</f>
        <v/>
      </c>
      <c r="K15" s="28">
        <f>IF(I15=0,IF(J15=0,0,1),J15/I15)</f>
        <v/>
      </c>
      <c r="L15" s="29">
        <f>SUM(L5:L14)</f>
        <v/>
      </c>
      <c r="M15" s="29">
        <f>SUM(M5:M14)</f>
        <v/>
      </c>
      <c r="N15" s="28">
        <f>IF(L15=0,IF(M15=0,0,1),M15/L15)</f>
        <v/>
      </c>
      <c r="O15" s="27">
        <f>SUM(O5:O14)</f>
        <v/>
      </c>
      <c r="P15" s="27">
        <f>SUM(P5:P14)</f>
        <v/>
      </c>
      <c r="Q15" s="28">
        <f>IF(O15=0,IF(P15=0,0,1),P15/O15)</f>
        <v/>
      </c>
      <c r="R15" s="29">
        <f>SUM(R5:R14)</f>
        <v/>
      </c>
      <c r="S15" s="29">
        <f>SUM(S5:S14)</f>
        <v/>
      </c>
      <c r="T15" s="28">
        <f>IF(R15=0,IF(S15=0,0,1),S15/R15)</f>
        <v/>
      </c>
    </row>
    <row r="16" ht="14" customHeight="1">
      <c r="A16" s="6" t="n">
        <v>11</v>
      </c>
      <c r="B16" s="7" t="inlineStr">
        <is>
          <t>马尔代夫</t>
        </is>
      </c>
      <c r="C16" s="8" t="n">
        <v>4</v>
      </c>
      <c r="D16" s="8" t="n">
        <v>3</v>
      </c>
      <c r="E16" s="24">
        <f>IF(C16=0,IF(D16=0,0,1),D16/C16)</f>
        <v/>
      </c>
      <c r="F16" s="25" t="n">
        <v>40</v>
      </c>
      <c r="G16" s="25" t="n">
        <v>51.85</v>
      </c>
      <c r="H16" s="24">
        <f>IF(F16=0,IF(G16=0,0,1),G16/F16)</f>
        <v/>
      </c>
      <c r="I16" s="8" t="n">
        <v>2</v>
      </c>
      <c r="J16" s="8" t="n">
        <v>0</v>
      </c>
      <c r="K16" s="24">
        <f>IF(I16=0,IF(J16=0,0,1),J16/I16)</f>
        <v/>
      </c>
      <c r="L16" s="25" t="n">
        <v>20</v>
      </c>
      <c r="M16" s="25" t="n">
        <v>0</v>
      </c>
      <c r="N16" s="24">
        <f>IF(L16=0,IF(M16=0,0,1),M16/L16)</f>
        <v/>
      </c>
      <c r="O16" s="8" t="n">
        <v>4</v>
      </c>
      <c r="P16" s="8" t="n">
        <v>1</v>
      </c>
      <c r="Q16" s="24">
        <f>IF(O16=0,IF(P16=0,0,1),P16/O16)</f>
        <v/>
      </c>
      <c r="R16" s="25" t="n">
        <v>30</v>
      </c>
      <c r="S16" s="25" t="n">
        <v>12.24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泰国</t>
        </is>
      </c>
      <c r="C17" s="8" t="n">
        <v>10</v>
      </c>
      <c r="D17" s="8" t="n">
        <v>6</v>
      </c>
      <c r="E17" s="24">
        <f>IF(C17=0,IF(D17=0,0,1),D17/C17)</f>
        <v/>
      </c>
      <c r="F17" s="25" t="n">
        <v>80</v>
      </c>
      <c r="G17" s="25" t="n">
        <v>67.076328</v>
      </c>
      <c r="H17" s="24">
        <f>IF(F17=0,IF(G17=0,0,1),G17/F17)</f>
        <v/>
      </c>
      <c r="I17" s="8" t="n">
        <v>2</v>
      </c>
      <c r="J17" s="8" t="n">
        <v>2</v>
      </c>
      <c r="K17" s="24">
        <f>IF(I17=0,IF(J17=0,0,1),J17/I17)</f>
        <v/>
      </c>
      <c r="L17" s="25" t="n">
        <v>18.34</v>
      </c>
      <c r="M17" s="25" t="n">
        <v>26.263028</v>
      </c>
      <c r="N17" s="24">
        <f>IF(L17=0,IF(M17=0,0,1),M17/L17)</f>
        <v/>
      </c>
      <c r="O17" s="8" t="n">
        <v>3</v>
      </c>
      <c r="P17" s="8" t="n">
        <v>1</v>
      </c>
      <c r="Q17" s="24">
        <f>IF(O17=0,IF(P17=0,0,1),P17/O17)</f>
        <v/>
      </c>
      <c r="R17" s="25" t="n">
        <v>37.73</v>
      </c>
      <c r="S17" s="25" t="n">
        <v>15.08364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金三角</t>
        </is>
      </c>
      <c r="C18" s="8" t="n">
        <v>6</v>
      </c>
      <c r="D18" s="8" t="n">
        <v>9</v>
      </c>
      <c r="E18" s="24">
        <f>IF(C18=0,IF(D18=0,0,1),D18/C18)</f>
        <v/>
      </c>
      <c r="F18" s="25" t="n">
        <v>30</v>
      </c>
      <c r="G18" s="25" t="n">
        <v>72.22999999999999</v>
      </c>
      <c r="H18" s="24">
        <f>IF(F18=0,IF(G18=0,0,1),G18/F18)</f>
        <v/>
      </c>
      <c r="I18" s="8" t="n">
        <v>0</v>
      </c>
      <c r="J18" s="8" t="n">
        <v>0</v>
      </c>
      <c r="K18" s="24">
        <f>IF(I18=0,IF(J18=0,0,1),J18/I18)</f>
        <v/>
      </c>
      <c r="L18" s="25" t="n">
        <v>0</v>
      </c>
      <c r="M18" s="25" t="n">
        <v>0</v>
      </c>
      <c r="N18" s="24">
        <f>IF(L18=0,IF(M18=0,0,1),M18/L18)</f>
        <v/>
      </c>
      <c r="O18" s="8" t="n">
        <v>0</v>
      </c>
      <c r="P18" s="8" t="n">
        <v>0</v>
      </c>
      <c r="Q18" s="24">
        <f>IF(O18=0,IF(P18=0,0,1),P18/O18)</f>
        <v/>
      </c>
      <c r="R18" s="25" t="n">
        <v>0</v>
      </c>
      <c r="S18" s="25" t="n">
        <v>0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朝鲜-韩国</t>
        </is>
      </c>
      <c r="C19" s="8" t="n">
        <v>10</v>
      </c>
      <c r="D19" s="8" t="n">
        <v>0</v>
      </c>
      <c r="E19" s="24">
        <f>IF(C19=0,IF(D19=0,0,1),D19/C19)</f>
        <v/>
      </c>
      <c r="F19" s="25" t="n">
        <v>8</v>
      </c>
      <c r="G19" s="25" t="n">
        <v>0</v>
      </c>
      <c r="H19" s="24">
        <f>IF(F19=0,IF(G19=0,0,1),G19/F19)</f>
        <v/>
      </c>
      <c r="I19" s="8" t="n">
        <v>8</v>
      </c>
      <c r="J19" s="8" t="n">
        <v>0</v>
      </c>
      <c r="K19" s="24">
        <f>IF(I19=0,IF(J19=0,0,1),J19/I19)</f>
        <v/>
      </c>
      <c r="L19" s="25" t="n">
        <v>48</v>
      </c>
      <c r="M19" s="25" t="n">
        <v>0</v>
      </c>
      <c r="N19" s="24">
        <f>IF(L19=0,IF(M19=0,0,1),M19/L19)</f>
        <v/>
      </c>
      <c r="O19" s="8" t="n">
        <v>6</v>
      </c>
      <c r="P19" s="8" t="n">
        <v>0</v>
      </c>
      <c r="Q19" s="24">
        <f>IF(O19=0,IF(P19=0,0,1),P19/O19)</f>
        <v/>
      </c>
      <c r="R19" s="25" t="n">
        <v>60</v>
      </c>
      <c r="S19" s="25" t="n">
        <v>0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香港-台湾</t>
        </is>
      </c>
      <c r="C20" s="8" t="n">
        <v>10</v>
      </c>
      <c r="D20" s="8" t="n">
        <v>10</v>
      </c>
      <c r="E20" s="24">
        <f>IF(C20=0,IF(D20=0,0,1),D20/C20)</f>
        <v/>
      </c>
      <c r="F20" s="25" t="n">
        <v>50</v>
      </c>
      <c r="G20" s="25" t="n">
        <v>57.7</v>
      </c>
      <c r="H20" s="24">
        <f>IF(F20=0,IF(G20=0,0,1),G20/F20)</f>
        <v/>
      </c>
      <c r="I20" s="8" t="n">
        <v>0</v>
      </c>
      <c r="J20" s="8" t="n">
        <v>0</v>
      </c>
      <c r="K20" s="24">
        <f>IF(I20=0,IF(J20=0,0,1),J20/I20)</f>
        <v/>
      </c>
      <c r="L20" s="25" t="n">
        <v>0</v>
      </c>
      <c r="M20" s="25" t="n">
        <v>0</v>
      </c>
      <c r="N20" s="24">
        <f>IF(L20=0,IF(M20=0,0,1),M20/L20)</f>
        <v/>
      </c>
      <c r="O20" s="8" t="n">
        <v>0</v>
      </c>
      <c r="P20" s="8" t="n">
        <v>0</v>
      </c>
      <c r="Q20" s="24">
        <f>IF(O20=0,IF(P20=0,0,1),P20/O20)</f>
        <v/>
      </c>
      <c r="R20" s="25" t="n">
        <v>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泰国2</t>
        </is>
      </c>
      <c r="C21" s="8" t="n">
        <v>20</v>
      </c>
      <c r="D21" s="8" t="n">
        <v>19</v>
      </c>
      <c r="E21" s="24">
        <f>IF(C21=0,IF(D21=0,0,1),D21/C21)</f>
        <v/>
      </c>
      <c r="F21" s="25" t="n">
        <v>160</v>
      </c>
      <c r="G21" s="25" t="n">
        <v>222.4547000000001</v>
      </c>
      <c r="H21" s="24">
        <f>IF(F21=0,IF(G21=0,0,1),G21/F21)</f>
        <v/>
      </c>
      <c r="I21" s="8" t="n">
        <v>10</v>
      </c>
      <c r="J21" s="8" t="n">
        <v>13</v>
      </c>
      <c r="K21" s="24">
        <f>IF(I21=0,IF(J21=0,0,1),J21/I21)</f>
        <v/>
      </c>
      <c r="L21" s="25" t="n">
        <v>100</v>
      </c>
      <c r="M21" s="25" t="n">
        <v>101.7347</v>
      </c>
      <c r="N21" s="24">
        <f>IF(L21=0,IF(M21=0,0,1),M21/L21)</f>
        <v/>
      </c>
      <c r="O21" s="8" t="n">
        <v>5</v>
      </c>
      <c r="P21" s="8" t="n">
        <v>5</v>
      </c>
      <c r="Q21" s="24">
        <f>IF(O21=0,IF(P21=0,0,1),P21/O21)</f>
        <v/>
      </c>
      <c r="R21" s="25" t="n">
        <v>40</v>
      </c>
      <c r="S21" s="25" t="n">
        <v>37.89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2</v>
      </c>
      <c r="D22" s="8" t="n">
        <v>5</v>
      </c>
      <c r="E22" s="24">
        <f>IF(C22=0,IF(D22=0,0,1),D22/C22)</f>
        <v/>
      </c>
      <c r="F22" s="25" t="n">
        <v>47</v>
      </c>
      <c r="G22" s="25" t="n">
        <v>76.89</v>
      </c>
      <c r="H22" s="24">
        <f>IF(F22=0,IF(G22=0,0,1),G22/F22)</f>
        <v/>
      </c>
      <c r="I22" s="8" t="n">
        <v>9</v>
      </c>
      <c r="J22" s="8" t="n">
        <v>4</v>
      </c>
      <c r="K22" s="24">
        <f>IF(I22=0,IF(J22=0,0,1),J22/I22)</f>
        <v/>
      </c>
      <c r="L22" s="25" t="n">
        <v>200</v>
      </c>
      <c r="M22" s="25" t="n">
        <v>72.50999999999999</v>
      </c>
      <c r="N22" s="24">
        <f>IF(L22=0,IF(M22=0,0,1),M22/L22)</f>
        <v/>
      </c>
      <c r="O22" s="8" t="n">
        <v>12</v>
      </c>
      <c r="P22" s="8" t="n">
        <v>6</v>
      </c>
      <c r="Q22" s="24">
        <f>IF(O22=0,IF(P22=0,0,1),P22/O22)</f>
        <v/>
      </c>
      <c r="R22" s="25" t="n">
        <v>260</v>
      </c>
      <c r="S22" s="25" t="n">
        <v>208.79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新加坡市政会</t>
        </is>
      </c>
      <c r="C23" s="8" t="n">
        <v>47</v>
      </c>
      <c r="D23" s="8" t="n">
        <v>52</v>
      </c>
      <c r="E23" s="24">
        <f>IF(C23=0,IF(D23=0,0,1),D23/C23)</f>
        <v/>
      </c>
      <c r="F23" s="25" t="n">
        <v>1000</v>
      </c>
      <c r="G23" s="25" t="n">
        <v>1137.031083000001</v>
      </c>
      <c r="H23" s="24">
        <f>IF(F23=0,IF(G23=0,0,1),G23/F23)</f>
        <v/>
      </c>
      <c r="I23" s="8" t="n">
        <v>0</v>
      </c>
      <c r="J23" s="8" t="n">
        <v>0</v>
      </c>
      <c r="K23" s="24">
        <f>IF(I23=0,IF(J23=0,0,1),J23/I23)</f>
        <v/>
      </c>
      <c r="L23" s="25" t="n">
        <v>0</v>
      </c>
      <c r="M23" s="25" t="n">
        <v>0</v>
      </c>
      <c r="N23" s="24">
        <f>IF(L23=0,IF(M23=0,0,1),M23/L23)</f>
        <v/>
      </c>
      <c r="O23" s="8" t="n">
        <v>9</v>
      </c>
      <c r="P23" s="8" t="n">
        <v>13</v>
      </c>
      <c r="Q23" s="24">
        <f>IF(O23=0,IF(P23=0,0,1),P23/O23)</f>
        <v/>
      </c>
      <c r="R23" s="25" t="n">
        <v>180</v>
      </c>
      <c r="S23" s="25" t="n">
        <v>241.8947020000001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新加坡HDB</t>
        </is>
      </c>
      <c r="C24" s="8" t="n">
        <v>49</v>
      </c>
      <c r="D24" s="8" t="n">
        <v>89</v>
      </c>
      <c r="E24" s="24">
        <f>IF(C24=0,IF(D24=0,0,1),D24/C24)</f>
        <v/>
      </c>
      <c r="F24" s="25" t="n">
        <v>1010</v>
      </c>
      <c r="G24" s="25" t="n">
        <v>2190.783327</v>
      </c>
      <c r="H24" s="24">
        <f>IF(F24=0,IF(G24=0,0,1),G24/F24)</f>
        <v/>
      </c>
      <c r="I24" s="8" t="n">
        <v>10</v>
      </c>
      <c r="J24" s="8" t="n">
        <v>62</v>
      </c>
      <c r="K24" s="24">
        <f>IF(I24=0,IF(J24=0,0,1),J24/I24)</f>
        <v/>
      </c>
      <c r="L24" s="25" t="n">
        <v>400</v>
      </c>
      <c r="M24" s="25" t="n">
        <v>2563.161057000001</v>
      </c>
      <c r="N24" s="24">
        <f>IF(L24=0,IF(M24=0,0,1),M24/L24)</f>
        <v/>
      </c>
      <c r="O24" s="8" t="n">
        <v>13</v>
      </c>
      <c r="P24" s="8" t="n">
        <v>17</v>
      </c>
      <c r="Q24" s="24">
        <f>IF(O24=0,IF(P24=0,0,1),P24/O24)</f>
        <v/>
      </c>
      <c r="R24" s="25" t="n">
        <v>470</v>
      </c>
      <c r="S24" s="25" t="n">
        <v>668.166305</v>
      </c>
      <c r="T24" s="24">
        <f>IF(R24=0,IF(S24=0,0,1),S24/R24)</f>
        <v/>
      </c>
    </row>
    <row r="25" ht="14" customHeight="1">
      <c r="A25" s="26" t="inlineStr">
        <is>
          <t>亚洲1合计</t>
        </is>
      </c>
      <c r="B25" s="12" t="n"/>
      <c r="C25" s="27">
        <f>SUM(C16:C24)</f>
        <v/>
      </c>
      <c r="D25" s="27">
        <f>SUM(D16:D24)</f>
        <v/>
      </c>
      <c r="E25" s="28">
        <f>IF(C25=0,IF(D25=0,0,1),D25/C25)</f>
        <v/>
      </c>
      <c r="F25" s="29">
        <f>SUM(F16:F24)</f>
        <v/>
      </c>
      <c r="G25" s="29">
        <f>SUM(G16:G24)</f>
        <v/>
      </c>
      <c r="H25" s="28">
        <f>IF(F25=0,IF(G25=0,0,1),G25/F25)</f>
        <v/>
      </c>
      <c r="I25" s="27">
        <f>SUM(I16:I24)</f>
        <v/>
      </c>
      <c r="J25" s="27">
        <f>SUM(J16:J24)</f>
        <v/>
      </c>
      <c r="K25" s="28">
        <f>IF(I25=0,IF(J25=0,0,1),J25/I25)</f>
        <v/>
      </c>
      <c r="L25" s="29">
        <f>SUM(L16:L24)</f>
        <v/>
      </c>
      <c r="M25" s="29">
        <f>SUM(M16:M24)</f>
        <v/>
      </c>
      <c r="N25" s="28">
        <f>IF(L25=0,IF(M25=0,0,1),M25/L25)</f>
        <v/>
      </c>
      <c r="O25" s="27">
        <f>SUM(O16:O24)</f>
        <v/>
      </c>
      <c r="P25" s="27">
        <f>SUM(P16:P24)</f>
        <v/>
      </c>
      <c r="Q25" s="28">
        <f>IF(O25=0,IF(P25=0,0,1),P25/O25)</f>
        <v/>
      </c>
      <c r="R25" s="29">
        <f>SUM(R16:R24)</f>
        <v/>
      </c>
      <c r="S25" s="29">
        <f>SUM(S16:S24)</f>
        <v/>
      </c>
      <c r="T25" s="28">
        <f>IF(R25=0,IF(S25=0,0,1),S25/R25)</f>
        <v/>
      </c>
    </row>
    <row r="26" ht="14" customHeight="1">
      <c r="A26" s="6" t="n">
        <v>20</v>
      </c>
      <c r="B26" s="7" t="inlineStr">
        <is>
          <t>印度私营</t>
        </is>
      </c>
      <c r="C26" s="8" t="n">
        <v>16</v>
      </c>
      <c r="D26" s="8" t="n">
        <v>77</v>
      </c>
      <c r="E26" s="24">
        <f>IF(C26=0,IF(D26=0,0,1),D26/C26)</f>
        <v/>
      </c>
      <c r="F26" s="25" t="n">
        <v>204.55</v>
      </c>
      <c r="G26" s="25" t="n">
        <v>661.2199000000005</v>
      </c>
      <c r="H26" s="24">
        <f>IF(F26=0,IF(G26=0,0,1),G26/F26)</f>
        <v/>
      </c>
      <c r="I26" s="8" t="n">
        <v>16</v>
      </c>
      <c r="J26" s="8" t="n">
        <v>27</v>
      </c>
      <c r="K26" s="24">
        <f>IF(I26=0,IF(J26=0,0,1),J26/I26)</f>
        <v/>
      </c>
      <c r="L26" s="25" t="n">
        <v>204.55</v>
      </c>
      <c r="M26" s="25" t="n">
        <v>329.7919460000002</v>
      </c>
      <c r="N26" s="24">
        <f>IF(L26=0,IF(M26=0,0,1),M26/L26)</f>
        <v/>
      </c>
      <c r="O26" s="8" t="n">
        <v>9</v>
      </c>
      <c r="P26" s="8" t="n">
        <v>4</v>
      </c>
      <c r="Q26" s="24">
        <f>IF(O26=0,IF(P26=0,0,1),P26/O26)</f>
        <v/>
      </c>
      <c r="R26" s="25" t="n">
        <v>82.28</v>
      </c>
      <c r="S26" s="25" t="n">
        <v>31.792975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巴基斯坦</t>
        </is>
      </c>
      <c r="C27" s="8" t="n">
        <v>6</v>
      </c>
      <c r="D27" s="8" t="n">
        <v>0</v>
      </c>
      <c r="E27" s="24">
        <f>IF(C27=0,IF(D27=0,0,1),D27/C27)</f>
        <v/>
      </c>
      <c r="F27" s="25" t="n">
        <v>44.88</v>
      </c>
      <c r="G27" s="25" t="n">
        <v>0</v>
      </c>
      <c r="H27" s="24">
        <f>IF(F27=0,IF(G27=0,0,1),G27/F27)</f>
        <v/>
      </c>
      <c r="I27" s="8" t="n">
        <v>2</v>
      </c>
      <c r="J27" s="8" t="n">
        <v>0</v>
      </c>
      <c r="K27" s="24">
        <f>IF(I27=0,IF(J27=0,0,1),J27/I27)</f>
        <v/>
      </c>
      <c r="L27" s="25" t="n">
        <v>14.96</v>
      </c>
      <c r="M27" s="25" t="n">
        <v>0</v>
      </c>
      <c r="N27" s="24">
        <f>IF(L27=0,IF(M27=0,0,1),M27/L27)</f>
        <v/>
      </c>
      <c r="O27" s="8" t="n">
        <v>2</v>
      </c>
      <c r="P27" s="8" t="n">
        <v>0</v>
      </c>
      <c r="Q27" s="24">
        <f>IF(O27=0,IF(P27=0,0,1),P27/O27)</f>
        <v/>
      </c>
      <c r="R27" s="25" t="n">
        <v>14.96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孟加拉-1</t>
        </is>
      </c>
      <c r="C28" s="8" t="n">
        <v>35</v>
      </c>
      <c r="D28" s="8" t="n">
        <v>39</v>
      </c>
      <c r="E28" s="24">
        <f>IF(C28=0,IF(D28=0,0,1),D28/C28)</f>
        <v/>
      </c>
      <c r="F28" s="25" t="n">
        <v>293.12</v>
      </c>
      <c r="G28" s="25" t="n">
        <v>470.3523000000002</v>
      </c>
      <c r="H28" s="24">
        <f>IF(F28=0,IF(G28=0,0,1),G28/F28)</f>
        <v/>
      </c>
      <c r="I28" s="8" t="n">
        <v>5</v>
      </c>
      <c r="J28" s="8" t="n">
        <v>4</v>
      </c>
      <c r="K28" s="24">
        <f>IF(I28=0,IF(J28=0,0,1),J28/I28)</f>
        <v/>
      </c>
      <c r="L28" s="25" t="n">
        <v>36.85</v>
      </c>
      <c r="M28" s="25" t="n">
        <v>33.518977</v>
      </c>
      <c r="N28" s="24">
        <f>IF(L28=0,IF(M28=0,0,1),M28/L28)</f>
        <v/>
      </c>
      <c r="O28" s="8" t="n">
        <v>4</v>
      </c>
      <c r="P28" s="8" t="n">
        <v>4</v>
      </c>
      <c r="Q28" s="24">
        <f>IF(O28=0,IF(P28=0,0,1),P28/O28)</f>
        <v/>
      </c>
      <c r="R28" s="25" t="n">
        <v>29.07</v>
      </c>
      <c r="S28" s="25" t="n">
        <v>29.416654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越南-1（工厂）</t>
        </is>
      </c>
      <c r="C29" s="8" t="n">
        <v>2</v>
      </c>
      <c r="D29" s="8" t="n">
        <v>43</v>
      </c>
      <c r="E29" s="24">
        <f>IF(C29=0,IF(D29=0,0,1),D29/C29)</f>
        <v/>
      </c>
      <c r="F29" s="25" t="n">
        <v>14</v>
      </c>
      <c r="G29" s="25" t="n">
        <v>445.0623430000001</v>
      </c>
      <c r="H29" s="24">
        <f>IF(F29=0,IF(G29=0,0,1),G29/F29)</f>
        <v/>
      </c>
      <c r="I29" s="8" t="n">
        <v>2</v>
      </c>
      <c r="J29" s="8" t="n">
        <v>3</v>
      </c>
      <c r="K29" s="24">
        <f>IF(I29=0,IF(J29=0,0,1),J29/I29)</f>
        <v/>
      </c>
      <c r="L29" s="25" t="n">
        <v>14</v>
      </c>
      <c r="M29" s="25" t="n">
        <v>29.243643</v>
      </c>
      <c r="N29" s="24">
        <f>IF(L29=0,IF(M29=0,0,1),M29/L29)</f>
        <v/>
      </c>
      <c r="O29" s="8" t="n">
        <v>1</v>
      </c>
      <c r="P29" s="8" t="n">
        <v>0</v>
      </c>
      <c r="Q29" s="24">
        <f>IF(O29=0,IF(P29=0,0,1),P29/O29)</f>
        <v/>
      </c>
      <c r="R29" s="25" t="n">
        <v>7.21</v>
      </c>
      <c r="S29" s="25" t="n">
        <v>0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印度公建</t>
        </is>
      </c>
      <c r="C30" s="8" t="n">
        <v>3</v>
      </c>
      <c r="D30" s="8" t="n">
        <v>8</v>
      </c>
      <c r="E30" s="24">
        <f>IF(C30=0,IF(D30=0,0,1),D30/C30)</f>
        <v/>
      </c>
      <c r="F30" s="25" t="n">
        <v>80.88</v>
      </c>
      <c r="G30" s="25" t="n">
        <v>70.49999999999999</v>
      </c>
      <c r="H30" s="24">
        <f>IF(F30=0,IF(G30=0,0,1),G30/F30)</f>
        <v/>
      </c>
      <c r="I30" s="8" t="n">
        <v>2</v>
      </c>
      <c r="J30" s="8" t="n">
        <v>9</v>
      </c>
      <c r="K30" s="24">
        <f>IF(I30=0,IF(J30=0,0,1),J30/I30)</f>
        <v/>
      </c>
      <c r="L30" s="25" t="n">
        <v>26.86</v>
      </c>
      <c r="M30" s="25" t="n">
        <v>94.22</v>
      </c>
      <c r="N30" s="24">
        <f>IF(L30=0,IF(M30=0,0,1),M30/L30)</f>
        <v/>
      </c>
      <c r="O30" s="8" t="n">
        <v>5</v>
      </c>
      <c r="P30" s="8" t="n">
        <v>0</v>
      </c>
      <c r="Q30" s="24">
        <f>IF(O30=0,IF(P30=0,0,1),P30/O30)</f>
        <v/>
      </c>
      <c r="R30" s="25" t="n">
        <v>90.1707064</v>
      </c>
      <c r="S30" s="25" t="n">
        <v>0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澳大利亚</t>
        </is>
      </c>
      <c r="C31" s="8" t="n">
        <v>5</v>
      </c>
      <c r="D31" s="8" t="n">
        <v>14</v>
      </c>
      <c r="E31" s="24">
        <f>IF(C31=0,IF(D31=0,0,1),D31/C31)</f>
        <v/>
      </c>
      <c r="F31" s="25" t="n">
        <v>80</v>
      </c>
      <c r="G31" s="25" t="n">
        <v>183.858634</v>
      </c>
      <c r="H31" s="24">
        <f>IF(F31=0,IF(G31=0,0,1),G31/F31)</f>
        <v/>
      </c>
      <c r="I31" s="8" t="n">
        <v>3</v>
      </c>
      <c r="J31" s="8" t="n">
        <v>8</v>
      </c>
      <c r="K31" s="24">
        <f>IF(I31=0,IF(J31=0,0,1),J31/I31)</f>
        <v/>
      </c>
      <c r="L31" s="25" t="n">
        <v>30</v>
      </c>
      <c r="M31" s="25" t="n">
        <v>69.474408</v>
      </c>
      <c r="N31" s="24">
        <f>IF(L31=0,IF(M31=0,0,1),M31/L31)</f>
        <v/>
      </c>
      <c r="O31" s="8" t="n">
        <v>4</v>
      </c>
      <c r="P31" s="8" t="n">
        <v>5</v>
      </c>
      <c r="Q31" s="24">
        <f>IF(O31=0,IF(P31=0,0,1),P31/O31)</f>
        <v/>
      </c>
      <c r="R31" s="25" t="n">
        <v>40</v>
      </c>
      <c r="S31" s="25" t="n">
        <v>34.592211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11</v>
      </c>
      <c r="D32" s="8" t="n">
        <v>30</v>
      </c>
      <c r="E32" s="24">
        <f>IF(C32=0,IF(D32=0,0,1),D32/C32)</f>
        <v/>
      </c>
      <c r="F32" s="25" t="n">
        <v>160</v>
      </c>
      <c r="G32" s="25" t="n">
        <v>310.8415199999998</v>
      </c>
      <c r="H32" s="24">
        <f>IF(F32=0,IF(G32=0,0,1),G32/F32)</f>
        <v/>
      </c>
      <c r="I32" s="8" t="n">
        <v>3</v>
      </c>
      <c r="J32" s="8" t="n">
        <v>1</v>
      </c>
      <c r="K32" s="24">
        <f>IF(I32=0,IF(J32=0,0,1),J32/I32)</f>
        <v/>
      </c>
      <c r="L32" s="25" t="n">
        <v>32</v>
      </c>
      <c r="M32" s="25" t="n">
        <v>6.650514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16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菲律宾</t>
        </is>
      </c>
      <c r="C33" s="8" t="n">
        <v>9</v>
      </c>
      <c r="D33" s="8" t="n">
        <v>20</v>
      </c>
      <c r="E33" s="24">
        <f>IF(C33=0,IF(D33=0,0,1),D33/C33)</f>
        <v/>
      </c>
      <c r="F33" s="25" t="n">
        <v>100</v>
      </c>
      <c r="G33" s="25" t="n">
        <v>205.86434</v>
      </c>
      <c r="H33" s="24">
        <f>IF(F33=0,IF(G33=0,0,1),G33/F33)</f>
        <v/>
      </c>
      <c r="I33" s="8" t="n">
        <v>0</v>
      </c>
      <c r="J33" s="8" t="n">
        <v>0</v>
      </c>
      <c r="K33" s="24">
        <f>IF(I33=0,IF(J33=0,0,1),J33/I33)</f>
        <v/>
      </c>
      <c r="L33" s="25" t="n">
        <v>0</v>
      </c>
      <c r="M33" s="25" t="n">
        <v>0</v>
      </c>
      <c r="N33" s="24">
        <f>IF(L33=0,IF(M33=0,0,1),M33/L33)</f>
        <v/>
      </c>
      <c r="O33" s="8" t="n">
        <v>0</v>
      </c>
      <c r="P33" s="8" t="n">
        <v>0</v>
      </c>
      <c r="Q33" s="24">
        <f>IF(O33=0,IF(P33=0,0,1),P33/O33)</f>
        <v/>
      </c>
      <c r="R33" s="25" t="n">
        <v>0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越南-2</t>
        </is>
      </c>
      <c r="C34" s="8" t="n">
        <v>12</v>
      </c>
      <c r="D34" s="8" t="n">
        <v>37</v>
      </c>
      <c r="E34" s="24">
        <f>IF(C34=0,IF(D34=0,0,1),D34/C34)</f>
        <v/>
      </c>
      <c r="F34" s="25" t="n">
        <v>60</v>
      </c>
      <c r="G34" s="25" t="n">
        <v>379.8265240000001</v>
      </c>
      <c r="H34" s="24">
        <f>IF(F34=0,IF(G34=0,0,1),G34/F34)</f>
        <v/>
      </c>
      <c r="I34" s="8" t="n">
        <v>6</v>
      </c>
      <c r="J34" s="8" t="n">
        <v>1</v>
      </c>
      <c r="K34" s="24">
        <f>IF(I34=0,IF(J34=0,0,1),J34/I34)</f>
        <v/>
      </c>
      <c r="L34" s="25" t="n">
        <v>30</v>
      </c>
      <c r="M34" s="25" t="n">
        <v>5.180692</v>
      </c>
      <c r="N34" s="24">
        <f>IF(L34=0,IF(M34=0,0,1),M34/L34)</f>
        <v/>
      </c>
      <c r="O34" s="8" t="n">
        <v>2</v>
      </c>
      <c r="P34" s="8" t="n">
        <v>2</v>
      </c>
      <c r="Q34" s="24">
        <f>IF(O34=0,IF(P34=0,0,1),P34/O34)</f>
        <v/>
      </c>
      <c r="R34" s="25" t="n">
        <v>10</v>
      </c>
      <c r="S34" s="25" t="n">
        <v>12.4245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8</v>
      </c>
      <c r="D35" s="8" t="n">
        <v>38</v>
      </c>
      <c r="E35" s="24">
        <f>IF(C35=0,IF(D35=0,0,1),D35/C35)</f>
        <v/>
      </c>
      <c r="F35" s="25" t="n">
        <v>70</v>
      </c>
      <c r="G35" s="25" t="n">
        <v>357.467748</v>
      </c>
      <c r="H35" s="24">
        <f>IF(F35=0,IF(G35=0,0,1),G35/F35)</f>
        <v/>
      </c>
      <c r="I35" s="8" t="n">
        <v>0</v>
      </c>
      <c r="J35" s="8" t="n">
        <v>0</v>
      </c>
      <c r="K35" s="24">
        <f>IF(I35=0,IF(J35=0,0,1),J35/I35)</f>
        <v/>
      </c>
      <c r="L35" s="25" t="n">
        <v>0</v>
      </c>
      <c r="M35" s="25" t="n">
        <v>0</v>
      </c>
      <c r="N35" s="24">
        <f>IF(L35=0,IF(M35=0,0,1),M35/L35)</f>
        <v/>
      </c>
      <c r="O35" s="8" t="n">
        <v>0</v>
      </c>
      <c r="P35" s="8" t="n">
        <v>1</v>
      </c>
      <c r="Q35" s="24">
        <f>IF(O35=0,IF(P35=0,0,1),P35/O35)</f>
        <v/>
      </c>
      <c r="R35" s="25" t="n">
        <v>0</v>
      </c>
      <c r="S35" s="25" t="n">
        <v>16.98015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19</v>
      </c>
      <c r="D36" s="8" t="n">
        <v>22</v>
      </c>
      <c r="E36" s="24">
        <f>IF(C36=0,IF(D36=0,0,1),D36/C36)</f>
        <v/>
      </c>
      <c r="F36" s="25" t="n">
        <v>170</v>
      </c>
      <c r="G36" s="25" t="n">
        <v>205.4553379999999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26" t="inlineStr">
        <is>
          <t>亚洲2合计</t>
        </is>
      </c>
      <c r="B37" s="12" t="n"/>
      <c r="C37" s="27">
        <f>SUM(C26:C36)</f>
        <v/>
      </c>
      <c r="D37" s="27">
        <f>SUM(D26:D36)</f>
        <v/>
      </c>
      <c r="E37" s="28">
        <f>IF(C37=0,IF(D37=0,0,1),D37/C37)</f>
        <v/>
      </c>
      <c r="F37" s="29">
        <f>SUM(F26:F36)</f>
        <v/>
      </c>
      <c r="G37" s="29">
        <f>SUM(G26:G36)</f>
        <v/>
      </c>
      <c r="H37" s="28">
        <f>IF(F37=0,IF(G37=0,0,1),G37/F37)</f>
        <v/>
      </c>
      <c r="I37" s="27">
        <f>SUM(I26:I36)</f>
        <v/>
      </c>
      <c r="J37" s="27">
        <f>SUM(J26:J36)</f>
        <v/>
      </c>
      <c r="K37" s="28">
        <f>IF(I37=0,IF(J37=0,0,1),J37/I37)</f>
        <v/>
      </c>
      <c r="L37" s="29">
        <f>SUM(L26:L36)</f>
        <v/>
      </c>
      <c r="M37" s="29">
        <f>SUM(M26:M36)</f>
        <v/>
      </c>
      <c r="N37" s="28">
        <f>IF(L37=0,IF(M37=0,0,1),M37/L37)</f>
        <v/>
      </c>
      <c r="O37" s="27">
        <f>SUM(O26:O36)</f>
        <v/>
      </c>
      <c r="P37" s="27">
        <f>SUM(P26:P36)</f>
        <v/>
      </c>
      <c r="Q37" s="28">
        <f>IF(O37=0,IF(P37=0,0,1),P37/O37)</f>
        <v/>
      </c>
      <c r="R37" s="29">
        <f>SUM(R26:R36)</f>
        <v/>
      </c>
      <c r="S37" s="29">
        <f>SUM(S26:S36)</f>
        <v/>
      </c>
      <c r="T37" s="28">
        <f>IF(R37=0,IF(S37=0,0,1),S37/R37)</f>
        <v/>
      </c>
    </row>
    <row r="38" ht="14" customHeight="1">
      <c r="A38" s="6" t="n">
        <v>31</v>
      </c>
      <c r="B38" s="7" t="inlineStr">
        <is>
          <t>沙特工厂</t>
        </is>
      </c>
      <c r="C38" s="8" t="n">
        <v>92</v>
      </c>
      <c r="D38" s="8" t="n">
        <v>15</v>
      </c>
      <c r="E38" s="24">
        <f>IF(C38=0,IF(D38=0,0,1),D38/C38)</f>
        <v/>
      </c>
      <c r="F38" s="25" t="n">
        <v>990.28</v>
      </c>
      <c r="G38" s="25" t="n">
        <v>444.789675</v>
      </c>
      <c r="H38" s="24">
        <f>IF(F38=0,IF(G38=0,0,1),G38/F38)</f>
        <v/>
      </c>
      <c r="I38" s="8" t="n">
        <v>10</v>
      </c>
      <c r="J38" s="8" t="n">
        <v>0</v>
      </c>
      <c r="K38" s="24">
        <f>IF(I38=0,IF(J38=0,0,1),J38/I38)</f>
        <v/>
      </c>
      <c r="L38" s="25" t="n">
        <v>105</v>
      </c>
      <c r="M38" s="25" t="n">
        <v>0</v>
      </c>
      <c r="N38" s="24">
        <f>IF(L38=0,IF(M38=0,0,1),M38/L38)</f>
        <v/>
      </c>
      <c r="O38" s="8" t="n">
        <v>8</v>
      </c>
      <c r="P38" s="8" t="n">
        <v>2</v>
      </c>
      <c r="Q38" s="24">
        <f>IF(O38=0,IF(P38=0,0,1),P38/O38)</f>
        <v/>
      </c>
      <c r="R38" s="25" t="n">
        <v>70</v>
      </c>
      <c r="S38" s="25" t="n">
        <v>10.96992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科威特</t>
        </is>
      </c>
      <c r="C39" s="8" t="n">
        <v>29</v>
      </c>
      <c r="D39" s="8" t="n">
        <v>18</v>
      </c>
      <c r="E39" s="24">
        <f>IF(C39=0,IF(D39=0,0,1),D39/C39)</f>
        <v/>
      </c>
      <c r="F39" s="25" t="n">
        <v>271.2384</v>
      </c>
      <c r="G39" s="25" t="n">
        <v>359.512758</v>
      </c>
      <c r="H39" s="24">
        <f>IF(F39=0,IF(G39=0,0,1),G39/F39)</f>
        <v/>
      </c>
      <c r="I39" s="8" t="n">
        <v>3</v>
      </c>
      <c r="J39" s="8" t="n">
        <v>0</v>
      </c>
      <c r="K39" s="24">
        <f>IF(I39=0,IF(J39=0,0,1),J39/I39)</f>
        <v/>
      </c>
      <c r="L39" s="25" t="n">
        <v>25</v>
      </c>
      <c r="M39" s="25" t="n">
        <v>0</v>
      </c>
      <c r="N39" s="24">
        <f>IF(L39=0,IF(M39=0,0,1),M39/L39)</f>
        <v/>
      </c>
      <c r="O39" s="8" t="n">
        <v>2</v>
      </c>
      <c r="P39" s="8" t="n">
        <v>0</v>
      </c>
      <c r="Q39" s="24">
        <f>IF(O39=0,IF(P39=0,0,1),P39/O39)</f>
        <v/>
      </c>
      <c r="R39" s="25" t="n">
        <v>17</v>
      </c>
      <c r="S39" s="25" t="n">
        <v>0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90</v>
      </c>
      <c r="D40" s="8" t="n">
        <v>297</v>
      </c>
      <c r="E40" s="24">
        <f>IF(C40=0,IF(D40=0,0,1),D40/C40)</f>
        <v/>
      </c>
      <c r="F40" s="25" t="n">
        <v>732.3624</v>
      </c>
      <c r="G40" s="25" t="n">
        <v>3411.962851000002</v>
      </c>
      <c r="H40" s="24">
        <f>IF(F40=0,IF(G40=0,0,1),G40/F40)</f>
        <v/>
      </c>
      <c r="I40" s="8" t="n">
        <v>15</v>
      </c>
      <c r="J40" s="8" t="n">
        <v>71</v>
      </c>
      <c r="K40" s="24">
        <f>IF(I40=0,IF(J40=0,0,1),J40/I40)</f>
        <v/>
      </c>
      <c r="L40" s="25" t="n">
        <v>180</v>
      </c>
      <c r="M40" s="25" t="n">
        <v>579.9648360000002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45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阿联酋-1</t>
        </is>
      </c>
      <c r="C41" s="8" t="n">
        <v>77</v>
      </c>
      <c r="D41" s="8" t="n">
        <v>0</v>
      </c>
      <c r="E41" s="24">
        <f>IF(C41=0,IF(D41=0,0,1),D41/C41)</f>
        <v/>
      </c>
      <c r="F41" s="25" t="n">
        <v>676.4424</v>
      </c>
      <c r="G41" s="25" t="n">
        <v>0</v>
      </c>
      <c r="H41" s="24">
        <f>IF(F41=0,IF(G41=0,0,1),G41/F41)</f>
        <v/>
      </c>
      <c r="I41" s="8" t="n">
        <v>71</v>
      </c>
      <c r="J41" s="8" t="n">
        <v>2</v>
      </c>
      <c r="K41" s="24">
        <f>IF(I41=0,IF(J41=0,0,1),J41/I41)</f>
        <v/>
      </c>
      <c r="L41" s="25" t="n">
        <v>560</v>
      </c>
      <c r="M41" s="25" t="n">
        <v>20.637162</v>
      </c>
      <c r="N41" s="24">
        <f>IF(L41=0,IF(M41=0,0,1),M41/L41)</f>
        <v/>
      </c>
      <c r="O41" s="8" t="n">
        <v>20</v>
      </c>
      <c r="P41" s="8" t="n">
        <v>8</v>
      </c>
      <c r="Q41" s="24">
        <f>IF(O41=0,IF(P41=0,0,1),P41/O41)</f>
        <v/>
      </c>
      <c r="R41" s="25" t="n">
        <v>230</v>
      </c>
      <c r="S41" s="25" t="n">
        <v>63.721225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卡塔尔</t>
        </is>
      </c>
      <c r="C42" s="8" t="n">
        <v>8</v>
      </c>
      <c r="D42" s="8" t="n">
        <v>11</v>
      </c>
      <c r="E42" s="24">
        <f>IF(C42=0,IF(D42=0,0,1),D42/C42)</f>
        <v/>
      </c>
      <c r="F42" s="25" t="n">
        <v>65</v>
      </c>
      <c r="G42" s="25" t="n">
        <v>315.681377</v>
      </c>
      <c r="H42" s="24">
        <f>IF(F42=0,IF(G42=0,0,1),G42/F42)</f>
        <v/>
      </c>
      <c r="I42" s="8" t="n">
        <v>5</v>
      </c>
      <c r="J42" s="8" t="n">
        <v>0</v>
      </c>
      <c r="K42" s="24">
        <f>IF(I42=0,IF(J42=0,0,1),J42/I42)</f>
        <v/>
      </c>
      <c r="L42" s="25" t="n">
        <v>29.376</v>
      </c>
      <c r="M42" s="25" t="n">
        <v>0</v>
      </c>
      <c r="N42" s="24">
        <f>IF(L42=0,IF(M42=0,0,1),M42/L42)</f>
        <v/>
      </c>
      <c r="O42" s="8" t="n">
        <v>0</v>
      </c>
      <c r="P42" s="8" t="n">
        <v>0</v>
      </c>
      <c r="Q42" s="24">
        <f>IF(O42=0,IF(P42=0,0,1),P42/O42)</f>
        <v/>
      </c>
      <c r="R42" s="25" t="n">
        <v>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伊朗+阿曼</t>
        </is>
      </c>
      <c r="C43" s="8" t="n">
        <v>10</v>
      </c>
      <c r="D43" s="8" t="n">
        <v>2</v>
      </c>
      <c r="E43" s="24">
        <f>IF(C43=0,IF(D43=0,0,1),D43/C43)</f>
        <v/>
      </c>
      <c r="F43" s="25" t="n">
        <v>66.41679999999999</v>
      </c>
      <c r="G43" s="25" t="n">
        <v>26.925965</v>
      </c>
      <c r="H43" s="24">
        <f>IF(F43=0,IF(G43=0,0,1),G43/F43)</f>
        <v/>
      </c>
      <c r="I43" s="8" t="n">
        <v>4</v>
      </c>
      <c r="J43" s="8" t="n">
        <v>2</v>
      </c>
      <c r="K43" s="24">
        <f>IF(I43=0,IF(J43=0,0,1),J43/I43)</f>
        <v/>
      </c>
      <c r="L43" s="25" t="n">
        <v>30</v>
      </c>
      <c r="M43" s="25" t="n">
        <v>26.925965</v>
      </c>
      <c r="N43" s="24">
        <f>IF(L43=0,IF(M43=0,0,1),M43/L43)</f>
        <v/>
      </c>
      <c r="O43" s="8" t="n">
        <v>2</v>
      </c>
      <c r="P43" s="8" t="n">
        <v>3</v>
      </c>
      <c r="Q43" s="24">
        <f>IF(O43=0,IF(P43=0,0,1),P43/O43)</f>
        <v/>
      </c>
      <c r="R43" s="25" t="n">
        <v>13</v>
      </c>
      <c r="S43" s="25" t="n">
        <v>19.305515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阿联酋-2</t>
        </is>
      </c>
      <c r="C44" s="8" t="n">
        <v>70</v>
      </c>
      <c r="D44" s="8" t="n">
        <v>82</v>
      </c>
      <c r="E44" s="24">
        <f>IF(C44=0,IF(D44=0,0,1),D44/C44)</f>
        <v/>
      </c>
      <c r="F44" s="25" t="n">
        <v>816.9704</v>
      </c>
      <c r="G44" s="25" t="n">
        <v>1128.84552</v>
      </c>
      <c r="H44" s="24">
        <f>IF(F44=0,IF(G44=0,0,1),G44/F44)</f>
        <v/>
      </c>
      <c r="I44" s="8" t="n">
        <v>10</v>
      </c>
      <c r="J44" s="8" t="n">
        <v>0</v>
      </c>
      <c r="K44" s="24">
        <f>IF(I44=0,IF(J44=0,0,1),J44/I44)</f>
        <v/>
      </c>
      <c r="L44" s="25" t="n">
        <v>155</v>
      </c>
      <c r="M44" s="25" t="n">
        <v>0</v>
      </c>
      <c r="N44" s="24">
        <f>IF(L44=0,IF(M44=0,0,1),M44/L44)</f>
        <v/>
      </c>
      <c r="O44" s="8" t="n">
        <v>10</v>
      </c>
      <c r="P44" s="8" t="n">
        <v>0</v>
      </c>
      <c r="Q44" s="24">
        <f>IF(O44=0,IF(P44=0,0,1),P44/O44)</f>
        <v/>
      </c>
      <c r="R44" s="25" t="n">
        <v>160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47</v>
      </c>
      <c r="D45" s="8" t="n">
        <v>0</v>
      </c>
      <c r="E45" s="24">
        <f>IF(C45=0,IF(D45=0,0,1),D45/C45)</f>
        <v/>
      </c>
      <c r="F45" s="25" t="n">
        <v>310.8768</v>
      </c>
      <c r="G45" s="25" t="n">
        <v>0</v>
      </c>
      <c r="H45" s="24">
        <f>IF(F45=0,IF(G45=0,0,1),G45/F45)</f>
        <v/>
      </c>
      <c r="I45" s="8" t="n">
        <v>3</v>
      </c>
      <c r="J45" s="8" t="n">
        <v>5</v>
      </c>
      <c r="K45" s="24">
        <f>IF(I45=0,IF(J45=0,0,1),J45/I45)</f>
        <v/>
      </c>
      <c r="L45" s="25" t="n">
        <v>24</v>
      </c>
      <c r="M45" s="25" t="n">
        <v>34.006752</v>
      </c>
      <c r="N45" s="24">
        <f>IF(L45=0,IF(M45=0,0,1),M45/L45)</f>
        <v/>
      </c>
      <c r="O45" s="8" t="n">
        <v>2</v>
      </c>
      <c r="P45" s="8" t="n">
        <v>0</v>
      </c>
      <c r="Q45" s="24">
        <f>IF(O45=0,IF(P45=0,0,1),P45/O45)</f>
        <v/>
      </c>
      <c r="R45" s="25" t="n">
        <v>15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伊拉克</t>
        </is>
      </c>
      <c r="C47" s="8" t="n">
        <v>10</v>
      </c>
      <c r="D47" s="8" t="n">
        <v>1</v>
      </c>
      <c r="E47" s="24">
        <f>IF(C47=0,IF(D47=0,0,1),D47/C47)</f>
        <v/>
      </c>
      <c r="F47" s="25" t="n">
        <v>70</v>
      </c>
      <c r="G47" s="25" t="n">
        <v>7.771038000000001</v>
      </c>
      <c r="H47" s="24">
        <f>IF(F47=0,IF(G47=0,0,1),G47/F47)</f>
        <v/>
      </c>
      <c r="I47" s="8" t="n">
        <v>5</v>
      </c>
      <c r="J47" s="8" t="n">
        <v>0</v>
      </c>
      <c r="K47" s="24">
        <f>IF(I47=0,IF(J47=0,0,1),J47/I47)</f>
        <v/>
      </c>
      <c r="L47" s="25" t="n">
        <v>45</v>
      </c>
      <c r="M47" s="25" t="n">
        <v>0</v>
      </c>
      <c r="N47" s="24">
        <f>IF(L47=0,IF(M47=0,0,1),M47/L47)</f>
        <v/>
      </c>
      <c r="O47" s="8" t="n">
        <v>6</v>
      </c>
      <c r="P47" s="8" t="n">
        <v>7</v>
      </c>
      <c r="Q47" s="24">
        <f>IF(O47=0,IF(P47=0,0,1),P47/O47)</f>
        <v/>
      </c>
      <c r="R47" s="25" t="n">
        <v>48</v>
      </c>
      <c r="S47" s="25" t="n">
        <v>54.130792</v>
      </c>
      <c r="T47" s="24">
        <f>IF(R47=0,IF(S47=0,0,1),S47/R47)</f>
        <v/>
      </c>
    </row>
    <row r="48" ht="14" customHeight="1">
      <c r="A48" s="26" t="inlineStr">
        <is>
          <t>中东合计</t>
        </is>
      </c>
      <c r="B48" s="12" t="n"/>
      <c r="C48" s="27">
        <f>SUM(C38:C47)</f>
        <v/>
      </c>
      <c r="D48" s="27">
        <f>SUM(D38:D47)</f>
        <v/>
      </c>
      <c r="E48" s="28">
        <f>IF(C48=0,IF(D48=0,0,1),D48/C48)</f>
        <v/>
      </c>
      <c r="F48" s="29">
        <f>SUM(F38:F47)</f>
        <v/>
      </c>
      <c r="G48" s="29">
        <f>SUM(G38:G47)</f>
        <v/>
      </c>
      <c r="H48" s="28">
        <f>IF(F48=0,IF(G48=0,0,1),G48/F48)</f>
        <v/>
      </c>
      <c r="I48" s="27">
        <f>SUM(I38:I47)</f>
        <v/>
      </c>
      <c r="J48" s="27">
        <f>SUM(J38:J47)</f>
        <v/>
      </c>
      <c r="K48" s="28">
        <f>IF(I48=0,IF(J48=0,0,1),J48/I48)</f>
        <v/>
      </c>
      <c r="L48" s="29">
        <f>SUM(L38:L47)</f>
        <v/>
      </c>
      <c r="M48" s="29">
        <f>SUM(M38:M47)</f>
        <v/>
      </c>
      <c r="N48" s="28">
        <f>IF(L48=0,IF(M48=0,0,1),M48/L48)</f>
        <v/>
      </c>
      <c r="O48" s="27">
        <f>SUM(O38:O47)</f>
        <v/>
      </c>
      <c r="P48" s="27">
        <f>SUM(P38:P47)</f>
        <v/>
      </c>
      <c r="Q48" s="28">
        <f>IF(O48=0,IF(P48=0,0,1),P48/O48)</f>
        <v/>
      </c>
      <c r="R48" s="29">
        <f>SUM(R38:R47)</f>
        <v/>
      </c>
      <c r="S48" s="29">
        <f>SUM(S38:S47)</f>
        <v/>
      </c>
      <c r="T48" s="28">
        <f>IF(R48=0,IF(S48=0,0,1),S48/R48)</f>
        <v/>
      </c>
    </row>
    <row r="49" ht="14" customHeight="1">
      <c r="A49" s="6" t="n">
        <v>41</v>
      </c>
      <c r="B49" s="7" t="inlineStr">
        <is>
          <t>阿塞拜疆</t>
        </is>
      </c>
      <c r="C49" s="8" t="n">
        <v>20</v>
      </c>
      <c r="D49" s="8" t="n">
        <v>58</v>
      </c>
      <c r="E49" s="24">
        <f>IF(C49=0,IF(D49=0,0,1),D49/C49)</f>
        <v/>
      </c>
      <c r="F49" s="25" t="n">
        <v>98</v>
      </c>
      <c r="G49" s="25" t="n">
        <v>305.456327</v>
      </c>
      <c r="H49" s="24">
        <f>IF(F49=0,IF(G49=0,0,1),G49/F49)</f>
        <v/>
      </c>
      <c r="I49" s="8" t="n">
        <v>20</v>
      </c>
      <c r="J49" s="8" t="n">
        <v>48</v>
      </c>
      <c r="K49" s="24">
        <f>IF(I49=0,IF(J49=0,0,1),J49/I49)</f>
        <v/>
      </c>
      <c r="L49" s="25" t="n">
        <v>98</v>
      </c>
      <c r="M49" s="25" t="n">
        <v>243.424357</v>
      </c>
      <c r="N49" s="24">
        <f>IF(L49=0,IF(M49=0,0,1),M49/L49)</f>
        <v/>
      </c>
      <c r="O49" s="8" t="n">
        <v>6</v>
      </c>
      <c r="P49" s="8" t="n">
        <v>3</v>
      </c>
      <c r="Q49" s="24">
        <f>IF(O49=0,IF(P49=0,0,1),P49/O49)</f>
        <v/>
      </c>
      <c r="R49" s="25" t="n">
        <v>42</v>
      </c>
      <c r="S49" s="25" t="n">
        <v>20.431476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蒙古</t>
        </is>
      </c>
      <c r="C50" s="8" t="n">
        <v>12</v>
      </c>
      <c r="D50" s="8" t="n">
        <v>75</v>
      </c>
      <c r="E50" s="24">
        <f>IF(C50=0,IF(D50=0,0,1),D50/C50)</f>
        <v/>
      </c>
      <c r="F50" s="25" t="n">
        <v>130</v>
      </c>
      <c r="G50" s="25" t="n">
        <v>617.6611870000007</v>
      </c>
      <c r="H50" s="24">
        <f>IF(F50=0,IF(G50=0,0,1),G50/F50)</f>
        <v/>
      </c>
      <c r="I50" s="8" t="n">
        <v>5</v>
      </c>
      <c r="J50" s="8" t="n">
        <v>0</v>
      </c>
      <c r="K50" s="24">
        <f>IF(I50=0,IF(J50=0,0,1),J50/I50)</f>
        <v/>
      </c>
      <c r="L50" s="25" t="n">
        <v>45</v>
      </c>
      <c r="M50" s="25" t="n">
        <v>0</v>
      </c>
      <c r="N50" s="24">
        <f>IF(L50=0,IF(M50=0,0,1),M50/L50)</f>
        <v/>
      </c>
      <c r="O50" s="8" t="n">
        <v>3</v>
      </c>
      <c r="P50" s="8" t="n">
        <v>5</v>
      </c>
      <c r="Q50" s="24">
        <f>IF(O50=0,IF(P50=0,0,1),P50/O50)</f>
        <v/>
      </c>
      <c r="R50" s="25" t="n">
        <v>51</v>
      </c>
      <c r="S50" s="25" t="n">
        <v>69.34685900000001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乌兹别克斯坦</t>
        </is>
      </c>
      <c r="C51" s="8" t="n">
        <v>35</v>
      </c>
      <c r="D51" s="8" t="n">
        <v>37</v>
      </c>
      <c r="E51" s="24">
        <f>IF(C51=0,IF(D51=0,0,1),D51/C51)</f>
        <v/>
      </c>
      <c r="F51" s="25" t="n">
        <v>270</v>
      </c>
      <c r="G51" s="25" t="n">
        <v>220.907433</v>
      </c>
      <c r="H51" s="24">
        <f>IF(F51=0,IF(G51=0,0,1),G51/F51)</f>
        <v/>
      </c>
      <c r="I51" s="8" t="n">
        <v>22</v>
      </c>
      <c r="J51" s="8" t="n">
        <v>14</v>
      </c>
      <c r="K51" s="24">
        <f>IF(I51=0,IF(J51=0,0,1),J51/I51)</f>
        <v/>
      </c>
      <c r="L51" s="25" t="n">
        <v>127</v>
      </c>
      <c r="M51" s="25" t="n">
        <v>75.26308100000001</v>
      </c>
      <c r="N51" s="24">
        <f>IF(L51=0,IF(M51=0,0,1),M51/L51)</f>
        <v/>
      </c>
      <c r="O51" s="8" t="n">
        <v>26</v>
      </c>
      <c r="P51" s="8" t="n">
        <v>0</v>
      </c>
      <c r="Q51" s="24">
        <f>IF(O51=0,IF(P51=0,0,1),P51/O51)</f>
        <v/>
      </c>
      <c r="R51" s="25" t="n">
        <v>147</v>
      </c>
      <c r="S51" s="25" t="n">
        <v>0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哈萨克斯坦-1</t>
        </is>
      </c>
      <c r="C52" s="8" t="n">
        <v>30</v>
      </c>
      <c r="D52" s="8" t="n">
        <v>69</v>
      </c>
      <c r="E52" s="24">
        <f>IF(C52=0,IF(D52=0,0,1),D52/C52)</f>
        <v/>
      </c>
      <c r="F52" s="25" t="n">
        <v>280</v>
      </c>
      <c r="G52" s="25" t="n">
        <v>464.901471</v>
      </c>
      <c r="H52" s="24">
        <f>IF(F52=0,IF(G52=0,0,1),G52/F52)</f>
        <v/>
      </c>
      <c r="I52" s="8" t="n">
        <v>12</v>
      </c>
      <c r="J52" s="8" t="n">
        <v>19</v>
      </c>
      <c r="K52" s="24">
        <f>IF(I52=0,IF(J52=0,0,1),J52/I52)</f>
        <v/>
      </c>
      <c r="L52" s="25" t="n">
        <v>100</v>
      </c>
      <c r="M52" s="25" t="n">
        <v>144.08438</v>
      </c>
      <c r="N52" s="24">
        <f>IF(L52=0,IF(M52=0,0,1),M52/L52)</f>
        <v/>
      </c>
      <c r="O52" s="8" t="n">
        <v>30</v>
      </c>
      <c r="P52" s="8" t="n">
        <v>21</v>
      </c>
      <c r="Q52" s="24">
        <f>IF(O52=0,IF(P52=0,0,1),P52/O52)</f>
        <v/>
      </c>
      <c r="R52" s="25" t="n">
        <v>310</v>
      </c>
      <c r="S52" s="25" t="n">
        <v>174.769988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塔吉克/哈萨克斯坦-2</t>
        </is>
      </c>
      <c r="C53" s="8" t="n">
        <v>60</v>
      </c>
      <c r="D53" s="8" t="n">
        <v>100</v>
      </c>
      <c r="E53" s="24">
        <f>IF(C53=0,IF(D53=0,0,1),D53/C53)</f>
        <v/>
      </c>
      <c r="F53" s="25" t="n">
        <v>360</v>
      </c>
      <c r="G53" s="25" t="n">
        <v>791.5552040000011</v>
      </c>
      <c r="H53" s="24">
        <f>IF(F53=0,IF(G53=0,0,1),G53/F53)</f>
        <v/>
      </c>
      <c r="I53" s="8" t="n">
        <v>28</v>
      </c>
      <c r="J53" s="8" t="n">
        <v>15</v>
      </c>
      <c r="K53" s="24">
        <f>IF(I53=0,IF(J53=0,0,1),J53/I53)</f>
        <v/>
      </c>
      <c r="L53" s="25" t="n">
        <v>200</v>
      </c>
      <c r="M53" s="25" t="n">
        <v>96.12900899999998</v>
      </c>
      <c r="N53" s="24">
        <f>IF(L53=0,IF(M53=0,0,1),M53/L53)</f>
        <v/>
      </c>
      <c r="O53" s="8" t="n">
        <v>17</v>
      </c>
      <c r="P53" s="8" t="n">
        <v>11</v>
      </c>
      <c r="Q53" s="24">
        <f>IF(O53=0,IF(P53=0,0,1),P53/O53)</f>
        <v/>
      </c>
      <c r="R53" s="25" t="n">
        <v>154</v>
      </c>
      <c r="S53" s="25" t="n">
        <v>83.45747300000001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哈萨克斯坦-3</t>
        </is>
      </c>
      <c r="C54" s="8" t="n">
        <v>30</v>
      </c>
      <c r="D54" s="8" t="n">
        <v>36</v>
      </c>
      <c r="E54" s="24">
        <f>IF(C54=0,IF(D54=0,0,1),D54/C54)</f>
        <v/>
      </c>
      <c r="F54" s="25" t="n">
        <v>44</v>
      </c>
      <c r="G54" s="25" t="n">
        <v>248.673216</v>
      </c>
      <c r="H54" s="24">
        <f>IF(F54=0,IF(G54=0,0,1),G54/F54)</f>
        <v/>
      </c>
      <c r="I54" s="8" t="n">
        <v>4</v>
      </c>
      <c r="J54" s="8" t="n">
        <v>0</v>
      </c>
      <c r="K54" s="24">
        <f>IF(I54=0,IF(J54=0,0,1),J54/I54)</f>
        <v/>
      </c>
      <c r="L54" s="25" t="n">
        <v>22</v>
      </c>
      <c r="M54" s="25" t="n">
        <v>0</v>
      </c>
      <c r="N54" s="24">
        <f>IF(L54=0,IF(M54=0,0,1),M54/L54)</f>
        <v/>
      </c>
      <c r="O54" s="8" t="n">
        <v>13</v>
      </c>
      <c r="P54" s="8" t="n">
        <v>12</v>
      </c>
      <c r="Q54" s="24">
        <f>IF(O54=0,IF(P54=0,0,1),P54/O54)</f>
        <v/>
      </c>
      <c r="R54" s="25" t="n">
        <v>148</v>
      </c>
      <c r="S54" s="25" t="n">
        <v>81.55644900000001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吉尔吉斯斯坦</t>
        </is>
      </c>
      <c r="C55" s="8" t="n">
        <v>21</v>
      </c>
      <c r="D55" s="8" t="n">
        <v>0</v>
      </c>
      <c r="E55" s="24">
        <f>IF(C55=0,IF(D55=0,0,1),D55/C55)</f>
        <v/>
      </c>
      <c r="F55" s="25" t="n">
        <v>120</v>
      </c>
      <c r="G55" s="25" t="n">
        <v>0</v>
      </c>
      <c r="H55" s="24">
        <f>IF(F55=0,IF(G55=0,0,1),G55/F55)</f>
        <v/>
      </c>
      <c r="I55" s="8" t="n">
        <v>0</v>
      </c>
      <c r="J55" s="8" t="n">
        <v>0</v>
      </c>
      <c r="K55" s="24">
        <f>IF(I55=0,IF(J55=0,0,1),J55/I55)</f>
        <v/>
      </c>
      <c r="L55" s="25" t="n">
        <v>0</v>
      </c>
      <c r="M55" s="25" t="n">
        <v>0</v>
      </c>
      <c r="N55" s="24">
        <f>IF(L55=0,IF(M55=0,0,1),M55/L55)</f>
        <v/>
      </c>
      <c r="O55" s="8" t="n">
        <v>18</v>
      </c>
      <c r="P55" s="8" t="n">
        <v>8</v>
      </c>
      <c r="Q55" s="24">
        <f>IF(O55=0,IF(P55=0,0,1),P55/O55)</f>
        <v/>
      </c>
      <c r="R55" s="25" t="n">
        <v>170</v>
      </c>
      <c r="S55" s="25" t="n">
        <v>86.662368</v>
      </c>
      <c r="T55" s="24">
        <f>IF(R55=0,IF(S55=0,0,1),S55/R55)</f>
        <v/>
      </c>
    </row>
    <row r="56" ht="14" customHeight="1">
      <c r="A56" s="26" t="inlineStr">
        <is>
          <t>中亚合计</t>
        </is>
      </c>
      <c r="B56" s="12" t="n"/>
      <c r="C56" s="27">
        <f>SUM(C49:C55)</f>
        <v/>
      </c>
      <c r="D56" s="27">
        <f>SUM(D49:D55)</f>
        <v/>
      </c>
      <c r="E56" s="28">
        <f>IF(C56=0,IF(D56=0,0,1),D56/C56)</f>
        <v/>
      </c>
      <c r="F56" s="29">
        <f>SUM(F49:F55)</f>
        <v/>
      </c>
      <c r="G56" s="29">
        <f>SUM(G49:G55)</f>
        <v/>
      </c>
      <c r="H56" s="28">
        <f>IF(F56=0,IF(G56=0,0,1),G56/F56)</f>
        <v/>
      </c>
      <c r="I56" s="27">
        <f>SUM(I49:I55)</f>
        <v/>
      </c>
      <c r="J56" s="27">
        <f>SUM(J49:J55)</f>
        <v/>
      </c>
      <c r="K56" s="28">
        <f>IF(I56=0,IF(J56=0,0,1),J56/I56)</f>
        <v/>
      </c>
      <c r="L56" s="29">
        <f>SUM(L49:L55)</f>
        <v/>
      </c>
      <c r="M56" s="29">
        <f>SUM(M49:M55)</f>
        <v/>
      </c>
      <c r="N56" s="28">
        <f>IF(L56=0,IF(M56=0,0,1),M56/L56)</f>
        <v/>
      </c>
      <c r="O56" s="27">
        <f>SUM(O49:O55)</f>
        <v/>
      </c>
      <c r="P56" s="27">
        <f>SUM(P49:P55)</f>
        <v/>
      </c>
      <c r="Q56" s="28">
        <f>IF(O56=0,IF(P56=0,0,1),P56/O56)</f>
        <v/>
      </c>
      <c r="R56" s="29">
        <f>SUM(R49:R55)</f>
        <v/>
      </c>
      <c r="S56" s="29">
        <f>SUM(S49:S55)</f>
        <v/>
      </c>
      <c r="T56" s="28">
        <f>IF(R56=0,IF(S56=0,0,1),S56/R56)</f>
        <v/>
      </c>
    </row>
    <row r="57" ht="14" customHeight="1">
      <c r="A57" s="6" t="n">
        <v>48</v>
      </c>
      <c r="B57" s="7" t="inlineStr">
        <is>
          <t>巴西</t>
        </is>
      </c>
      <c r="C57" s="8" t="n">
        <v>0</v>
      </c>
      <c r="D57" s="8" t="n">
        <v>8</v>
      </c>
      <c r="E57" s="24">
        <f>IF(C57=0,IF(D57=0,0,1),D57/C57)</f>
        <v/>
      </c>
      <c r="F57" s="25" t="n">
        <v>0</v>
      </c>
      <c r="G57" s="25" t="n">
        <v>101.432496</v>
      </c>
      <c r="H57" s="24">
        <f>IF(F57=0,IF(G57=0,0,1),G57/F57)</f>
        <v/>
      </c>
      <c r="I57" s="8" t="n">
        <v>0</v>
      </c>
      <c r="J57" s="8" t="n">
        <v>0</v>
      </c>
      <c r="K57" s="24">
        <f>IF(I57=0,IF(J57=0,0,1),J57/I57)</f>
        <v/>
      </c>
      <c r="L57" s="25" t="n">
        <v>0</v>
      </c>
      <c r="M57" s="25" t="n">
        <v>0</v>
      </c>
      <c r="N57" s="24">
        <f>IF(L57=0,IF(M57=0,0,1),M57/L57)</f>
        <v/>
      </c>
      <c r="O57" s="8" t="n">
        <v>0</v>
      </c>
      <c r="P57" s="8" t="n">
        <v>0</v>
      </c>
      <c r="Q57" s="24">
        <f>IF(O57=0,IF(P57=0,0,1),P57/O57)</f>
        <v/>
      </c>
      <c r="R57" s="25" t="n">
        <v>0</v>
      </c>
      <c r="S57" s="25" t="n">
        <v>0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加勒比海</t>
        </is>
      </c>
      <c r="C58" s="8" t="n">
        <v>15</v>
      </c>
      <c r="D58" s="8" t="n">
        <v>49</v>
      </c>
      <c r="E58" s="24">
        <f>IF(C58=0,IF(D58=0,0,1),D58/C58)</f>
        <v/>
      </c>
      <c r="F58" s="25" t="n">
        <v>128.4</v>
      </c>
      <c r="G58" s="25" t="n">
        <v>653.289391</v>
      </c>
      <c r="H58" s="24">
        <f>IF(F58=0,IF(G58=0,0,1),G58/F58)</f>
        <v/>
      </c>
      <c r="I58" s="8" t="n">
        <v>15</v>
      </c>
      <c r="J58" s="8" t="n">
        <v>22</v>
      </c>
      <c r="K58" s="24">
        <f>IF(I58=0,IF(J58=0,0,1),J58/I58)</f>
        <v/>
      </c>
      <c r="L58" s="25" t="n">
        <v>128.4</v>
      </c>
      <c r="M58" s="25" t="n">
        <v>184.719062</v>
      </c>
      <c r="N58" s="24">
        <f>IF(L58=0,IF(M58=0,0,1),M58/L58)</f>
        <v/>
      </c>
      <c r="O58" s="8" t="n">
        <v>56</v>
      </c>
      <c r="P58" s="8" t="n">
        <v>29</v>
      </c>
      <c r="Q58" s="24">
        <f>IF(O58=0,IF(P58=0,0,1),P58/O58)</f>
        <v/>
      </c>
      <c r="R58" s="25" t="n">
        <v>502.2550572</v>
      </c>
      <c r="S58" s="25" t="n">
        <v>315.969822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智利</t>
        </is>
      </c>
      <c r="C59" s="8" t="n">
        <v>8</v>
      </c>
      <c r="D59" s="8" t="n">
        <v>14</v>
      </c>
      <c r="E59" s="24">
        <f>IF(C59=0,IF(D59=0,0,1),D59/C59)</f>
        <v/>
      </c>
      <c r="F59" s="25" t="n">
        <v>112</v>
      </c>
      <c r="G59" s="25" t="n">
        <v>261.352278</v>
      </c>
      <c r="H59" s="24">
        <f>IF(F59=0,IF(G59=0,0,1),G59/F59)</f>
        <v/>
      </c>
      <c r="I59" s="8" t="n">
        <v>3</v>
      </c>
      <c r="J59" s="8" t="n">
        <v>3</v>
      </c>
      <c r="K59" s="24">
        <f>IF(I59=0,IF(J59=0,0,1),J59/I59)</f>
        <v/>
      </c>
      <c r="L59" s="25" t="n">
        <v>34.8</v>
      </c>
      <c r="M59" s="25" t="n">
        <v>34.581525</v>
      </c>
      <c r="N59" s="24">
        <f>IF(L59=0,IF(M59=0,0,1),M59/L59)</f>
        <v/>
      </c>
      <c r="O59" s="8" t="n">
        <v>8</v>
      </c>
      <c r="P59" s="8" t="n">
        <v>8</v>
      </c>
      <c r="Q59" s="24">
        <f>IF(O59=0,IF(P59=0,0,1),P59/O59)</f>
        <v/>
      </c>
      <c r="R59" s="25" t="n">
        <v>111.8</v>
      </c>
      <c r="S59" s="25" t="n">
        <v>125.371788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秘鲁</t>
        </is>
      </c>
      <c r="C60" s="8" t="n">
        <v>32</v>
      </c>
      <c r="D60" s="8" t="n">
        <v>32</v>
      </c>
      <c r="E60" s="24">
        <f>IF(C60=0,IF(D60=0,0,1),D60/C60)</f>
        <v/>
      </c>
      <c r="F60" s="25" t="n">
        <v>345</v>
      </c>
      <c r="G60" s="25" t="n">
        <v>367.2837959999998</v>
      </c>
      <c r="H60" s="24">
        <f>IF(F60=0,IF(G60=0,0,1),G60/F60)</f>
        <v/>
      </c>
      <c r="I60" s="8" t="n">
        <v>8</v>
      </c>
      <c r="J60" s="8" t="n">
        <v>1</v>
      </c>
      <c r="K60" s="24">
        <f>IF(I60=0,IF(J60=0,0,1),J60/I60)</f>
        <v/>
      </c>
      <c r="L60" s="25" t="n">
        <v>80</v>
      </c>
      <c r="M60" s="25" t="n">
        <v>5.930529</v>
      </c>
      <c r="N60" s="24">
        <f>IF(L60=0,IF(M60=0,0,1),M60/L60)</f>
        <v/>
      </c>
      <c r="O60" s="8" t="n">
        <v>11</v>
      </c>
      <c r="P60" s="8" t="n">
        <v>0</v>
      </c>
      <c r="Q60" s="24">
        <f>IF(O60=0,IF(P60=0,0,1),P60/O60)</f>
        <v/>
      </c>
      <c r="R60" s="25" t="n">
        <v>128</v>
      </c>
      <c r="S60" s="25" t="n">
        <v>0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哥伦比亚</t>
        </is>
      </c>
      <c r="C61" s="8" t="n">
        <v>110</v>
      </c>
      <c r="D61" s="8" t="n">
        <v>72</v>
      </c>
      <c r="E61" s="24">
        <f>IF(C61=0,IF(D61=0,0,1),D61/C61)</f>
        <v/>
      </c>
      <c r="F61" s="25" t="n">
        <v>1700</v>
      </c>
      <c r="G61" s="25" t="n">
        <v>1711.059866999999</v>
      </c>
      <c r="H61" s="24">
        <f>IF(F61=0,IF(G61=0,0,1),G61/F61)</f>
        <v/>
      </c>
      <c r="I61" s="8" t="n">
        <v>40</v>
      </c>
      <c r="J61" s="8" t="n">
        <v>58</v>
      </c>
      <c r="K61" s="24">
        <f>IF(I61=0,IF(J61=0,0,1),J61/I61)</f>
        <v/>
      </c>
      <c r="L61" s="25" t="n">
        <v>400</v>
      </c>
      <c r="M61" s="25" t="n">
        <v>619.1625929999998</v>
      </c>
      <c r="N61" s="24">
        <f>IF(L61=0,IF(M61=0,0,1),M61/L61)</f>
        <v/>
      </c>
      <c r="O61" s="8" t="n">
        <v>30</v>
      </c>
      <c r="P61" s="8" t="n">
        <v>23</v>
      </c>
      <c r="Q61" s="24">
        <f>IF(O61=0,IF(P61=0,0,1),P61/O61)</f>
        <v/>
      </c>
      <c r="R61" s="25" t="n">
        <v>300</v>
      </c>
      <c r="S61" s="25" t="n">
        <v>229.0251269999999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墨西哥-1</t>
        </is>
      </c>
      <c r="C62" s="8" t="n">
        <v>18</v>
      </c>
      <c r="D62" s="8" t="n">
        <v>24</v>
      </c>
      <c r="E62" s="24">
        <f>IF(C62=0,IF(D62=0,0,1),D62/C62)</f>
        <v/>
      </c>
      <c r="F62" s="25" t="n">
        <v>328</v>
      </c>
      <c r="G62" s="25" t="n">
        <v>376.822772</v>
      </c>
      <c r="H62" s="24">
        <f>IF(F62=0,IF(G62=0,0,1),G62/F62)</f>
        <v/>
      </c>
      <c r="I62" s="8" t="n">
        <v>10</v>
      </c>
      <c r="J62" s="8" t="n">
        <v>24</v>
      </c>
      <c r="K62" s="24">
        <f>IF(I62=0,IF(J62=0,0,1),J62/I62)</f>
        <v/>
      </c>
      <c r="L62" s="25" t="n">
        <v>115</v>
      </c>
      <c r="M62" s="25" t="n">
        <v>376.822772</v>
      </c>
      <c r="N62" s="24">
        <f>IF(L62=0,IF(M62=0,0,1),M62/L62)</f>
        <v/>
      </c>
      <c r="O62" s="8" t="n">
        <v>13</v>
      </c>
      <c r="P62" s="8" t="n">
        <v>13</v>
      </c>
      <c r="Q62" s="24">
        <f>IF(O62=0,IF(P62=0,0,1),P62/O62)</f>
        <v/>
      </c>
      <c r="R62" s="25" t="n">
        <v>188</v>
      </c>
      <c r="S62" s="25" t="n">
        <v>223.060374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墨西哥-2</t>
        </is>
      </c>
      <c r="C63" s="8" t="n">
        <v>18</v>
      </c>
      <c r="D63" s="8" t="n">
        <v>16</v>
      </c>
      <c r="E63" s="24">
        <f>IF(C63=0,IF(D63=0,0,1),D63/C63)</f>
        <v/>
      </c>
      <c r="F63" s="25" t="n">
        <v>328</v>
      </c>
      <c r="G63" s="25" t="n">
        <v>288.845099</v>
      </c>
      <c r="H63" s="24">
        <f>IF(F63=0,IF(G63=0,0,1),G63/F63)</f>
        <v/>
      </c>
      <c r="I63" s="8" t="n">
        <v>10</v>
      </c>
      <c r="J63" s="8" t="n">
        <v>17</v>
      </c>
      <c r="K63" s="24">
        <f>IF(I63=0,IF(J63=0,0,1),J63/I63)</f>
        <v/>
      </c>
      <c r="L63" s="25" t="n">
        <v>114</v>
      </c>
      <c r="M63" s="25" t="n">
        <v>265.810274</v>
      </c>
      <c r="N63" s="24">
        <f>IF(L63=0,IF(M63=0,0,1),M63/L63)</f>
        <v/>
      </c>
      <c r="O63" s="8" t="n">
        <v>12</v>
      </c>
      <c r="P63" s="8" t="n">
        <v>39</v>
      </c>
      <c r="Q63" s="24">
        <f>IF(O63=0,IF(P63=0,0,1),P63/O63)</f>
        <v/>
      </c>
      <c r="R63" s="25" t="n">
        <v>188</v>
      </c>
      <c r="S63" s="25" t="n">
        <v>513.3895990000001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多米尼加</t>
        </is>
      </c>
      <c r="C64" s="8" t="n">
        <v>0</v>
      </c>
      <c r="D64" s="8" t="n">
        <v>12</v>
      </c>
      <c r="E64" s="24">
        <f>IF(C64=0,IF(D64=0,0,1),D64/C64)</f>
        <v/>
      </c>
      <c r="F64" s="25" t="n">
        <v>0</v>
      </c>
      <c r="G64" s="25" t="n">
        <v>98.38069400000001</v>
      </c>
      <c r="H64" s="24">
        <f>IF(F64=0,IF(G64=0,0,1),G64/F64)</f>
        <v/>
      </c>
      <c r="I64" s="8" t="n">
        <v>0</v>
      </c>
      <c r="J64" s="8" t="n">
        <v>1</v>
      </c>
      <c r="K64" s="24">
        <f>IF(I64=0,IF(J64=0,0,1),J64/I64)</f>
        <v/>
      </c>
      <c r="L64" s="25" t="n">
        <v>0</v>
      </c>
      <c r="M64" s="25" t="n">
        <v>13.156231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秘鲁2</t>
        </is>
      </c>
      <c r="C65" s="8" t="n">
        <v>5</v>
      </c>
      <c r="D65" s="8" t="n">
        <v>0</v>
      </c>
      <c r="E65" s="24">
        <f>IF(C65=0,IF(D65=0,0,1),D65/C65)</f>
        <v/>
      </c>
      <c r="F65" s="25" t="n">
        <v>42</v>
      </c>
      <c r="G65" s="25" t="n">
        <v>0</v>
      </c>
      <c r="H65" s="24">
        <f>IF(F65=0,IF(G65=0,0,1),G65/F65)</f>
        <v/>
      </c>
      <c r="I65" s="8" t="n">
        <v>1</v>
      </c>
      <c r="J65" s="8" t="n">
        <v>0</v>
      </c>
      <c r="K65" s="24">
        <f>IF(I65=0,IF(J65=0,0,1),J65/I65)</f>
        <v/>
      </c>
      <c r="L65" s="25" t="n">
        <v>10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26" t="inlineStr">
        <is>
          <t>美洲合计</t>
        </is>
      </c>
      <c r="B66" s="12" t="n"/>
      <c r="C66" s="27">
        <f>SUM(C57:C65)</f>
        <v/>
      </c>
      <c r="D66" s="27">
        <f>SUM(D57:D65)</f>
        <v/>
      </c>
      <c r="E66" s="28">
        <f>IF(C66=0,IF(D66=0,0,1),D66/C66)</f>
        <v/>
      </c>
      <c r="F66" s="29">
        <f>SUM(F57:F65)</f>
        <v/>
      </c>
      <c r="G66" s="29">
        <f>SUM(G57:G65)</f>
        <v/>
      </c>
      <c r="H66" s="28">
        <f>IF(F66=0,IF(G66=0,0,1),G66/F66)</f>
        <v/>
      </c>
      <c r="I66" s="27">
        <f>SUM(I57:I65)</f>
        <v/>
      </c>
      <c r="J66" s="27">
        <f>SUM(J57:J65)</f>
        <v/>
      </c>
      <c r="K66" s="28">
        <f>IF(I66=0,IF(J66=0,0,1),J66/I66)</f>
        <v/>
      </c>
      <c r="L66" s="29">
        <f>SUM(L57:L65)</f>
        <v/>
      </c>
      <c r="M66" s="29">
        <f>SUM(M57:M65)</f>
        <v/>
      </c>
      <c r="N66" s="28">
        <f>IF(L66=0,IF(M66=0,0,1),M66/L66)</f>
        <v/>
      </c>
      <c r="O66" s="27">
        <f>SUM(O57:O65)</f>
        <v/>
      </c>
      <c r="P66" s="27">
        <f>SUM(P57:P65)</f>
        <v/>
      </c>
      <c r="Q66" s="28">
        <f>IF(O66=0,IF(P66=0,0,1),P66/O66)</f>
        <v/>
      </c>
      <c r="R66" s="29">
        <f>SUM(R57:R65)</f>
        <v/>
      </c>
      <c r="S66" s="29">
        <f>SUM(S57:S65)</f>
        <v/>
      </c>
      <c r="T66" s="28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211</v>
      </c>
      <c r="D67" s="8" t="n">
        <v>106</v>
      </c>
      <c r="E67" s="24">
        <f>IF(C67=0,IF(D67=0,0,1),D67/C67)</f>
        <v/>
      </c>
      <c r="F67" s="25" t="n">
        <v>1510</v>
      </c>
      <c r="G67" s="25" t="n">
        <v>732.7952499999989</v>
      </c>
      <c r="H67" s="24">
        <f>IF(F67=0,IF(G67=0,0,1),G67/F67)</f>
        <v/>
      </c>
      <c r="I67" s="8" t="n">
        <v>5</v>
      </c>
      <c r="J67" s="8" t="n">
        <v>0</v>
      </c>
      <c r="K67" s="24">
        <f>IF(I67=0,IF(J67=0,0,1),J67/I67)</f>
        <v/>
      </c>
      <c r="L67" s="25" t="n">
        <v>50</v>
      </c>
      <c r="M67" s="25" t="n">
        <v>0</v>
      </c>
      <c r="N67" s="24">
        <f>IF(L67=0,IF(M67=0,0,1),M67/L67)</f>
        <v/>
      </c>
      <c r="O67" s="8" t="n">
        <v>5</v>
      </c>
      <c r="P67" s="8" t="n">
        <v>1</v>
      </c>
      <c r="Q67" s="24">
        <f>IF(O67=0,IF(P67=0,0,1),P67/O67)</f>
        <v/>
      </c>
      <c r="R67" s="25" t="n">
        <v>50</v>
      </c>
      <c r="S67" s="25" t="n">
        <v>10.736402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10</v>
      </c>
      <c r="D68" s="8" t="n">
        <v>24</v>
      </c>
      <c r="E68" s="24">
        <f>IF(C68=0,IF(D68=0,0,1),D68/C68)</f>
        <v/>
      </c>
      <c r="F68" s="25" t="n">
        <v>64</v>
      </c>
      <c r="G68" s="25" t="n">
        <v>227.4732790000001</v>
      </c>
      <c r="H68" s="24">
        <f>IF(F68=0,IF(G68=0,0,1),G68/F68)</f>
        <v/>
      </c>
      <c r="I68" s="8" t="n">
        <v>16</v>
      </c>
      <c r="J68" s="8" t="n">
        <v>0</v>
      </c>
      <c r="K68" s="24">
        <f>IF(I68=0,IF(J68=0,0,1),J68/I68)</f>
        <v/>
      </c>
      <c r="L68" s="25" t="n">
        <v>116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尼日利亚/埃塞俄比亚</t>
        </is>
      </c>
      <c r="C69" s="8" t="n">
        <v>0</v>
      </c>
      <c r="D69" s="8" t="n">
        <v>4</v>
      </c>
      <c r="E69" s="24">
        <f>IF(C69=0,IF(D69=0,0,1),D69/C69)</f>
        <v/>
      </c>
      <c r="F69" s="25" t="n">
        <v>0</v>
      </c>
      <c r="G69" s="25" t="n">
        <v>37.69635100000001</v>
      </c>
      <c r="H69" s="24">
        <f>IF(F69=0,IF(G69=0,0,1),G69/F69)</f>
        <v/>
      </c>
      <c r="I69" s="8" t="n">
        <v>0</v>
      </c>
      <c r="J69" s="8" t="n">
        <v>4</v>
      </c>
      <c r="K69" s="24">
        <f>IF(I69=0,IF(J69=0,0,1),J69/I69)</f>
        <v/>
      </c>
      <c r="L69" s="25" t="n">
        <v>0</v>
      </c>
      <c r="M69" s="25" t="n">
        <v>37.69635100000001</v>
      </c>
      <c r="N69" s="24">
        <f>IF(L69=0,IF(M69=0,0,1),M69/L69)</f>
        <v/>
      </c>
      <c r="O69" s="8" t="n">
        <v>14</v>
      </c>
      <c r="P69" s="8" t="n">
        <v>13</v>
      </c>
      <c r="Q69" s="24">
        <f>IF(O69=0,IF(P69=0,0,1),P69/O69)</f>
        <v/>
      </c>
      <c r="R69" s="25" t="n">
        <v>143</v>
      </c>
      <c r="S69" s="25" t="n">
        <v>147.069156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南非/安格拉</t>
        </is>
      </c>
      <c r="C70" s="8" t="n">
        <v>10</v>
      </c>
      <c r="D70" s="8" t="n">
        <v>7</v>
      </c>
      <c r="E70" s="24">
        <f>IF(C70=0,IF(D70=0,0,1),D70/C70)</f>
        <v/>
      </c>
      <c r="F70" s="25" t="n">
        <v>100</v>
      </c>
      <c r="G70" s="25" t="n">
        <v>94.82029699999998</v>
      </c>
      <c r="H70" s="24">
        <f>IF(F70=0,IF(G70=0,0,1),G70/F70)</f>
        <v/>
      </c>
      <c r="I70" s="8" t="n">
        <v>4</v>
      </c>
      <c r="J70" s="8" t="n">
        <v>1</v>
      </c>
      <c r="K70" s="24">
        <f>IF(I70=0,IF(J70=0,0,1),J70/I70)</f>
        <v/>
      </c>
      <c r="L70" s="25" t="n">
        <v>35</v>
      </c>
      <c r="M70" s="25" t="n">
        <v>12.382297</v>
      </c>
      <c r="N70" s="24">
        <f>IF(L70=0,IF(M70=0,0,1),M70/L70)</f>
        <v/>
      </c>
      <c r="O70" s="8" t="n">
        <v>1</v>
      </c>
      <c r="P70" s="8" t="n">
        <v>0</v>
      </c>
      <c r="Q70" s="24">
        <f>IF(O70=0,IF(P70=0,0,1),P70/O70)</f>
        <v/>
      </c>
      <c r="R70" s="25" t="n">
        <v>12</v>
      </c>
      <c r="S70" s="25" t="n">
        <v>0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肯尼亚/坦桑尼亚</t>
        </is>
      </c>
      <c r="C71" s="8" t="n">
        <v>15</v>
      </c>
      <c r="D71" s="8" t="n">
        <v>48</v>
      </c>
      <c r="E71" s="24">
        <f>IF(C71=0,IF(D71=0,0,1),D71/C71)</f>
        <v/>
      </c>
      <c r="F71" s="25" t="n">
        <v>120</v>
      </c>
      <c r="G71" s="25" t="n">
        <v>452.7311310000005</v>
      </c>
      <c r="H71" s="24">
        <f>IF(F71=0,IF(G71=0,0,1),G71/F71)</f>
        <v/>
      </c>
      <c r="I71" s="8" t="n">
        <v>15</v>
      </c>
      <c r="J71" s="8" t="n">
        <v>2</v>
      </c>
      <c r="K71" s="24">
        <f>IF(I71=0,IF(J71=0,0,1),J71/I71)</f>
        <v/>
      </c>
      <c r="L71" s="25" t="n">
        <v>120</v>
      </c>
      <c r="M71" s="25" t="n">
        <v>16.734999</v>
      </c>
      <c r="N71" s="24">
        <f>IF(L71=0,IF(M71=0,0,1),M71/L71)</f>
        <v/>
      </c>
      <c r="O71" s="8" t="n">
        <v>15</v>
      </c>
      <c r="P71" s="8" t="n">
        <v>1</v>
      </c>
      <c r="Q71" s="24">
        <f>IF(O71=0,IF(P71=0,0,1),P71/O71)</f>
        <v/>
      </c>
      <c r="R71" s="25" t="n">
        <v>120</v>
      </c>
      <c r="S71" s="25" t="n">
        <v>8.524588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非洲法语区</t>
        </is>
      </c>
      <c r="C72" s="8" t="n">
        <v>15</v>
      </c>
      <c r="D72" s="8" t="n">
        <v>13</v>
      </c>
      <c r="E72" s="24">
        <f>IF(C72=0,IF(D72=0,0,1),D72/C72)</f>
        <v/>
      </c>
      <c r="F72" s="25" t="n">
        <v>87</v>
      </c>
      <c r="G72" s="25" t="n">
        <v>180.615283</v>
      </c>
      <c r="H72" s="24">
        <f>IF(F72=0,IF(G72=0,0,1),G72/F72)</f>
        <v/>
      </c>
      <c r="I72" s="8" t="n">
        <v>6</v>
      </c>
      <c r="J72" s="8" t="n">
        <v>0</v>
      </c>
      <c r="K72" s="24">
        <f>IF(I72=0,IF(J72=0,0,1),J72/I72)</f>
        <v/>
      </c>
      <c r="L72" s="25" t="n">
        <v>34</v>
      </c>
      <c r="M72" s="25" t="n">
        <v>0</v>
      </c>
      <c r="N72" s="24">
        <f>IF(L72=0,IF(M72=0,0,1),M72/L72)</f>
        <v/>
      </c>
      <c r="O72" s="8" t="n">
        <v>0</v>
      </c>
      <c r="P72" s="8" t="n">
        <v>0</v>
      </c>
      <c r="Q72" s="24">
        <f>IF(O72=0,IF(P72=0,0,1),P72/O72)</f>
        <v/>
      </c>
      <c r="R72" s="25" t="n">
        <v>0</v>
      </c>
      <c r="S72" s="25" t="n">
        <v>0</v>
      </c>
      <c r="T72" s="24">
        <f>IF(R72=0,IF(S72=0,0,1),S72/R72)</f>
        <v/>
      </c>
    </row>
    <row r="73" ht="14" customHeight="1">
      <c r="A73" s="26" t="inlineStr">
        <is>
          <t>非洲合计</t>
        </is>
      </c>
      <c r="B73" s="12" t="n"/>
      <c r="C73" s="27">
        <f>SUM(C67:C72)</f>
        <v/>
      </c>
      <c r="D73" s="27">
        <f>SUM(D67:D72)</f>
        <v/>
      </c>
      <c r="E73" s="28">
        <f>IF(C73=0,IF(D73=0,0,1),D73/C73)</f>
        <v/>
      </c>
      <c r="F73" s="29">
        <f>SUM(F67:F72)</f>
        <v/>
      </c>
      <c r="G73" s="29">
        <f>SUM(G67:G72)</f>
        <v/>
      </c>
      <c r="H73" s="28">
        <f>IF(F73=0,IF(G73=0,0,1),G73/F73)</f>
        <v/>
      </c>
      <c r="I73" s="27">
        <f>SUM(I67:I72)</f>
        <v/>
      </c>
      <c r="J73" s="27">
        <f>SUM(J67:J72)</f>
        <v/>
      </c>
      <c r="K73" s="28">
        <f>IF(I73=0,IF(J73=0,0,1),J73/I73)</f>
        <v/>
      </c>
      <c r="L73" s="29">
        <f>SUM(L67:L72)</f>
        <v/>
      </c>
      <c r="M73" s="29">
        <f>SUM(M67:M72)</f>
        <v/>
      </c>
      <c r="N73" s="28">
        <f>IF(L73=0,IF(M73=0,0,1),M73/L73)</f>
        <v/>
      </c>
      <c r="O73" s="27">
        <f>SUM(O67:O72)</f>
        <v/>
      </c>
      <c r="P73" s="27">
        <f>SUM(P67:P72)</f>
        <v/>
      </c>
      <c r="Q73" s="28">
        <f>IF(O73=0,IF(P73=0,0,1),P73/O73)</f>
        <v/>
      </c>
      <c r="R73" s="29">
        <f>SUM(R67:R72)</f>
        <v/>
      </c>
      <c r="S73" s="29">
        <f>SUM(S67:S72)</f>
        <v/>
      </c>
      <c r="T73" s="28">
        <f>IF(R73=0,IF(S73=0,0,1),S73/R73)</f>
        <v/>
      </c>
    </row>
    <row r="74" ht="14" customHeight="1">
      <c r="A74" s="6" t="n">
        <v>63</v>
      </c>
      <c r="B74" s="7" t="inlineStr">
        <is>
          <t>英国意大利</t>
        </is>
      </c>
      <c r="C74" s="8" t="n">
        <v>0</v>
      </c>
      <c r="D74" s="8" t="n">
        <v>0</v>
      </c>
      <c r="E74" s="24">
        <f>IF(C74=0,IF(D74=0,0,1),D74/C74)</f>
        <v/>
      </c>
      <c r="F74" s="25" t="n">
        <v>6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6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6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东欧</t>
        </is>
      </c>
      <c r="C75" s="8" t="n">
        <v>1</v>
      </c>
      <c r="D75" s="8" t="n">
        <v>2</v>
      </c>
      <c r="E75" s="24">
        <f>IF(C75=0,IF(D75=0,0,1),D75/C75)</f>
        <v/>
      </c>
      <c r="F75" s="25" t="n">
        <v>89</v>
      </c>
      <c r="G75" s="25" t="n">
        <v>13.644988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0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0</v>
      </c>
      <c r="S75" s="25" t="n">
        <v>0</v>
      </c>
      <c r="T75" s="24">
        <f>IF(R75=0,IF(S75=0,0,1),S75/R75)</f>
        <v/>
      </c>
    </row>
    <row r="76" ht="14" customHeight="1">
      <c r="A76" s="26" t="inlineStr">
        <is>
          <t>欧洲合计</t>
        </is>
      </c>
      <c r="B76" s="12" t="n"/>
      <c r="C76" s="27">
        <f>SUM(C74:C75)</f>
        <v/>
      </c>
      <c r="D76" s="27">
        <f>SUM(D74:D75)</f>
        <v/>
      </c>
      <c r="E76" s="28">
        <f>IF(C76=0,IF(D76=0,0,1),D76/C76)</f>
        <v/>
      </c>
      <c r="F76" s="29">
        <f>SUM(F74:F75)</f>
        <v/>
      </c>
      <c r="G76" s="29">
        <f>SUM(G74:G75)</f>
        <v/>
      </c>
      <c r="H76" s="28">
        <f>IF(F76=0,IF(G76=0,0,1),G76/F76)</f>
        <v/>
      </c>
      <c r="I76" s="27">
        <f>SUM(I74:I75)</f>
        <v/>
      </c>
      <c r="J76" s="27">
        <f>SUM(J74:J75)</f>
        <v/>
      </c>
      <c r="K76" s="28">
        <f>IF(I76=0,IF(J76=0,0,1),J76/I76)</f>
        <v/>
      </c>
      <c r="L76" s="29">
        <f>SUM(L74:L75)</f>
        <v/>
      </c>
      <c r="M76" s="29">
        <f>SUM(M74:M75)</f>
        <v/>
      </c>
      <c r="N76" s="28">
        <f>IF(L76=0,IF(M76=0,0,1),M76/L76)</f>
        <v/>
      </c>
      <c r="O76" s="27">
        <f>SUM(O74:O75)</f>
        <v/>
      </c>
      <c r="P76" s="27">
        <f>SUM(P74:P75)</f>
        <v/>
      </c>
      <c r="Q76" s="28">
        <f>IF(O76=0,IF(P76=0,0,1),P76/O76)</f>
        <v/>
      </c>
      <c r="R76" s="29">
        <f>SUM(R74:R75)</f>
        <v/>
      </c>
      <c r="S76" s="29">
        <f>SUM(S74:S75)</f>
        <v/>
      </c>
      <c r="T76" s="28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316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206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122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53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160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415</v>
      </c>
      <c r="G80" s="25" t="n">
        <v>487.9140236427307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290</v>
      </c>
      <c r="M80" s="25" t="n">
        <v>106.7771509895325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106.39</v>
      </c>
      <c r="S80" s="25" t="n">
        <v>70.02467721509998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393</v>
      </c>
      <c r="G81" s="25" t="n">
        <v>1079.97392890625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450</v>
      </c>
      <c r="M81" s="25" t="n">
        <v>232.50333515625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53</v>
      </c>
      <c r="S81" s="25" t="n">
        <v>6.7446856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190</v>
      </c>
      <c r="G82" s="25" t="n">
        <v>62.600886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47.133153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204.1016079999999</v>
      </c>
      <c r="T82" s="24">
        <f>IF(R82=0,IF(S82=0,0,1),S82/R82)</f>
        <v/>
      </c>
    </row>
    <row r="83" ht="14" customHeight="1">
      <c r="A83" s="26" t="inlineStr">
        <is>
          <t>商贸配件合计</t>
        </is>
      </c>
      <c r="B83" s="12" t="n"/>
      <c r="C83" s="27">
        <f>SUM(C77:C82)</f>
        <v/>
      </c>
      <c r="D83" s="27">
        <f>SUM(D77:D82)</f>
        <v/>
      </c>
      <c r="E83" s="28">
        <f>IF(C83=0,IF(D83=0,0,1),D83/C83)</f>
        <v/>
      </c>
      <c r="F83" s="29">
        <f>SUM(F77:F82)</f>
        <v/>
      </c>
      <c r="G83" s="29">
        <f>SUM(G77:G82)</f>
        <v/>
      </c>
      <c r="H83" s="28">
        <f>IF(F83=0,IF(G83=0,0,1),G83/F83)</f>
        <v/>
      </c>
      <c r="I83" s="27">
        <f>SUM(I77:I82)</f>
        <v/>
      </c>
      <c r="J83" s="27">
        <f>SUM(J77:J82)</f>
        <v/>
      </c>
      <c r="K83" s="28">
        <f>IF(I83=0,IF(J83=0,0,1),J83/I83)</f>
        <v/>
      </c>
      <c r="L83" s="29">
        <f>SUM(L77:L82)</f>
        <v/>
      </c>
      <c r="M83" s="29">
        <f>SUM(M77:M82)</f>
        <v/>
      </c>
      <c r="N83" s="28">
        <f>IF(L83=0,IF(M83=0,0,1),M83/L83)</f>
        <v/>
      </c>
      <c r="O83" s="27">
        <f>SUM(O77:O82)</f>
        <v/>
      </c>
      <c r="P83" s="27">
        <f>SUM(P77:P82)</f>
        <v/>
      </c>
      <c r="Q83" s="28">
        <f>IF(O83=0,IF(P83=0,0,1),P83/O83)</f>
        <v/>
      </c>
      <c r="R83" s="29">
        <f>SUM(R77:R82)</f>
        <v/>
      </c>
      <c r="S83" s="29">
        <f>SUM(S77:S82)</f>
        <v/>
      </c>
      <c r="T83" s="28">
        <f>IF(R83=0,IF(S83=0,0,1),S83/R83)</f>
        <v/>
      </c>
    </row>
    <row r="84" ht="14" customHeight="1">
      <c r="A84" s="30" t="inlineStr">
        <is>
          <t>全国贸合计</t>
        </is>
      </c>
      <c r="B84" s="12" t="n"/>
      <c r="C84" s="31">
        <f>C15+C25+C37+C48+C56+C66+C73+C76+C83</f>
        <v/>
      </c>
      <c r="D84" s="31">
        <f>D15+D25+D37+D48+D56+D66+D73+D76+D83</f>
        <v/>
      </c>
      <c r="E84" s="32">
        <f>IF(C84=0,IF(D84=0,0,1),D84/C84)</f>
        <v/>
      </c>
      <c r="F84" s="33">
        <f>F15+F25+F37+F48+F56+F66+F73+F76+F83</f>
        <v/>
      </c>
      <c r="G84" s="33">
        <f>G15+G25+G37+G48+G56+G66+G73+G76+G83</f>
        <v/>
      </c>
      <c r="H84" s="32">
        <f>IF(F84=0,IF(G84=0,0,1),G84/F84)</f>
        <v/>
      </c>
      <c r="I84" s="31">
        <f>I15+I25+I37+I48+I56+I66+I73+I76+I83</f>
        <v/>
      </c>
      <c r="J84" s="31">
        <f>J15+J25+J37+J48+J56+J66+J73+J76+J83</f>
        <v/>
      </c>
      <c r="K84" s="32">
        <f>IF(I84=0,IF(J84=0,0,1),J84/I84)</f>
        <v/>
      </c>
      <c r="L84" s="33">
        <f>L15+L25+L37+L48+L56+L66+L73+L76+L83</f>
        <v/>
      </c>
      <c r="M84" s="33">
        <f>M15+M25+M37+M48+M56+M66+M73+M76+M83</f>
        <v/>
      </c>
      <c r="N84" s="32">
        <f>IF(L84=0,IF(M84=0,0,1),M84/L84)</f>
        <v/>
      </c>
      <c r="O84" s="31">
        <f>O15+O25+O37+O48+O56+O66+O73+O76+O83</f>
        <v/>
      </c>
      <c r="P84" s="31">
        <f>P15+P25+P37+P48+P56+P66+P73+P76+P83</f>
        <v/>
      </c>
      <c r="Q84" s="32">
        <f>IF(O84=0,IF(P84=0,0,1),P84/O84)</f>
        <v/>
      </c>
      <c r="R84" s="33">
        <f>R15+R25+R37+R48+R56+R66+R73+R76+R83</f>
        <v/>
      </c>
      <c r="S84" s="33">
        <f>S15+S25+S37+S48+S56+S66+S73+S76+S83</f>
        <v/>
      </c>
      <c r="T84" s="32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2026-07-01T03:12:37Z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