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上半年单月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<sst xmlns="http://schemas.openxmlformats.org/spreadsheetml/2006/main" count="164" uniqueCount="95">
  <si>
    <t>2026年6月签单排产发货情况</t>
  </si>
  <si>
    <t>报表日期：2026-06-12</t>
  </si>
  <si>
    <t>序号</t>
  </si>
  <si>
    <t>模块</t>
  </si>
  <si>
    <t>新签梯量</t>
  </si>
  <si>
    <t>新签金额</t>
  </si>
  <si>
    <t>排产台</t>
  </si>
  <si>
    <t>排产额</t>
  </si>
  <si>
    <t>发货台</t>
  </si>
  <si>
    <t>发货额</t>
  </si>
  <si>
    <t/>
  </si>
  <si>
    <t>指标</t>
  </si>
  <si>
    <t>完成</t>
  </si>
  <si>
    <t>完成比</t>
  </si>
  <si>
    <t>俄罗斯（中部）</t>
  </si>
  <si>
    <t>俄罗斯（西部）</t>
  </si>
  <si>
    <t>俄罗斯（东部）</t>
  </si>
  <si>
    <t>罗斯托夫</t>
  </si>
  <si>
    <t>哈巴</t>
  </si>
  <si>
    <t>俄罗斯（中南）</t>
  </si>
  <si>
    <t>俄罗斯（西南）</t>
  </si>
  <si>
    <t>莫斯科</t>
  </si>
  <si>
    <t>叶卡</t>
  </si>
  <si>
    <t>新西</t>
  </si>
  <si>
    <t>俄罗斯合计</t>
  </si>
  <si>
    <t>朝鲜-韩国</t>
  </si>
  <si>
    <t>新加坡市政会</t>
  </si>
  <si>
    <t>新加坡HDB</t>
  </si>
  <si>
    <t>泰国</t>
  </si>
  <si>
    <t>泰国2</t>
  </si>
  <si>
    <t>金三角</t>
  </si>
  <si>
    <t>马来西亚</t>
  </si>
  <si>
    <t>马尔代夫</t>
  </si>
  <si>
    <t>香港-台湾</t>
  </si>
  <si>
    <t>亚洲1合计</t>
  </si>
  <si>
    <t>越南-2</t>
  </si>
  <si>
    <t>印度公建</t>
  </si>
  <si>
    <t>巴基斯坦</t>
  </si>
  <si>
    <t>孟加拉-1</t>
  </si>
  <si>
    <t>澳大利亚</t>
  </si>
  <si>
    <t>菲律宾</t>
  </si>
  <si>
    <t>印尼-1</t>
  </si>
  <si>
    <t>越南-1（工厂）</t>
  </si>
  <si>
    <t>印度私营</t>
  </si>
  <si>
    <t>菲律宾-2</t>
  </si>
  <si>
    <t>印尼-2</t>
  </si>
  <si>
    <t>亚洲2合计</t>
  </si>
  <si>
    <t>阿联酋-2</t>
  </si>
  <si>
    <t>沙特工厂</t>
  </si>
  <si>
    <t>沙特-1</t>
  </si>
  <si>
    <t>科威特</t>
  </si>
  <si>
    <t>阿联酋-1</t>
  </si>
  <si>
    <t>卡塔尔</t>
  </si>
  <si>
    <t>伊拉克</t>
  </si>
  <si>
    <t>巴勒斯坦</t>
  </si>
  <si>
    <t>阿联酋3</t>
  </si>
  <si>
    <t>伊朗+阿曼</t>
  </si>
  <si>
    <t>中东合计</t>
  </si>
  <si>
    <t>蒙古</t>
  </si>
  <si>
    <t>哈萨克斯坦-1</t>
  </si>
  <si>
    <t>塔吉克/哈萨克斯坦-2</t>
  </si>
  <si>
    <t>哈萨克斯坦-3</t>
  </si>
  <si>
    <t>乌兹别克斯坦</t>
  </si>
  <si>
    <t>吉尔吉斯斯坦</t>
  </si>
  <si>
    <t>阿塞拜疆</t>
  </si>
  <si>
    <t>中亚合计</t>
  </si>
  <si>
    <t>墨西哥-1</t>
  </si>
  <si>
    <t>墨西哥-2</t>
  </si>
  <si>
    <t>秘鲁</t>
  </si>
  <si>
    <t>智利</t>
  </si>
  <si>
    <t>加勒比海</t>
  </si>
  <si>
    <t>多米尼加</t>
  </si>
  <si>
    <t>哥伦比亚</t>
  </si>
  <si>
    <t>秘鲁2</t>
  </si>
  <si>
    <t>巴西</t>
  </si>
  <si>
    <t>美洲合计</t>
  </si>
  <si>
    <t>埃及-1</t>
  </si>
  <si>
    <t>埃及-2</t>
  </si>
  <si>
    <t>肯尼亚/坦桑尼亚</t>
  </si>
  <si>
    <t>尼日利亚/埃塞俄比亚</t>
  </si>
  <si>
    <t>非洲法语区</t>
  </si>
  <si>
    <t>南非/安格拉</t>
  </si>
  <si>
    <t>非洲合计</t>
  </si>
  <si>
    <t>东欧</t>
  </si>
  <si>
    <t>英国意大利</t>
  </si>
  <si>
    <t>欧洲合计</t>
  </si>
  <si>
    <t>商贸1</t>
  </si>
  <si>
    <t>-</t>
  </si>
  <si>
    <t>商贸2</t>
  </si>
  <si>
    <t>商贸3</t>
  </si>
  <si>
    <t>配件-1</t>
  </si>
  <si>
    <t>配件-2</t>
  </si>
  <si>
    <t>改造</t>
  </si>
  <si>
    <t>商贸配件合计</t>
  </si>
  <si>
    <t>全国贸合计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</si>
</sst>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%;\-0.00%;0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333333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7" borderId="7">
      <alignment vertical="center"/>
    </xf>
    <xf numFmtId="0" fontId="16" fillId="8" borderId="8">
      <alignment vertical="center"/>
    </xf>
    <xf numFmtId="0" fontId="17" fillId="8" borderId="7">
      <alignment vertical="center"/>
    </xf>
    <xf numFmtId="0" fontId="18" fillId="9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22">
    <xf numFmtId="0" fontId="0" fillId="0" borderId="0" xfId="0"/>
    <xf numFmtId="17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76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4"/>
  <sheetViews>
    <sheetView tabSelected="1" workbookViewId="0">
      <pane ySplit="4" topLeftCell="A17" activePane="bottomLeft" state="frozen"/>
      <selection/>
      <selection pane="bottomLeft" activeCell="AD81" sqref="AD81"/>
    </sheetView>
  </sheetViews>
  <sheetFormatPr defaultColWidth="9" defaultRowHeight="13.5"/>
  <cols>
    <col min="1" max="1" width="4.125" customWidth="1"/>
    <col min="2" max="2" width="12.375" customWidth="1"/>
    <col min="3" max="5" width="8.25" customWidth="1"/>
    <col min="6" max="7" width="8.25" style="1" customWidth="1"/>
    <col min="8" max="11" width="8.25" customWidth="1"/>
    <col min="12" max="13" width="8.25" style="1" customWidth="1"/>
    <col min="14" max="17" width="8.25" customWidth="1"/>
    <col min="18" max="19" width="8.25" style="1" customWidth="1"/>
    <col min="20" max="20" width="8.25" customWidth="1"/>
  </cols>
  <sheetData>
    <row r="1" ht="23" customHeight="1" spans="1:20">
      <c r="A1" s="2" t="s">
        <v>0</v>
      </c>
    </row>
    <row r="2" ht="16" customHeight="1" spans="1:20">
      <c r="A2" s="3" t="s">
        <v>1</v>
      </c>
    </row>
    <row r="3" ht="26" customHeight="1" spans="1:20">
      <c r="A3" s="4" t="s">
        <v>2</v>
      </c>
      <c r="B3" s="4" t="s">
        <v>3</v>
      </c>
      <c r="C3" s="4" t="s">
        <v>4</v>
      </c>
      <c r="D3" s="5"/>
      <c r="E3" s="6"/>
      <c r="F3" s="7" t="s">
        <v>5</v>
      </c>
      <c r="G3" s="5"/>
      <c r="H3" s="6"/>
      <c r="I3" s="4" t="s">
        <v>6</v>
      </c>
      <c r="J3" s="5"/>
      <c r="K3" s="6"/>
      <c r="L3" s="7" t="s">
        <v>7</v>
      </c>
      <c r="M3" s="5"/>
      <c r="N3" s="6"/>
      <c r="O3" s="4" t="s">
        <v>8</v>
      </c>
      <c r="P3" s="5"/>
      <c r="Q3" s="6"/>
      <c r="R3" s="7" t="s">
        <v>9</v>
      </c>
      <c r="S3" s="5"/>
      <c r="T3" s="6"/>
    </row>
    <row r="4" ht="25" customHeight="1" spans="1:20">
      <c r="A4" s="4" t="s">
        <v>10</v>
      </c>
      <c r="B4" s="4" t="s">
        <v>10</v>
      </c>
      <c r="C4" s="4" t="s">
        <v>11</v>
      </c>
      <c r="D4" s="4" t="s">
        <v>12</v>
      </c>
      <c r="E4" s="4" t="s">
        <v>13</v>
      </c>
      <c r="F4" s="7" t="s">
        <v>11</v>
      </c>
      <c r="G4" s="7" t="s">
        <v>12</v>
      </c>
      <c r="H4" s="4" t="s">
        <v>13</v>
      </c>
      <c r="I4" s="4" t="s">
        <v>11</v>
      </c>
      <c r="J4" s="4" t="s">
        <v>12</v>
      </c>
      <c r="K4" s="4" t="s">
        <v>13</v>
      </c>
      <c r="L4" s="7" t="s">
        <v>11</v>
      </c>
      <c r="M4" s="7" t="s">
        <v>12</v>
      </c>
      <c r="N4" s="4" t="s">
        <v>13</v>
      </c>
      <c r="O4" s="4" t="s">
        <v>11</v>
      </c>
      <c r="P4" s="4" t="s">
        <v>12</v>
      </c>
      <c r="Q4" s="4" t="s">
        <v>13</v>
      </c>
      <c r="R4" s="7" t="s">
        <v>11</v>
      </c>
      <c r="S4" s="7" t="s">
        <v>12</v>
      </c>
      <c r="T4" s="4" t="s">
        <v>13</v>
      </c>
    </row>
    <row r="5" ht="14" customHeight="1" spans="1:20">
      <c r="A5" s="8">
        <v>1</v>
      </c>
      <c r="B5" s="9" t="s">
        <v>14</v>
      </c>
      <c r="C5" s="10">
        <v>100</v>
      </c>
      <c r="D5" s="10">
        <v>29</v>
      </c>
      <c r="E5" s="11">
        <f t="shared" ref="E5:E68" si="0">IF(C5=0,IF(D5=0,0,1),D5/C5)</f>
        <v>0.29</v>
      </c>
      <c r="F5" s="12">
        <v>1800</v>
      </c>
      <c r="G5" s="12">
        <v>1393.22</v>
      </c>
      <c r="H5" s="11">
        <f t="shared" ref="H5:H68" si="1">IF(F5=0,IF(G5=0,0,1),G5/F5)</f>
        <v>0.774011111111111</v>
      </c>
      <c r="I5" s="10">
        <v>19</v>
      </c>
      <c r="J5" s="10">
        <v>23</v>
      </c>
      <c r="K5" s="11">
        <f t="shared" ref="K5:K68" si="2">IF(I5=0,IF(J5=0,0,1),J5/I5)</f>
        <v>1.21052631578947</v>
      </c>
      <c r="L5" s="12">
        <v>350</v>
      </c>
      <c r="M5" s="12">
        <v>269.71</v>
      </c>
      <c r="N5" s="11">
        <f t="shared" ref="N5:N68" si="3">IF(L5=0,IF(M5=0,0,1),M5/L5)</f>
        <v>0.7706</v>
      </c>
      <c r="O5" s="10">
        <v>182</v>
      </c>
      <c r="P5" s="10">
        <v>44</v>
      </c>
      <c r="Q5" s="11">
        <f t="shared" ref="Q5:Q68" si="4">IF(O5=0,IF(P5=0,0,1),P5/O5)</f>
        <v>0.241758241758242</v>
      </c>
      <c r="R5" s="12">
        <v>2937</v>
      </c>
      <c r="S5" s="12">
        <v>627.1</v>
      </c>
      <c r="T5" s="11">
        <f t="shared" ref="T5:T68" si="5">IF(R5=0,IF(S5=0,0,1),S5/R5)</f>
        <v>0.213517194416071</v>
      </c>
    </row>
    <row r="6" ht="14" customHeight="1" spans="1:20">
      <c r="A6" s="8">
        <v>2</v>
      </c>
      <c r="B6" s="9" t="s">
        <v>15</v>
      </c>
      <c r="C6" s="10">
        <v>25</v>
      </c>
      <c r="D6" s="10">
        <v>33</v>
      </c>
      <c r="E6" s="11">
        <f t="shared" si="0"/>
        <v>1.32</v>
      </c>
      <c r="F6" s="12">
        <v>450</v>
      </c>
      <c r="G6" s="12">
        <v>1643.77</v>
      </c>
      <c r="H6" s="11">
        <f t="shared" si="1"/>
        <v>3.65282222222222</v>
      </c>
      <c r="I6" s="10">
        <v>36</v>
      </c>
      <c r="J6" s="10">
        <v>12</v>
      </c>
      <c r="K6" s="11">
        <f t="shared" si="2"/>
        <v>0.333333333333333</v>
      </c>
      <c r="L6" s="12">
        <v>550</v>
      </c>
      <c r="M6" s="12">
        <v>226.8</v>
      </c>
      <c r="N6" s="11">
        <f t="shared" si="3"/>
        <v>0.412363636363636</v>
      </c>
      <c r="O6" s="10">
        <v>0</v>
      </c>
      <c r="P6" s="10">
        <v>16</v>
      </c>
      <c r="Q6" s="11">
        <f t="shared" si="4"/>
        <v>1</v>
      </c>
      <c r="R6" s="12">
        <v>0</v>
      </c>
      <c r="S6" s="12">
        <v>203.26</v>
      </c>
      <c r="T6" s="11">
        <f t="shared" si="5"/>
        <v>1</v>
      </c>
    </row>
    <row r="7" ht="14" customHeight="1" spans="1:20">
      <c r="A7" s="8">
        <v>3</v>
      </c>
      <c r="B7" s="9" t="s">
        <v>16</v>
      </c>
      <c r="C7" s="10">
        <v>31</v>
      </c>
      <c r="D7" s="10">
        <v>1</v>
      </c>
      <c r="E7" s="11">
        <f t="shared" si="0"/>
        <v>0.032258064516129</v>
      </c>
      <c r="F7" s="12">
        <v>364</v>
      </c>
      <c r="G7" s="12">
        <v>12.18</v>
      </c>
      <c r="H7" s="11">
        <f t="shared" si="1"/>
        <v>0.0334615384615385</v>
      </c>
      <c r="I7" s="10">
        <v>10</v>
      </c>
      <c r="J7" s="10">
        <v>0</v>
      </c>
      <c r="K7" s="11">
        <f t="shared" si="2"/>
        <v>0</v>
      </c>
      <c r="L7" s="12">
        <v>180</v>
      </c>
      <c r="M7" s="12">
        <v>0</v>
      </c>
      <c r="N7" s="11">
        <f t="shared" si="3"/>
        <v>0</v>
      </c>
      <c r="O7" s="10">
        <v>27</v>
      </c>
      <c r="P7" s="10">
        <v>6</v>
      </c>
      <c r="Q7" s="11">
        <f t="shared" si="4"/>
        <v>0.222222222222222</v>
      </c>
      <c r="R7" s="12">
        <v>374</v>
      </c>
      <c r="S7" s="12">
        <v>103.74</v>
      </c>
      <c r="T7" s="11">
        <f t="shared" si="5"/>
        <v>0.277379679144385</v>
      </c>
    </row>
    <row r="8" ht="14" customHeight="1" spans="1:20">
      <c r="A8" s="8">
        <v>4</v>
      </c>
      <c r="B8" s="9" t="s">
        <v>17</v>
      </c>
      <c r="C8" s="10">
        <v>33</v>
      </c>
      <c r="D8" s="10">
        <v>19</v>
      </c>
      <c r="E8" s="11">
        <f t="shared" si="0"/>
        <v>0.575757575757576</v>
      </c>
      <c r="F8" s="12">
        <v>354</v>
      </c>
      <c r="G8" s="12">
        <v>177.79</v>
      </c>
      <c r="H8" s="11">
        <f t="shared" si="1"/>
        <v>0.502231638418079</v>
      </c>
      <c r="I8" s="10">
        <v>13</v>
      </c>
      <c r="J8" s="10">
        <v>0</v>
      </c>
      <c r="K8" s="11">
        <f t="shared" si="2"/>
        <v>0</v>
      </c>
      <c r="L8" s="12">
        <v>176</v>
      </c>
      <c r="M8" s="12">
        <v>0</v>
      </c>
      <c r="N8" s="11">
        <f t="shared" si="3"/>
        <v>0</v>
      </c>
      <c r="O8" s="10">
        <v>4</v>
      </c>
      <c r="P8" s="10">
        <v>0</v>
      </c>
      <c r="Q8" s="11">
        <f t="shared" si="4"/>
        <v>0</v>
      </c>
      <c r="R8" s="12">
        <v>37</v>
      </c>
      <c r="S8" s="12">
        <v>0</v>
      </c>
      <c r="T8" s="11">
        <f t="shared" si="5"/>
        <v>0</v>
      </c>
    </row>
    <row r="9" ht="14" customHeight="1" spans="1:20">
      <c r="A9" s="8">
        <v>5</v>
      </c>
      <c r="B9" s="9" t="s">
        <v>18</v>
      </c>
      <c r="C9" s="10">
        <v>12</v>
      </c>
      <c r="D9" s="10">
        <v>0</v>
      </c>
      <c r="E9" s="11">
        <f t="shared" si="0"/>
        <v>0</v>
      </c>
      <c r="F9" s="12">
        <v>134.1</v>
      </c>
      <c r="G9" s="12">
        <v>0</v>
      </c>
      <c r="H9" s="11">
        <f t="shared" si="1"/>
        <v>0</v>
      </c>
      <c r="I9" s="10">
        <v>20</v>
      </c>
      <c r="J9" s="10">
        <v>0</v>
      </c>
      <c r="K9" s="11">
        <f t="shared" si="2"/>
        <v>0</v>
      </c>
      <c r="L9" s="12">
        <v>169.3</v>
      </c>
      <c r="M9" s="12">
        <v>0</v>
      </c>
      <c r="N9" s="11">
        <f t="shared" si="3"/>
        <v>0</v>
      </c>
      <c r="O9" s="10">
        <v>4</v>
      </c>
      <c r="P9" s="10">
        <v>0</v>
      </c>
      <c r="Q9" s="11">
        <f t="shared" si="4"/>
        <v>0</v>
      </c>
      <c r="R9" s="12">
        <v>43.4</v>
      </c>
      <c r="S9" s="12">
        <v>0</v>
      </c>
      <c r="T9" s="11">
        <f t="shared" si="5"/>
        <v>0</v>
      </c>
    </row>
    <row r="10" ht="14" customHeight="1" spans="1:20">
      <c r="A10" s="8">
        <v>6</v>
      </c>
      <c r="B10" s="9" t="s">
        <v>19</v>
      </c>
      <c r="C10" s="10">
        <v>70</v>
      </c>
      <c r="D10" s="10">
        <v>0</v>
      </c>
      <c r="E10" s="11">
        <f t="shared" si="0"/>
        <v>0</v>
      </c>
      <c r="F10" s="12">
        <v>900</v>
      </c>
      <c r="G10" s="12">
        <v>0</v>
      </c>
      <c r="H10" s="11">
        <f t="shared" si="1"/>
        <v>0</v>
      </c>
      <c r="I10" s="10">
        <v>25</v>
      </c>
      <c r="J10" s="10">
        <v>0</v>
      </c>
      <c r="K10" s="11">
        <f t="shared" si="2"/>
        <v>0</v>
      </c>
      <c r="L10" s="12">
        <v>300</v>
      </c>
      <c r="M10" s="12">
        <v>0</v>
      </c>
      <c r="N10" s="11">
        <f t="shared" si="3"/>
        <v>0</v>
      </c>
      <c r="O10" s="10">
        <v>31</v>
      </c>
      <c r="P10" s="10">
        <v>5</v>
      </c>
      <c r="Q10" s="11">
        <f t="shared" si="4"/>
        <v>0.161290322580645</v>
      </c>
      <c r="R10" s="12">
        <v>292.7166</v>
      </c>
      <c r="S10" s="12">
        <v>48.4</v>
      </c>
      <c r="T10" s="11">
        <f t="shared" si="5"/>
        <v>0.165347643420291</v>
      </c>
    </row>
    <row r="11" ht="14" customHeight="1" spans="1:20">
      <c r="A11" s="8">
        <v>7</v>
      </c>
      <c r="B11" s="9" t="s">
        <v>20</v>
      </c>
      <c r="C11" s="10">
        <v>80</v>
      </c>
      <c r="D11" s="10">
        <v>38</v>
      </c>
      <c r="E11" s="11">
        <f t="shared" si="0"/>
        <v>0.475</v>
      </c>
      <c r="F11" s="12">
        <v>1600</v>
      </c>
      <c r="G11" s="12">
        <v>1422.23</v>
      </c>
      <c r="H11" s="11">
        <f t="shared" si="1"/>
        <v>0.888893749999999</v>
      </c>
      <c r="I11" s="10">
        <v>23</v>
      </c>
      <c r="J11" s="10">
        <v>8</v>
      </c>
      <c r="K11" s="11">
        <f t="shared" si="2"/>
        <v>0.347826086956522</v>
      </c>
      <c r="L11" s="12">
        <v>370</v>
      </c>
      <c r="M11" s="12">
        <v>103.53</v>
      </c>
      <c r="N11" s="11">
        <f t="shared" si="3"/>
        <v>0.279810810810811</v>
      </c>
      <c r="O11" s="10">
        <v>4</v>
      </c>
      <c r="P11" s="10">
        <v>0</v>
      </c>
      <c r="Q11" s="11">
        <f t="shared" si="4"/>
        <v>0</v>
      </c>
      <c r="R11" s="12">
        <v>53</v>
      </c>
      <c r="S11" s="12">
        <v>0</v>
      </c>
      <c r="T11" s="11">
        <f t="shared" si="5"/>
        <v>0</v>
      </c>
    </row>
    <row r="12" ht="14" customHeight="1" spans="1:20">
      <c r="A12" s="8">
        <v>8</v>
      </c>
      <c r="B12" s="9" t="s">
        <v>21</v>
      </c>
      <c r="C12" s="10">
        <v>14</v>
      </c>
      <c r="D12" s="10">
        <v>12</v>
      </c>
      <c r="E12" s="11">
        <f t="shared" si="0"/>
        <v>0.857142857142857</v>
      </c>
      <c r="F12" s="12">
        <v>118</v>
      </c>
      <c r="G12" s="12">
        <v>89.98044</v>
      </c>
      <c r="H12" s="11">
        <f t="shared" si="1"/>
        <v>0.762546101694915</v>
      </c>
      <c r="I12" s="10">
        <v>6</v>
      </c>
      <c r="J12" s="10">
        <v>0</v>
      </c>
      <c r="K12" s="11">
        <f t="shared" si="2"/>
        <v>0</v>
      </c>
      <c r="L12" s="12">
        <v>49</v>
      </c>
      <c r="M12" s="12">
        <v>0</v>
      </c>
      <c r="N12" s="11">
        <f t="shared" si="3"/>
        <v>0</v>
      </c>
      <c r="O12" s="10">
        <v>6</v>
      </c>
      <c r="P12" s="10">
        <v>0</v>
      </c>
      <c r="Q12" s="11">
        <f t="shared" si="4"/>
        <v>0</v>
      </c>
      <c r="R12" s="12">
        <v>49</v>
      </c>
      <c r="S12" s="12">
        <v>0</v>
      </c>
      <c r="T12" s="11">
        <f t="shared" si="5"/>
        <v>0</v>
      </c>
    </row>
    <row r="13" ht="14" customHeight="1" spans="1:20">
      <c r="A13" s="8">
        <v>9</v>
      </c>
      <c r="B13" s="9" t="s">
        <v>22</v>
      </c>
      <c r="C13" s="10">
        <v>0</v>
      </c>
      <c r="D13" s="10">
        <v>0</v>
      </c>
      <c r="E13" s="11">
        <f t="shared" si="0"/>
        <v>0</v>
      </c>
      <c r="F13" s="12">
        <v>0</v>
      </c>
      <c r="G13" s="12">
        <v>0</v>
      </c>
      <c r="H13" s="11">
        <f t="shared" si="1"/>
        <v>0</v>
      </c>
      <c r="I13" s="10">
        <v>0</v>
      </c>
      <c r="J13" s="10">
        <v>0</v>
      </c>
      <c r="K13" s="11">
        <f t="shared" si="2"/>
        <v>0</v>
      </c>
      <c r="L13" s="12">
        <v>0</v>
      </c>
      <c r="M13" s="12">
        <v>0</v>
      </c>
      <c r="N13" s="11">
        <f t="shared" si="3"/>
        <v>0</v>
      </c>
      <c r="O13" s="10">
        <v>0</v>
      </c>
      <c r="P13" s="10">
        <v>0</v>
      </c>
      <c r="Q13" s="11">
        <f t="shared" si="4"/>
        <v>0</v>
      </c>
      <c r="R13" s="12">
        <v>0</v>
      </c>
      <c r="S13" s="12">
        <v>0</v>
      </c>
      <c r="T13" s="11">
        <f t="shared" si="5"/>
        <v>0</v>
      </c>
    </row>
    <row r="14" ht="14" customHeight="1" spans="1:20">
      <c r="A14" s="8">
        <v>10</v>
      </c>
      <c r="B14" s="9" t="s">
        <v>23</v>
      </c>
      <c r="C14" s="10">
        <v>0</v>
      </c>
      <c r="D14" s="10">
        <v>0</v>
      </c>
      <c r="E14" s="11">
        <f t="shared" si="0"/>
        <v>0</v>
      </c>
      <c r="F14" s="12">
        <v>0</v>
      </c>
      <c r="G14" s="12">
        <v>0</v>
      </c>
      <c r="H14" s="11">
        <f t="shared" si="1"/>
        <v>0</v>
      </c>
      <c r="I14" s="10">
        <v>0</v>
      </c>
      <c r="J14" s="10">
        <v>0</v>
      </c>
      <c r="K14" s="11">
        <f t="shared" si="2"/>
        <v>0</v>
      </c>
      <c r="L14" s="12">
        <v>0</v>
      </c>
      <c r="M14" s="12">
        <v>0</v>
      </c>
      <c r="N14" s="11">
        <f t="shared" si="3"/>
        <v>0</v>
      </c>
      <c r="O14" s="10">
        <v>0</v>
      </c>
      <c r="P14" s="10">
        <v>0</v>
      </c>
      <c r="Q14" s="11">
        <f t="shared" si="4"/>
        <v>0</v>
      </c>
      <c r="R14" s="12">
        <v>0</v>
      </c>
      <c r="S14" s="12">
        <v>0</v>
      </c>
      <c r="T14" s="11">
        <f t="shared" si="5"/>
        <v>0</v>
      </c>
    </row>
    <row r="15" ht="14" customHeight="1" spans="1:20">
      <c r="A15" s="13" t="s">
        <v>24</v>
      </c>
      <c r="B15" s="6"/>
      <c r="C15" s="14">
        <f>SUM(C5:C14)</f>
        <v>365</v>
      </c>
      <c r="D15" s="14">
        <f>SUM(D5:D14)</f>
        <v>132</v>
      </c>
      <c r="E15" s="15">
        <f t="shared" si="0"/>
        <v>0.361643835616438</v>
      </c>
      <c r="F15" s="16">
        <f>SUM(F5:F14)</f>
        <v>5720.1</v>
      </c>
      <c r="G15" s="16">
        <f>SUM(G5:G14)</f>
        <v>4739.17044</v>
      </c>
      <c r="H15" s="15">
        <f t="shared" si="1"/>
        <v>0.828511816226989</v>
      </c>
      <c r="I15" s="14">
        <f>SUM(I5:I14)</f>
        <v>152</v>
      </c>
      <c r="J15" s="14">
        <f>SUM(J5:J14)</f>
        <v>43</v>
      </c>
      <c r="K15" s="15">
        <f t="shared" si="2"/>
        <v>0.282894736842105</v>
      </c>
      <c r="L15" s="16">
        <f>SUM(L5:L14)</f>
        <v>2144.3</v>
      </c>
      <c r="M15" s="16">
        <f>SUM(M5:M14)</f>
        <v>600.04</v>
      </c>
      <c r="N15" s="15">
        <f t="shared" si="3"/>
        <v>0.27983024763326</v>
      </c>
      <c r="O15" s="14">
        <f>SUM(O5:O14)</f>
        <v>258</v>
      </c>
      <c r="P15" s="14">
        <f>SUM(P5:P14)</f>
        <v>71</v>
      </c>
      <c r="Q15" s="15">
        <f t="shared" si="4"/>
        <v>0.275193798449612</v>
      </c>
      <c r="R15" s="16">
        <f>SUM(R5:R14)</f>
        <v>3786.1166</v>
      </c>
      <c r="S15" s="16">
        <f>SUM(S5:S14)</f>
        <v>982.5</v>
      </c>
      <c r="T15" s="15">
        <f t="shared" si="5"/>
        <v>0.259500724304159</v>
      </c>
    </row>
    <row r="16" ht="14" customHeight="1" spans="1:20">
      <c r="A16" s="8">
        <v>11</v>
      </c>
      <c r="B16" s="9" t="s">
        <v>25</v>
      </c>
      <c r="C16" s="10">
        <v>10</v>
      </c>
      <c r="D16" s="10">
        <v>0</v>
      </c>
      <c r="E16" s="11">
        <f t="shared" si="0"/>
        <v>0</v>
      </c>
      <c r="F16" s="12">
        <v>8</v>
      </c>
      <c r="G16" s="12">
        <v>0</v>
      </c>
      <c r="H16" s="11">
        <f t="shared" si="1"/>
        <v>0</v>
      </c>
      <c r="I16" s="10">
        <v>8</v>
      </c>
      <c r="J16" s="10">
        <v>0</v>
      </c>
      <c r="K16" s="11">
        <f t="shared" si="2"/>
        <v>0</v>
      </c>
      <c r="L16" s="12">
        <v>48</v>
      </c>
      <c r="M16" s="12">
        <v>0</v>
      </c>
      <c r="N16" s="11">
        <f t="shared" si="3"/>
        <v>0</v>
      </c>
      <c r="O16" s="10">
        <v>6</v>
      </c>
      <c r="P16" s="10">
        <v>0</v>
      </c>
      <c r="Q16" s="11">
        <f t="shared" si="4"/>
        <v>0</v>
      </c>
      <c r="R16" s="12">
        <v>60</v>
      </c>
      <c r="S16" s="12">
        <v>0</v>
      </c>
      <c r="T16" s="11">
        <f t="shared" si="5"/>
        <v>0</v>
      </c>
    </row>
    <row r="17" ht="14" customHeight="1" spans="1:20">
      <c r="A17" s="8">
        <v>12</v>
      </c>
      <c r="B17" s="9" t="s">
        <v>26</v>
      </c>
      <c r="C17" s="10">
        <v>47</v>
      </c>
      <c r="D17" s="10">
        <v>0</v>
      </c>
      <c r="E17" s="11">
        <f t="shared" si="0"/>
        <v>0</v>
      </c>
      <c r="F17" s="12">
        <v>1000</v>
      </c>
      <c r="G17" s="12">
        <v>0</v>
      </c>
      <c r="H17" s="11">
        <f t="shared" si="1"/>
        <v>0</v>
      </c>
      <c r="I17" s="10">
        <v>0</v>
      </c>
      <c r="J17" s="10">
        <v>0</v>
      </c>
      <c r="K17" s="11">
        <f t="shared" si="2"/>
        <v>0</v>
      </c>
      <c r="L17" s="12">
        <v>0</v>
      </c>
      <c r="M17" s="12">
        <v>0</v>
      </c>
      <c r="N17" s="11">
        <f t="shared" si="3"/>
        <v>0</v>
      </c>
      <c r="O17" s="10">
        <v>9</v>
      </c>
      <c r="P17" s="10">
        <v>7</v>
      </c>
      <c r="Q17" s="11">
        <f t="shared" si="4"/>
        <v>0.777777777777778</v>
      </c>
      <c r="R17" s="12">
        <v>180</v>
      </c>
      <c r="S17" s="12">
        <v>130.509452</v>
      </c>
      <c r="T17" s="11">
        <f t="shared" si="5"/>
        <v>0.725052511111111</v>
      </c>
    </row>
    <row r="18" ht="14" customHeight="1" spans="1:20">
      <c r="A18" s="8">
        <v>13</v>
      </c>
      <c r="B18" s="9" t="s">
        <v>27</v>
      </c>
      <c r="C18" s="10">
        <v>49</v>
      </c>
      <c r="D18" s="10">
        <v>0</v>
      </c>
      <c r="E18" s="11">
        <f t="shared" si="0"/>
        <v>0</v>
      </c>
      <c r="F18" s="12">
        <v>1010</v>
      </c>
      <c r="G18" s="12">
        <v>0</v>
      </c>
      <c r="H18" s="11">
        <f t="shared" si="1"/>
        <v>0</v>
      </c>
      <c r="I18" s="10">
        <v>10</v>
      </c>
      <c r="J18" s="10">
        <v>4</v>
      </c>
      <c r="K18" s="11">
        <f t="shared" si="2"/>
        <v>0.4</v>
      </c>
      <c r="L18" s="12">
        <v>400</v>
      </c>
      <c r="M18" s="12">
        <v>101.163686</v>
      </c>
      <c r="N18" s="11">
        <f t="shared" si="3"/>
        <v>0.252909215</v>
      </c>
      <c r="O18" s="10">
        <v>13</v>
      </c>
      <c r="P18" s="10">
        <v>5</v>
      </c>
      <c r="Q18" s="11">
        <f t="shared" si="4"/>
        <v>0.384615384615385</v>
      </c>
      <c r="R18" s="12">
        <v>470</v>
      </c>
      <c r="S18" s="12">
        <v>207.427299</v>
      </c>
      <c r="T18" s="11">
        <f t="shared" si="5"/>
        <v>0.441334678723404</v>
      </c>
    </row>
    <row r="19" ht="14" customHeight="1" spans="1:20">
      <c r="A19" s="8">
        <v>14</v>
      </c>
      <c r="B19" s="9" t="s">
        <v>28</v>
      </c>
      <c r="C19" s="10">
        <v>10</v>
      </c>
      <c r="D19" s="10">
        <v>0</v>
      </c>
      <c r="E19" s="11">
        <f t="shared" si="0"/>
        <v>0</v>
      </c>
      <c r="F19" s="12">
        <v>80</v>
      </c>
      <c r="G19" s="12">
        <v>0</v>
      </c>
      <c r="H19" s="11">
        <f t="shared" si="1"/>
        <v>0</v>
      </c>
      <c r="I19" s="10">
        <v>2</v>
      </c>
      <c r="J19" s="10">
        <v>1</v>
      </c>
      <c r="K19" s="11">
        <f t="shared" si="2"/>
        <v>0.5</v>
      </c>
      <c r="L19" s="12">
        <v>18.34</v>
      </c>
      <c r="M19" s="12">
        <v>15.08364</v>
      </c>
      <c r="N19" s="11">
        <f t="shared" si="3"/>
        <v>0.822444929116685</v>
      </c>
      <c r="O19" s="10">
        <v>3</v>
      </c>
      <c r="P19" s="10">
        <v>0</v>
      </c>
      <c r="Q19" s="11">
        <f t="shared" si="4"/>
        <v>0</v>
      </c>
      <c r="R19" s="12">
        <v>37.73</v>
      </c>
      <c r="S19" s="12">
        <v>0</v>
      </c>
      <c r="T19" s="11">
        <f t="shared" si="5"/>
        <v>0</v>
      </c>
    </row>
    <row r="20" ht="14" customHeight="1" spans="1:20">
      <c r="A20" s="8">
        <v>15</v>
      </c>
      <c r="B20" s="9" t="s">
        <v>29</v>
      </c>
      <c r="C20" s="10">
        <v>20</v>
      </c>
      <c r="D20" s="10">
        <v>5</v>
      </c>
      <c r="E20" s="11">
        <f t="shared" si="0"/>
        <v>0.25</v>
      </c>
      <c r="F20" s="12">
        <v>160</v>
      </c>
      <c r="G20" s="12">
        <v>33.9</v>
      </c>
      <c r="H20" s="11">
        <f t="shared" si="1"/>
        <v>0.211875</v>
      </c>
      <c r="I20" s="10">
        <v>10</v>
      </c>
      <c r="J20" s="10">
        <v>11</v>
      </c>
      <c r="K20" s="11">
        <f t="shared" si="2"/>
        <v>1.1</v>
      </c>
      <c r="L20" s="12">
        <v>100</v>
      </c>
      <c r="M20" s="12">
        <v>89.43</v>
      </c>
      <c r="N20" s="11">
        <f t="shared" si="3"/>
        <v>0.8943</v>
      </c>
      <c r="O20" s="10">
        <v>5</v>
      </c>
      <c r="P20" s="10">
        <v>0</v>
      </c>
      <c r="Q20" s="11">
        <f t="shared" si="4"/>
        <v>0</v>
      </c>
      <c r="R20" s="12">
        <v>40</v>
      </c>
      <c r="S20" s="12">
        <v>0</v>
      </c>
      <c r="T20" s="11">
        <f t="shared" si="5"/>
        <v>0</v>
      </c>
    </row>
    <row r="21" ht="14" customHeight="1" spans="1:20">
      <c r="A21" s="8">
        <v>16</v>
      </c>
      <c r="B21" s="9" t="s">
        <v>30</v>
      </c>
      <c r="C21" s="10">
        <v>6</v>
      </c>
      <c r="D21" s="10">
        <v>0</v>
      </c>
      <c r="E21" s="11">
        <f t="shared" si="0"/>
        <v>0</v>
      </c>
      <c r="F21" s="12">
        <v>30</v>
      </c>
      <c r="G21" s="12">
        <v>0</v>
      </c>
      <c r="H21" s="11">
        <f t="shared" si="1"/>
        <v>0</v>
      </c>
      <c r="I21" s="10">
        <v>0</v>
      </c>
      <c r="J21" s="10">
        <v>0</v>
      </c>
      <c r="K21" s="11">
        <f t="shared" si="2"/>
        <v>0</v>
      </c>
      <c r="L21" s="12">
        <v>0</v>
      </c>
      <c r="M21" s="12">
        <v>0</v>
      </c>
      <c r="N21" s="11">
        <f t="shared" si="3"/>
        <v>0</v>
      </c>
      <c r="O21" s="10">
        <v>0</v>
      </c>
      <c r="P21" s="10">
        <v>0</v>
      </c>
      <c r="Q21" s="11">
        <f t="shared" si="4"/>
        <v>0</v>
      </c>
      <c r="R21" s="12">
        <v>0</v>
      </c>
      <c r="S21" s="12">
        <v>0</v>
      </c>
      <c r="T21" s="11">
        <f t="shared" si="5"/>
        <v>0</v>
      </c>
    </row>
    <row r="22" ht="14" customHeight="1" spans="1:20">
      <c r="A22" s="8">
        <v>17</v>
      </c>
      <c r="B22" s="9" t="s">
        <v>31</v>
      </c>
      <c r="C22" s="10">
        <v>2</v>
      </c>
      <c r="D22" s="10">
        <v>0</v>
      </c>
      <c r="E22" s="11">
        <f t="shared" si="0"/>
        <v>0</v>
      </c>
      <c r="F22" s="12">
        <v>47</v>
      </c>
      <c r="G22" s="12">
        <v>0</v>
      </c>
      <c r="H22" s="11">
        <f t="shared" si="1"/>
        <v>0</v>
      </c>
      <c r="I22" s="10">
        <v>9</v>
      </c>
      <c r="J22" s="10">
        <v>1</v>
      </c>
      <c r="K22" s="11">
        <f t="shared" si="2"/>
        <v>0.111111111111111</v>
      </c>
      <c r="L22" s="12">
        <v>200</v>
      </c>
      <c r="M22" s="12">
        <v>16.06</v>
      </c>
      <c r="N22" s="11">
        <f t="shared" si="3"/>
        <v>0.0803</v>
      </c>
      <c r="O22" s="10">
        <v>12</v>
      </c>
      <c r="P22" s="10">
        <v>0</v>
      </c>
      <c r="Q22" s="11">
        <f t="shared" si="4"/>
        <v>0</v>
      </c>
      <c r="R22" s="12">
        <v>260</v>
      </c>
      <c r="S22" s="12">
        <v>0</v>
      </c>
      <c r="T22" s="11">
        <f t="shared" si="5"/>
        <v>0</v>
      </c>
    </row>
    <row r="23" ht="14" customHeight="1" spans="1:20">
      <c r="A23" s="8">
        <v>18</v>
      </c>
      <c r="B23" s="9" t="s">
        <v>32</v>
      </c>
      <c r="C23" s="10">
        <v>4</v>
      </c>
      <c r="D23" s="10">
        <v>0</v>
      </c>
      <c r="E23" s="11">
        <f t="shared" si="0"/>
        <v>0</v>
      </c>
      <c r="F23" s="12">
        <v>40</v>
      </c>
      <c r="G23" s="12">
        <v>0</v>
      </c>
      <c r="H23" s="11">
        <f t="shared" si="1"/>
        <v>0</v>
      </c>
      <c r="I23" s="10">
        <v>2</v>
      </c>
      <c r="J23" s="10">
        <v>0</v>
      </c>
      <c r="K23" s="11">
        <f t="shared" si="2"/>
        <v>0</v>
      </c>
      <c r="L23" s="12">
        <v>20</v>
      </c>
      <c r="M23" s="12">
        <v>0</v>
      </c>
      <c r="N23" s="11">
        <f t="shared" si="3"/>
        <v>0</v>
      </c>
      <c r="O23" s="10">
        <v>4</v>
      </c>
      <c r="P23" s="10">
        <v>0</v>
      </c>
      <c r="Q23" s="11">
        <f t="shared" si="4"/>
        <v>0</v>
      </c>
      <c r="R23" s="12">
        <v>30</v>
      </c>
      <c r="S23" s="12">
        <v>0</v>
      </c>
      <c r="T23" s="11">
        <f t="shared" si="5"/>
        <v>0</v>
      </c>
    </row>
    <row r="24" ht="14" customHeight="1" spans="1:20">
      <c r="A24" s="8">
        <v>19</v>
      </c>
      <c r="B24" s="9" t="s">
        <v>33</v>
      </c>
      <c r="C24" s="10">
        <v>10</v>
      </c>
      <c r="D24" s="10">
        <v>6</v>
      </c>
      <c r="E24" s="11">
        <f t="shared" si="0"/>
        <v>0.6</v>
      </c>
      <c r="F24" s="12">
        <v>50</v>
      </c>
      <c r="G24" s="12">
        <v>36.66</v>
      </c>
      <c r="H24" s="11">
        <f t="shared" si="1"/>
        <v>0.7332</v>
      </c>
      <c r="I24" s="10">
        <v>0</v>
      </c>
      <c r="J24" s="10">
        <v>0</v>
      </c>
      <c r="K24" s="11">
        <f t="shared" si="2"/>
        <v>0</v>
      </c>
      <c r="L24" s="12">
        <v>0</v>
      </c>
      <c r="M24" s="12">
        <v>0</v>
      </c>
      <c r="N24" s="11">
        <f t="shared" si="3"/>
        <v>0</v>
      </c>
      <c r="O24" s="10">
        <v>0</v>
      </c>
      <c r="P24" s="10">
        <v>0</v>
      </c>
      <c r="Q24" s="11">
        <f t="shared" si="4"/>
        <v>0</v>
      </c>
      <c r="R24" s="12">
        <v>0</v>
      </c>
      <c r="S24" s="12">
        <v>0</v>
      </c>
      <c r="T24" s="11">
        <f t="shared" si="5"/>
        <v>0</v>
      </c>
    </row>
    <row r="25" ht="14" customHeight="1" spans="1:20">
      <c r="A25" s="13" t="s">
        <v>34</v>
      </c>
      <c r="B25" s="6"/>
      <c r="C25" s="14">
        <f>SUM(C16:C24)</f>
        <v>158</v>
      </c>
      <c r="D25" s="14">
        <f>SUM(D16:D24)</f>
        <v>11</v>
      </c>
      <c r="E25" s="15">
        <f t="shared" si="0"/>
        <v>0.069620253164557</v>
      </c>
      <c r="F25" s="16">
        <f>SUM(F16:F24)</f>
        <v>2425</v>
      </c>
      <c r="G25" s="16">
        <f>SUM(G16:G24)</f>
        <v>70.56</v>
      </c>
      <c r="H25" s="15">
        <f t="shared" si="1"/>
        <v>0.0290969072164948</v>
      </c>
      <c r="I25" s="14">
        <f>SUM(I16:I24)</f>
        <v>41</v>
      </c>
      <c r="J25" s="14">
        <f>SUM(J16:J24)</f>
        <v>17</v>
      </c>
      <c r="K25" s="15">
        <f t="shared" si="2"/>
        <v>0.414634146341463</v>
      </c>
      <c r="L25" s="16">
        <f>SUM(L16:L24)</f>
        <v>786.34</v>
      </c>
      <c r="M25" s="16">
        <f>SUM(M16:M24)</f>
        <v>221.737326</v>
      </c>
      <c r="N25" s="15">
        <f t="shared" si="3"/>
        <v>0.281986578324898</v>
      </c>
      <c r="O25" s="14">
        <f>SUM(O16:O24)</f>
        <v>52</v>
      </c>
      <c r="P25" s="14">
        <f>SUM(P16:P24)</f>
        <v>12</v>
      </c>
      <c r="Q25" s="15">
        <f t="shared" si="4"/>
        <v>0.230769230769231</v>
      </c>
      <c r="R25" s="16">
        <f>SUM(R16:R24)</f>
        <v>1077.73</v>
      </c>
      <c r="S25" s="16">
        <f>SUM(S16:S24)</f>
        <v>337.936751</v>
      </c>
      <c r="T25" s="15">
        <f t="shared" si="5"/>
        <v>0.313563463019495</v>
      </c>
    </row>
    <row r="26" ht="14" customHeight="1" spans="1:20">
      <c r="A26" s="8">
        <v>20</v>
      </c>
      <c r="B26" s="9" t="s">
        <v>35</v>
      </c>
      <c r="C26" s="10">
        <v>12</v>
      </c>
      <c r="D26" s="10">
        <v>0</v>
      </c>
      <c r="E26" s="11">
        <f t="shared" si="0"/>
        <v>0</v>
      </c>
      <c r="F26" s="12">
        <v>60</v>
      </c>
      <c r="G26" s="12">
        <v>0</v>
      </c>
      <c r="H26" s="11">
        <f t="shared" si="1"/>
        <v>0</v>
      </c>
      <c r="I26" s="10">
        <v>6</v>
      </c>
      <c r="J26" s="10">
        <v>0</v>
      </c>
      <c r="K26" s="11">
        <f t="shared" si="2"/>
        <v>0</v>
      </c>
      <c r="L26" s="12">
        <v>30</v>
      </c>
      <c r="M26" s="12">
        <v>0</v>
      </c>
      <c r="N26" s="11">
        <f t="shared" si="3"/>
        <v>0</v>
      </c>
      <c r="O26" s="10">
        <v>2</v>
      </c>
      <c r="P26" s="10">
        <v>0</v>
      </c>
      <c r="Q26" s="11">
        <f t="shared" si="4"/>
        <v>0</v>
      </c>
      <c r="R26" s="12">
        <v>10</v>
      </c>
      <c r="S26" s="12">
        <v>0</v>
      </c>
      <c r="T26" s="11">
        <f t="shared" si="5"/>
        <v>0</v>
      </c>
    </row>
    <row r="27" ht="14" customHeight="1" spans="1:20">
      <c r="A27" s="8">
        <v>21</v>
      </c>
      <c r="B27" s="9" t="s">
        <v>36</v>
      </c>
      <c r="C27" s="10">
        <v>3</v>
      </c>
      <c r="D27" s="10">
        <v>8</v>
      </c>
      <c r="E27" s="11">
        <f t="shared" si="0"/>
        <v>2.66666666666667</v>
      </c>
      <c r="F27" s="12">
        <v>80.88</v>
      </c>
      <c r="G27" s="12">
        <v>70.5</v>
      </c>
      <c r="H27" s="11">
        <f t="shared" si="1"/>
        <v>0.871661721068249</v>
      </c>
      <c r="I27" s="10">
        <v>2</v>
      </c>
      <c r="J27" s="10">
        <v>0</v>
      </c>
      <c r="K27" s="11">
        <f t="shared" si="2"/>
        <v>0</v>
      </c>
      <c r="L27" s="12">
        <v>26.86</v>
      </c>
      <c r="M27" s="12">
        <v>0</v>
      </c>
      <c r="N27" s="11">
        <f t="shared" si="3"/>
        <v>0</v>
      </c>
      <c r="O27" s="10">
        <v>5</v>
      </c>
      <c r="P27" s="10">
        <v>0</v>
      </c>
      <c r="Q27" s="11">
        <f t="shared" si="4"/>
        <v>0</v>
      </c>
      <c r="R27" s="12">
        <v>90.1707064</v>
      </c>
      <c r="S27" s="12">
        <v>0</v>
      </c>
      <c r="T27" s="11">
        <f t="shared" si="5"/>
        <v>0</v>
      </c>
    </row>
    <row r="28" ht="14" customHeight="1" spans="1:20">
      <c r="A28" s="8">
        <v>22</v>
      </c>
      <c r="B28" s="9" t="s">
        <v>37</v>
      </c>
      <c r="C28" s="10">
        <v>6</v>
      </c>
      <c r="D28" s="10">
        <v>0</v>
      </c>
      <c r="E28" s="11">
        <f t="shared" si="0"/>
        <v>0</v>
      </c>
      <c r="F28" s="12">
        <v>44.88</v>
      </c>
      <c r="G28" s="12">
        <v>0</v>
      </c>
      <c r="H28" s="11">
        <f t="shared" si="1"/>
        <v>0</v>
      </c>
      <c r="I28" s="10">
        <v>2</v>
      </c>
      <c r="J28" s="10">
        <v>0</v>
      </c>
      <c r="K28" s="11">
        <f t="shared" si="2"/>
        <v>0</v>
      </c>
      <c r="L28" s="12">
        <v>14.96</v>
      </c>
      <c r="M28" s="12">
        <v>0</v>
      </c>
      <c r="N28" s="11">
        <f t="shared" si="3"/>
        <v>0</v>
      </c>
      <c r="O28" s="10">
        <v>2</v>
      </c>
      <c r="P28" s="10">
        <v>0</v>
      </c>
      <c r="Q28" s="11">
        <f t="shared" si="4"/>
        <v>0</v>
      </c>
      <c r="R28" s="12">
        <v>14.96</v>
      </c>
      <c r="S28" s="12">
        <v>0</v>
      </c>
      <c r="T28" s="11">
        <f t="shared" si="5"/>
        <v>0</v>
      </c>
    </row>
    <row r="29" ht="14" customHeight="1" spans="1:20">
      <c r="A29" s="8">
        <v>23</v>
      </c>
      <c r="B29" s="9" t="s">
        <v>38</v>
      </c>
      <c r="C29" s="10">
        <v>35</v>
      </c>
      <c r="D29" s="10">
        <v>1</v>
      </c>
      <c r="E29" s="11">
        <f t="shared" si="0"/>
        <v>0.0285714285714286</v>
      </c>
      <c r="F29" s="12">
        <v>293.12</v>
      </c>
      <c r="G29" s="12">
        <v>11.58839</v>
      </c>
      <c r="H29" s="11">
        <f t="shared" si="1"/>
        <v>0.0395346274563319</v>
      </c>
      <c r="I29" s="10">
        <v>5</v>
      </c>
      <c r="J29" s="10">
        <v>1</v>
      </c>
      <c r="K29" s="11">
        <f t="shared" si="2"/>
        <v>0.2</v>
      </c>
      <c r="L29" s="12">
        <v>36.85</v>
      </c>
      <c r="M29" s="12">
        <v>8.501688</v>
      </c>
      <c r="N29" s="11">
        <f t="shared" si="3"/>
        <v>0.230710664857531</v>
      </c>
      <c r="O29" s="10">
        <v>4</v>
      </c>
      <c r="P29" s="10">
        <v>1</v>
      </c>
      <c r="Q29" s="11">
        <f t="shared" si="4"/>
        <v>0.25</v>
      </c>
      <c r="R29" s="12">
        <v>29.07</v>
      </c>
      <c r="S29" s="12">
        <v>7.408252</v>
      </c>
      <c r="T29" s="11">
        <f t="shared" si="5"/>
        <v>0.254841830065359</v>
      </c>
    </row>
    <row r="30" ht="14" customHeight="1" spans="1:20">
      <c r="A30" s="8">
        <v>24</v>
      </c>
      <c r="B30" s="9" t="s">
        <v>39</v>
      </c>
      <c r="C30" s="10">
        <v>5</v>
      </c>
      <c r="D30" s="10">
        <v>0</v>
      </c>
      <c r="E30" s="11">
        <f t="shared" si="0"/>
        <v>0</v>
      </c>
      <c r="F30" s="12">
        <v>80</v>
      </c>
      <c r="G30" s="12">
        <v>0</v>
      </c>
      <c r="H30" s="11">
        <f t="shared" si="1"/>
        <v>0</v>
      </c>
      <c r="I30" s="10">
        <v>3</v>
      </c>
      <c r="J30" s="10">
        <v>0</v>
      </c>
      <c r="K30" s="11">
        <f t="shared" si="2"/>
        <v>0</v>
      </c>
      <c r="L30" s="12">
        <v>30</v>
      </c>
      <c r="M30" s="12">
        <v>0</v>
      </c>
      <c r="N30" s="11">
        <f t="shared" si="3"/>
        <v>0</v>
      </c>
      <c r="O30" s="10">
        <v>4</v>
      </c>
      <c r="P30" s="10">
        <v>1</v>
      </c>
      <c r="Q30" s="11">
        <f t="shared" si="4"/>
        <v>0.25</v>
      </c>
      <c r="R30" s="12">
        <v>40</v>
      </c>
      <c r="S30" s="12">
        <v>8.719767</v>
      </c>
      <c r="T30" s="11">
        <f t="shared" si="5"/>
        <v>0.217994175</v>
      </c>
    </row>
    <row r="31" ht="14" customHeight="1" spans="1:20">
      <c r="A31" s="8">
        <v>25</v>
      </c>
      <c r="B31" s="9" t="s">
        <v>40</v>
      </c>
      <c r="C31" s="10">
        <v>9</v>
      </c>
      <c r="D31" s="10">
        <v>0</v>
      </c>
      <c r="E31" s="11">
        <f t="shared" si="0"/>
        <v>0</v>
      </c>
      <c r="F31" s="12">
        <v>100</v>
      </c>
      <c r="G31" s="12">
        <v>0</v>
      </c>
      <c r="H31" s="11">
        <f t="shared" si="1"/>
        <v>0</v>
      </c>
      <c r="I31" s="10">
        <v>0</v>
      </c>
      <c r="J31" s="10">
        <v>0</v>
      </c>
      <c r="K31" s="11">
        <f t="shared" si="2"/>
        <v>0</v>
      </c>
      <c r="L31" s="12">
        <v>0</v>
      </c>
      <c r="M31" s="12">
        <v>0</v>
      </c>
      <c r="N31" s="11">
        <f t="shared" si="3"/>
        <v>0</v>
      </c>
      <c r="O31" s="10">
        <v>0</v>
      </c>
      <c r="P31" s="10">
        <v>0</v>
      </c>
      <c r="Q31" s="11">
        <f t="shared" si="4"/>
        <v>0</v>
      </c>
      <c r="R31" s="12">
        <v>0</v>
      </c>
      <c r="S31" s="12">
        <v>0</v>
      </c>
      <c r="T31" s="11">
        <f t="shared" si="5"/>
        <v>0</v>
      </c>
    </row>
    <row r="32" ht="14" customHeight="1" spans="1:20">
      <c r="A32" s="8">
        <v>26</v>
      </c>
      <c r="B32" s="9" t="s">
        <v>41</v>
      </c>
      <c r="C32" s="10">
        <v>11</v>
      </c>
      <c r="D32" s="10">
        <v>0</v>
      </c>
      <c r="E32" s="11">
        <f t="shared" si="0"/>
        <v>0</v>
      </c>
      <c r="F32" s="12">
        <v>160</v>
      </c>
      <c r="G32" s="12">
        <v>0</v>
      </c>
      <c r="H32" s="11">
        <f t="shared" si="1"/>
        <v>0</v>
      </c>
      <c r="I32" s="10">
        <v>3</v>
      </c>
      <c r="J32" s="10">
        <v>0</v>
      </c>
      <c r="K32" s="11">
        <f t="shared" si="2"/>
        <v>0</v>
      </c>
      <c r="L32" s="12">
        <v>32</v>
      </c>
      <c r="M32" s="12">
        <v>0</v>
      </c>
      <c r="N32" s="11">
        <f t="shared" si="3"/>
        <v>0</v>
      </c>
      <c r="O32" s="10">
        <v>3</v>
      </c>
      <c r="P32" s="10">
        <v>0</v>
      </c>
      <c r="Q32" s="11">
        <f t="shared" si="4"/>
        <v>0</v>
      </c>
      <c r="R32" s="12">
        <v>16</v>
      </c>
      <c r="S32" s="12">
        <v>0</v>
      </c>
      <c r="T32" s="11">
        <f t="shared" si="5"/>
        <v>0</v>
      </c>
    </row>
    <row r="33" ht="14" customHeight="1" spans="1:20">
      <c r="A33" s="8">
        <v>27</v>
      </c>
      <c r="B33" s="9" t="s">
        <v>42</v>
      </c>
      <c r="C33" s="10">
        <v>2</v>
      </c>
      <c r="D33" s="10">
        <v>0</v>
      </c>
      <c r="E33" s="11">
        <f t="shared" si="0"/>
        <v>0</v>
      </c>
      <c r="F33" s="12">
        <v>14</v>
      </c>
      <c r="G33" s="12">
        <v>0</v>
      </c>
      <c r="H33" s="11">
        <f t="shared" si="1"/>
        <v>0</v>
      </c>
      <c r="I33" s="10">
        <v>2</v>
      </c>
      <c r="J33" s="10">
        <v>0</v>
      </c>
      <c r="K33" s="11">
        <f t="shared" si="2"/>
        <v>0</v>
      </c>
      <c r="L33" s="12">
        <v>14</v>
      </c>
      <c r="M33" s="12">
        <v>0</v>
      </c>
      <c r="N33" s="11">
        <f t="shared" si="3"/>
        <v>0</v>
      </c>
      <c r="O33" s="10">
        <v>1</v>
      </c>
      <c r="P33" s="10">
        <v>0</v>
      </c>
      <c r="Q33" s="11">
        <f t="shared" si="4"/>
        <v>0</v>
      </c>
      <c r="R33" s="12">
        <v>7.21</v>
      </c>
      <c r="S33" s="12">
        <v>0</v>
      </c>
      <c r="T33" s="11">
        <f t="shared" si="5"/>
        <v>0</v>
      </c>
    </row>
    <row r="34" ht="14" customHeight="1" spans="1:20">
      <c r="A34" s="8">
        <v>28</v>
      </c>
      <c r="B34" s="9" t="s">
        <v>43</v>
      </c>
      <c r="C34" s="10">
        <v>16</v>
      </c>
      <c r="D34" s="10">
        <v>0</v>
      </c>
      <c r="E34" s="11">
        <f t="shared" si="0"/>
        <v>0</v>
      </c>
      <c r="F34" s="12">
        <v>204.55</v>
      </c>
      <c r="G34" s="12">
        <v>0</v>
      </c>
      <c r="H34" s="11">
        <f t="shared" si="1"/>
        <v>0</v>
      </c>
      <c r="I34" s="10">
        <v>16</v>
      </c>
      <c r="J34" s="10">
        <v>0</v>
      </c>
      <c r="K34" s="11">
        <f t="shared" si="2"/>
        <v>0</v>
      </c>
      <c r="L34" s="12">
        <v>204.55</v>
      </c>
      <c r="M34" s="12">
        <v>0</v>
      </c>
      <c r="N34" s="11">
        <f t="shared" si="3"/>
        <v>0</v>
      </c>
      <c r="O34" s="10">
        <v>9</v>
      </c>
      <c r="P34" s="10">
        <v>0</v>
      </c>
      <c r="Q34" s="11">
        <f t="shared" si="4"/>
        <v>0</v>
      </c>
      <c r="R34" s="12">
        <v>82.28</v>
      </c>
      <c r="S34" s="12">
        <v>0</v>
      </c>
      <c r="T34" s="11">
        <f t="shared" si="5"/>
        <v>0</v>
      </c>
    </row>
    <row r="35" ht="14" customHeight="1" spans="1:20">
      <c r="A35" s="8">
        <v>29</v>
      </c>
      <c r="B35" s="9" t="s">
        <v>44</v>
      </c>
      <c r="C35" s="10">
        <v>8</v>
      </c>
      <c r="D35" s="10">
        <v>0</v>
      </c>
      <c r="E35" s="11">
        <f t="shared" si="0"/>
        <v>0</v>
      </c>
      <c r="F35" s="12">
        <v>70</v>
      </c>
      <c r="G35" s="12">
        <v>0</v>
      </c>
      <c r="H35" s="11">
        <f t="shared" si="1"/>
        <v>0</v>
      </c>
      <c r="I35" s="10">
        <v>0</v>
      </c>
      <c r="J35" s="10">
        <v>0</v>
      </c>
      <c r="K35" s="11">
        <f t="shared" si="2"/>
        <v>0</v>
      </c>
      <c r="L35" s="12">
        <v>0</v>
      </c>
      <c r="M35" s="12">
        <v>0</v>
      </c>
      <c r="N35" s="11">
        <f t="shared" si="3"/>
        <v>0</v>
      </c>
      <c r="O35" s="10">
        <v>0</v>
      </c>
      <c r="P35" s="10">
        <v>0</v>
      </c>
      <c r="Q35" s="11">
        <f t="shared" si="4"/>
        <v>0</v>
      </c>
      <c r="R35" s="12">
        <v>0</v>
      </c>
      <c r="S35" s="12">
        <v>0</v>
      </c>
      <c r="T35" s="11">
        <f t="shared" si="5"/>
        <v>0</v>
      </c>
    </row>
    <row r="36" ht="14" customHeight="1" spans="1:20">
      <c r="A36" s="8">
        <v>30</v>
      </c>
      <c r="B36" s="9" t="s">
        <v>45</v>
      </c>
      <c r="C36" s="10">
        <v>19</v>
      </c>
      <c r="D36" s="10">
        <v>0</v>
      </c>
      <c r="E36" s="11">
        <f t="shared" si="0"/>
        <v>0</v>
      </c>
      <c r="F36" s="12">
        <v>170</v>
      </c>
      <c r="G36" s="12">
        <v>0</v>
      </c>
      <c r="H36" s="11">
        <f t="shared" si="1"/>
        <v>0</v>
      </c>
      <c r="I36" s="10">
        <v>0</v>
      </c>
      <c r="J36" s="10">
        <v>0</v>
      </c>
      <c r="K36" s="11">
        <f t="shared" si="2"/>
        <v>0</v>
      </c>
      <c r="L36" s="12">
        <v>0</v>
      </c>
      <c r="M36" s="12">
        <v>0</v>
      </c>
      <c r="N36" s="11">
        <f t="shared" si="3"/>
        <v>0</v>
      </c>
      <c r="O36" s="10">
        <v>0</v>
      </c>
      <c r="P36" s="10">
        <v>0</v>
      </c>
      <c r="Q36" s="11">
        <f t="shared" si="4"/>
        <v>0</v>
      </c>
      <c r="R36" s="12">
        <v>0</v>
      </c>
      <c r="S36" s="12">
        <v>0</v>
      </c>
      <c r="T36" s="11">
        <f t="shared" si="5"/>
        <v>0</v>
      </c>
    </row>
    <row r="37" ht="14" customHeight="1" spans="1:20">
      <c r="A37" s="13" t="s">
        <v>46</v>
      </c>
      <c r="B37" s="6"/>
      <c r="C37" s="14">
        <f>SUM(C26:C36)</f>
        <v>126</v>
      </c>
      <c r="D37" s="14">
        <f>SUM(D26:D36)</f>
        <v>9</v>
      </c>
      <c r="E37" s="15">
        <f t="shared" si="0"/>
        <v>0.0714285714285714</v>
      </c>
      <c r="F37" s="16">
        <f>SUM(F26:F36)</f>
        <v>1277.43</v>
      </c>
      <c r="G37" s="16">
        <f>SUM(G26:G36)</f>
        <v>82.08839</v>
      </c>
      <c r="H37" s="15">
        <f t="shared" si="1"/>
        <v>0.0642605778790227</v>
      </c>
      <c r="I37" s="14">
        <f>SUM(I26:I36)</f>
        <v>39</v>
      </c>
      <c r="J37" s="14">
        <f>SUM(J26:J36)</f>
        <v>1</v>
      </c>
      <c r="K37" s="15">
        <f t="shared" si="2"/>
        <v>0.0256410256410256</v>
      </c>
      <c r="L37" s="16">
        <f>SUM(L26:L36)</f>
        <v>389.22</v>
      </c>
      <c r="M37" s="16">
        <f>SUM(M26:M36)</f>
        <v>8.501688</v>
      </c>
      <c r="N37" s="15">
        <f t="shared" si="3"/>
        <v>0.0218428857715431</v>
      </c>
      <c r="O37" s="14">
        <f>SUM(O26:O36)</f>
        <v>30</v>
      </c>
      <c r="P37" s="14">
        <f>SUM(P26:P36)</f>
        <v>2</v>
      </c>
      <c r="Q37" s="15">
        <f t="shared" si="4"/>
        <v>0.0666666666666667</v>
      </c>
      <c r="R37" s="16">
        <f>SUM(R26:R36)</f>
        <v>289.6907064</v>
      </c>
      <c r="S37" s="16">
        <f>SUM(S26:S36)</f>
        <v>16.128019</v>
      </c>
      <c r="T37" s="15">
        <f t="shared" si="5"/>
        <v>0.0556732357776459</v>
      </c>
    </row>
    <row r="38" ht="14" customHeight="1" spans="1:20">
      <c r="A38" s="8">
        <v>31</v>
      </c>
      <c r="B38" s="9" t="s">
        <v>47</v>
      </c>
      <c r="C38" s="10">
        <v>70</v>
      </c>
      <c r="D38" s="10">
        <v>0</v>
      </c>
      <c r="E38" s="11">
        <f t="shared" si="0"/>
        <v>0</v>
      </c>
      <c r="F38" s="12">
        <v>816.9704</v>
      </c>
      <c r="G38" s="12">
        <v>0</v>
      </c>
      <c r="H38" s="11">
        <f t="shared" si="1"/>
        <v>0</v>
      </c>
      <c r="I38" s="10">
        <v>10</v>
      </c>
      <c r="J38" s="10">
        <v>0</v>
      </c>
      <c r="K38" s="11">
        <f t="shared" si="2"/>
        <v>0</v>
      </c>
      <c r="L38" s="12">
        <v>155</v>
      </c>
      <c r="M38" s="12">
        <v>0</v>
      </c>
      <c r="N38" s="11">
        <f t="shared" si="3"/>
        <v>0</v>
      </c>
      <c r="O38" s="10">
        <v>10</v>
      </c>
      <c r="P38" s="10">
        <v>0</v>
      </c>
      <c r="Q38" s="11">
        <f t="shared" si="4"/>
        <v>0</v>
      </c>
      <c r="R38" s="12">
        <v>160</v>
      </c>
      <c r="S38" s="12">
        <v>0</v>
      </c>
      <c r="T38" s="11">
        <f t="shared" si="5"/>
        <v>0</v>
      </c>
    </row>
    <row r="39" ht="14" customHeight="1" spans="1:20">
      <c r="A39" s="8">
        <v>32</v>
      </c>
      <c r="B39" s="9" t="s">
        <v>48</v>
      </c>
      <c r="C39" s="10">
        <v>92</v>
      </c>
      <c r="D39" s="10">
        <v>0</v>
      </c>
      <c r="E39" s="11">
        <f t="shared" si="0"/>
        <v>0</v>
      </c>
      <c r="F39" s="12">
        <v>990.28</v>
      </c>
      <c r="G39" s="12">
        <v>0</v>
      </c>
      <c r="H39" s="11">
        <f t="shared" si="1"/>
        <v>0</v>
      </c>
      <c r="I39" s="10">
        <v>10</v>
      </c>
      <c r="J39" s="10">
        <v>0</v>
      </c>
      <c r="K39" s="11">
        <f t="shared" si="2"/>
        <v>0</v>
      </c>
      <c r="L39" s="12">
        <v>105</v>
      </c>
      <c r="M39" s="12">
        <v>0</v>
      </c>
      <c r="N39" s="11">
        <f t="shared" si="3"/>
        <v>0</v>
      </c>
      <c r="O39" s="10">
        <v>8</v>
      </c>
      <c r="P39" s="10">
        <v>2</v>
      </c>
      <c r="Q39" s="11">
        <f t="shared" si="4"/>
        <v>0.25</v>
      </c>
      <c r="R39" s="12">
        <v>70</v>
      </c>
      <c r="S39" s="12">
        <v>10.96992</v>
      </c>
      <c r="T39" s="11">
        <f t="shared" si="5"/>
        <v>0.156713142857143</v>
      </c>
    </row>
    <row r="40" ht="14" customHeight="1" spans="1:20">
      <c r="A40" s="8">
        <v>33</v>
      </c>
      <c r="B40" s="9" t="s">
        <v>49</v>
      </c>
      <c r="C40" s="10">
        <v>90</v>
      </c>
      <c r="D40" s="10">
        <v>40</v>
      </c>
      <c r="E40" s="11">
        <f t="shared" si="0"/>
        <v>0.444444444444444</v>
      </c>
      <c r="F40" s="12">
        <v>732.3624</v>
      </c>
      <c r="G40" s="12">
        <v>239.94784</v>
      </c>
      <c r="H40" s="11">
        <f t="shared" si="1"/>
        <v>0.327635389255374</v>
      </c>
      <c r="I40" s="10">
        <v>15</v>
      </c>
      <c r="J40" s="10">
        <v>0</v>
      </c>
      <c r="K40" s="11">
        <f t="shared" si="2"/>
        <v>0</v>
      </c>
      <c r="L40" s="12">
        <v>180</v>
      </c>
      <c r="M40" s="12">
        <v>0</v>
      </c>
      <c r="N40" s="11">
        <f t="shared" si="3"/>
        <v>0</v>
      </c>
      <c r="O40" s="10">
        <v>5</v>
      </c>
      <c r="P40" s="10">
        <v>0</v>
      </c>
      <c r="Q40" s="11">
        <f t="shared" si="4"/>
        <v>0</v>
      </c>
      <c r="R40" s="12">
        <v>45</v>
      </c>
      <c r="S40" s="12">
        <v>0</v>
      </c>
      <c r="T40" s="11">
        <f t="shared" si="5"/>
        <v>0</v>
      </c>
    </row>
    <row r="41" ht="14" customHeight="1" spans="1:20">
      <c r="A41" s="8">
        <v>34</v>
      </c>
      <c r="B41" s="9" t="s">
        <v>50</v>
      </c>
      <c r="C41" s="10">
        <v>29</v>
      </c>
      <c r="D41" s="10">
        <v>0</v>
      </c>
      <c r="E41" s="11">
        <f t="shared" si="0"/>
        <v>0</v>
      </c>
      <c r="F41" s="12">
        <v>271.2384</v>
      </c>
      <c r="G41" s="12">
        <v>0</v>
      </c>
      <c r="H41" s="11">
        <f t="shared" si="1"/>
        <v>0</v>
      </c>
      <c r="I41" s="10">
        <v>3</v>
      </c>
      <c r="J41" s="10">
        <v>0</v>
      </c>
      <c r="K41" s="11">
        <f t="shared" si="2"/>
        <v>0</v>
      </c>
      <c r="L41" s="12">
        <v>25</v>
      </c>
      <c r="M41" s="12">
        <v>0</v>
      </c>
      <c r="N41" s="11">
        <f t="shared" si="3"/>
        <v>0</v>
      </c>
      <c r="O41" s="10">
        <v>2</v>
      </c>
      <c r="P41" s="10">
        <v>0</v>
      </c>
      <c r="Q41" s="11">
        <f t="shared" si="4"/>
        <v>0</v>
      </c>
      <c r="R41" s="12">
        <v>17</v>
      </c>
      <c r="S41" s="12">
        <v>0</v>
      </c>
      <c r="T41" s="11">
        <f t="shared" si="5"/>
        <v>0</v>
      </c>
    </row>
    <row r="42" ht="14" customHeight="1" spans="1:20">
      <c r="A42" s="8">
        <v>35</v>
      </c>
      <c r="B42" s="9" t="s">
        <v>51</v>
      </c>
      <c r="C42" s="10">
        <v>77</v>
      </c>
      <c r="D42" s="10">
        <v>0</v>
      </c>
      <c r="E42" s="11">
        <f t="shared" si="0"/>
        <v>0</v>
      </c>
      <c r="F42" s="12">
        <v>676.4424</v>
      </c>
      <c r="G42" s="12">
        <v>0</v>
      </c>
      <c r="H42" s="11">
        <f t="shared" si="1"/>
        <v>0</v>
      </c>
      <c r="I42" s="10">
        <v>71</v>
      </c>
      <c r="J42" s="10">
        <v>0</v>
      </c>
      <c r="K42" s="11">
        <f t="shared" si="2"/>
        <v>0</v>
      </c>
      <c r="L42" s="12">
        <v>560</v>
      </c>
      <c r="M42" s="12">
        <v>0</v>
      </c>
      <c r="N42" s="11">
        <f t="shared" si="3"/>
        <v>0</v>
      </c>
      <c r="O42" s="10">
        <v>20</v>
      </c>
      <c r="P42" s="10">
        <v>0</v>
      </c>
      <c r="Q42" s="11">
        <f t="shared" si="4"/>
        <v>0</v>
      </c>
      <c r="R42" s="12">
        <v>230</v>
      </c>
      <c r="S42" s="12">
        <v>0</v>
      </c>
      <c r="T42" s="11">
        <f t="shared" si="5"/>
        <v>0</v>
      </c>
    </row>
    <row r="43" ht="14" customHeight="1" spans="1:20">
      <c r="A43" s="8">
        <v>36</v>
      </c>
      <c r="B43" s="9" t="s">
        <v>52</v>
      </c>
      <c r="C43" s="10">
        <v>8</v>
      </c>
      <c r="D43" s="10">
        <v>0</v>
      </c>
      <c r="E43" s="11">
        <f t="shared" si="0"/>
        <v>0</v>
      </c>
      <c r="F43" s="12">
        <v>65</v>
      </c>
      <c r="G43" s="12">
        <v>0</v>
      </c>
      <c r="H43" s="11">
        <f t="shared" si="1"/>
        <v>0</v>
      </c>
      <c r="I43" s="10">
        <v>5</v>
      </c>
      <c r="J43" s="10">
        <v>0</v>
      </c>
      <c r="K43" s="11">
        <f t="shared" si="2"/>
        <v>0</v>
      </c>
      <c r="L43" s="12">
        <v>29.376</v>
      </c>
      <c r="M43" s="12">
        <v>0</v>
      </c>
      <c r="N43" s="11">
        <f t="shared" si="3"/>
        <v>0</v>
      </c>
      <c r="O43" s="10">
        <v>0</v>
      </c>
      <c r="P43" s="10">
        <v>0</v>
      </c>
      <c r="Q43" s="11">
        <f t="shared" si="4"/>
        <v>0</v>
      </c>
      <c r="R43" s="12">
        <v>0</v>
      </c>
      <c r="S43" s="12">
        <v>0</v>
      </c>
      <c r="T43" s="11">
        <f t="shared" si="5"/>
        <v>0</v>
      </c>
    </row>
    <row r="44" ht="14" customHeight="1" spans="1:20">
      <c r="A44" s="8">
        <v>37</v>
      </c>
      <c r="B44" s="9" t="s">
        <v>53</v>
      </c>
      <c r="C44" s="10">
        <v>10</v>
      </c>
      <c r="D44" s="10">
        <v>0</v>
      </c>
      <c r="E44" s="11">
        <f t="shared" si="0"/>
        <v>0</v>
      </c>
      <c r="F44" s="12">
        <v>70</v>
      </c>
      <c r="G44" s="12">
        <v>0</v>
      </c>
      <c r="H44" s="11">
        <f t="shared" si="1"/>
        <v>0</v>
      </c>
      <c r="I44" s="10">
        <v>5</v>
      </c>
      <c r="J44" s="10">
        <v>0</v>
      </c>
      <c r="K44" s="11">
        <f t="shared" si="2"/>
        <v>0</v>
      </c>
      <c r="L44" s="12">
        <v>45</v>
      </c>
      <c r="M44" s="12">
        <v>0</v>
      </c>
      <c r="N44" s="11">
        <f t="shared" si="3"/>
        <v>0</v>
      </c>
      <c r="O44" s="10">
        <v>6</v>
      </c>
      <c r="P44" s="10">
        <v>0</v>
      </c>
      <c r="Q44" s="11">
        <f t="shared" si="4"/>
        <v>0</v>
      </c>
      <c r="R44" s="12">
        <v>48</v>
      </c>
      <c r="S44" s="12">
        <v>0</v>
      </c>
      <c r="T44" s="11">
        <f t="shared" si="5"/>
        <v>0</v>
      </c>
    </row>
    <row r="45" ht="14" customHeight="1" spans="1:20">
      <c r="A45" s="8">
        <v>38</v>
      </c>
      <c r="B45" s="9" t="s">
        <v>54</v>
      </c>
      <c r="C45" s="10">
        <v>47</v>
      </c>
      <c r="D45" s="10">
        <v>0</v>
      </c>
      <c r="E45" s="11">
        <f t="shared" si="0"/>
        <v>0</v>
      </c>
      <c r="F45" s="12">
        <v>310.8768</v>
      </c>
      <c r="G45" s="12">
        <v>0</v>
      </c>
      <c r="H45" s="11">
        <f t="shared" si="1"/>
        <v>0</v>
      </c>
      <c r="I45" s="10">
        <v>3</v>
      </c>
      <c r="J45" s="10">
        <v>5</v>
      </c>
      <c r="K45" s="11">
        <f t="shared" si="2"/>
        <v>1.66666666666667</v>
      </c>
      <c r="L45" s="12">
        <v>24</v>
      </c>
      <c r="M45" s="12">
        <v>34.006752</v>
      </c>
      <c r="N45" s="11">
        <f t="shared" si="3"/>
        <v>1.416948</v>
      </c>
      <c r="O45" s="10">
        <v>2</v>
      </c>
      <c r="P45" s="10">
        <v>0</v>
      </c>
      <c r="Q45" s="11">
        <f t="shared" si="4"/>
        <v>0</v>
      </c>
      <c r="R45" s="12">
        <v>15</v>
      </c>
      <c r="S45" s="12">
        <v>0</v>
      </c>
      <c r="T45" s="11">
        <f t="shared" si="5"/>
        <v>0</v>
      </c>
    </row>
    <row r="46" ht="14" customHeight="1" spans="1:20">
      <c r="A46" s="8">
        <v>39</v>
      </c>
      <c r="B46" s="9" t="s">
        <v>55</v>
      </c>
      <c r="C46" s="10">
        <v>0</v>
      </c>
      <c r="D46" s="10">
        <v>0</v>
      </c>
      <c r="E46" s="11">
        <f t="shared" si="0"/>
        <v>0</v>
      </c>
      <c r="F46" s="12">
        <v>0</v>
      </c>
      <c r="G46" s="12">
        <v>0</v>
      </c>
      <c r="H46" s="11">
        <f t="shared" si="1"/>
        <v>0</v>
      </c>
      <c r="I46" s="10">
        <v>0</v>
      </c>
      <c r="J46" s="10">
        <v>0</v>
      </c>
      <c r="K46" s="11">
        <f t="shared" si="2"/>
        <v>0</v>
      </c>
      <c r="L46" s="12">
        <v>0</v>
      </c>
      <c r="M46" s="12">
        <v>0</v>
      </c>
      <c r="N46" s="11">
        <f t="shared" si="3"/>
        <v>0</v>
      </c>
      <c r="O46" s="10">
        <v>0</v>
      </c>
      <c r="P46" s="10">
        <v>0</v>
      </c>
      <c r="Q46" s="11">
        <f t="shared" si="4"/>
        <v>0</v>
      </c>
      <c r="R46" s="12">
        <v>0</v>
      </c>
      <c r="S46" s="12">
        <v>0</v>
      </c>
      <c r="T46" s="11">
        <f t="shared" si="5"/>
        <v>0</v>
      </c>
    </row>
    <row r="47" ht="14" customHeight="1" spans="1:20">
      <c r="A47" s="8">
        <v>40</v>
      </c>
      <c r="B47" s="9" t="s">
        <v>56</v>
      </c>
      <c r="C47" s="10">
        <v>10</v>
      </c>
      <c r="D47" s="10">
        <v>0</v>
      </c>
      <c r="E47" s="11">
        <f t="shared" si="0"/>
        <v>0</v>
      </c>
      <c r="F47" s="12">
        <v>66.4168</v>
      </c>
      <c r="G47" s="12">
        <v>0</v>
      </c>
      <c r="H47" s="11">
        <f t="shared" si="1"/>
        <v>0</v>
      </c>
      <c r="I47" s="10">
        <v>4</v>
      </c>
      <c r="J47" s="10">
        <v>0</v>
      </c>
      <c r="K47" s="11">
        <f t="shared" si="2"/>
        <v>0</v>
      </c>
      <c r="L47" s="12">
        <v>30</v>
      </c>
      <c r="M47" s="12">
        <v>0</v>
      </c>
      <c r="N47" s="11">
        <f t="shared" si="3"/>
        <v>0</v>
      </c>
      <c r="O47" s="10">
        <v>2</v>
      </c>
      <c r="P47" s="10">
        <v>0</v>
      </c>
      <c r="Q47" s="11">
        <f t="shared" si="4"/>
        <v>0</v>
      </c>
      <c r="R47" s="12">
        <v>13</v>
      </c>
      <c r="S47" s="12">
        <v>0</v>
      </c>
      <c r="T47" s="11">
        <f t="shared" si="5"/>
        <v>0</v>
      </c>
    </row>
    <row r="48" ht="14" customHeight="1" spans="1:20">
      <c r="A48" s="13" t="s">
        <v>57</v>
      </c>
      <c r="B48" s="6"/>
      <c r="C48" s="14">
        <f>SUM(C38:C47)</f>
        <v>433</v>
      </c>
      <c r="D48" s="14">
        <f>SUM(D38:D47)</f>
        <v>40</v>
      </c>
      <c r="E48" s="15">
        <f t="shared" si="0"/>
        <v>0.092378752886836</v>
      </c>
      <c r="F48" s="16">
        <f>SUM(F38:F47)</f>
        <v>3999.5872</v>
      </c>
      <c r="G48" s="16">
        <f>SUM(G38:G47)</f>
        <v>239.94784</v>
      </c>
      <c r="H48" s="15">
        <f t="shared" si="1"/>
        <v>0.0599931512932134</v>
      </c>
      <c r="I48" s="14">
        <f>SUM(I38:I47)</f>
        <v>126</v>
      </c>
      <c r="J48" s="14">
        <f>SUM(J38:J47)</f>
        <v>5</v>
      </c>
      <c r="K48" s="15">
        <f t="shared" si="2"/>
        <v>0.0396825396825397</v>
      </c>
      <c r="L48" s="16">
        <f>SUM(L38:L47)</f>
        <v>1153.376</v>
      </c>
      <c r="M48" s="16">
        <f>SUM(M38:M47)</f>
        <v>34.006752</v>
      </c>
      <c r="N48" s="15">
        <f t="shared" si="3"/>
        <v>0.0294845323641206</v>
      </c>
      <c r="O48" s="14">
        <f>SUM(O38:O47)</f>
        <v>55</v>
      </c>
      <c r="P48" s="14">
        <f>SUM(P38:P47)</f>
        <v>2</v>
      </c>
      <c r="Q48" s="15">
        <f t="shared" si="4"/>
        <v>0.0363636363636364</v>
      </c>
      <c r="R48" s="16">
        <f>SUM(R38:R47)</f>
        <v>598</v>
      </c>
      <c r="S48" s="16">
        <f>SUM(S38:S47)</f>
        <v>10.96992</v>
      </c>
      <c r="T48" s="15">
        <f t="shared" si="5"/>
        <v>0.018344347826087</v>
      </c>
    </row>
    <row r="49" ht="14" customHeight="1" spans="1:20">
      <c r="A49" s="8">
        <v>41</v>
      </c>
      <c r="B49" s="9" t="s">
        <v>58</v>
      </c>
      <c r="C49" s="10">
        <v>12</v>
      </c>
      <c r="D49" s="10">
        <v>0</v>
      </c>
      <c r="E49" s="11">
        <f t="shared" si="0"/>
        <v>0</v>
      </c>
      <c r="F49" s="12">
        <v>130</v>
      </c>
      <c r="G49" s="12">
        <v>0</v>
      </c>
      <c r="H49" s="11">
        <f t="shared" si="1"/>
        <v>0</v>
      </c>
      <c r="I49" s="10">
        <v>5</v>
      </c>
      <c r="J49" s="10">
        <v>0</v>
      </c>
      <c r="K49" s="11">
        <f t="shared" si="2"/>
        <v>0</v>
      </c>
      <c r="L49" s="12">
        <v>45</v>
      </c>
      <c r="M49" s="12">
        <v>0</v>
      </c>
      <c r="N49" s="11">
        <f t="shared" si="3"/>
        <v>0</v>
      </c>
      <c r="O49" s="10">
        <v>3</v>
      </c>
      <c r="P49" s="10">
        <v>0</v>
      </c>
      <c r="Q49" s="11">
        <f t="shared" si="4"/>
        <v>0</v>
      </c>
      <c r="R49" s="12">
        <v>51</v>
      </c>
      <c r="S49" s="12">
        <v>0</v>
      </c>
      <c r="T49" s="11">
        <f t="shared" si="5"/>
        <v>0</v>
      </c>
    </row>
    <row r="50" ht="14" customHeight="1" spans="1:20">
      <c r="A50" s="8">
        <v>42</v>
      </c>
      <c r="B50" s="9" t="s">
        <v>59</v>
      </c>
      <c r="C50" s="10">
        <v>30</v>
      </c>
      <c r="D50" s="10">
        <v>0</v>
      </c>
      <c r="E50" s="11">
        <f t="shared" si="0"/>
        <v>0</v>
      </c>
      <c r="F50" s="12">
        <v>280</v>
      </c>
      <c r="G50" s="12">
        <v>0</v>
      </c>
      <c r="H50" s="11">
        <f t="shared" si="1"/>
        <v>0</v>
      </c>
      <c r="I50" s="10">
        <v>12</v>
      </c>
      <c r="J50" s="10">
        <v>2</v>
      </c>
      <c r="K50" s="11">
        <f t="shared" si="2"/>
        <v>0.166666666666667</v>
      </c>
      <c r="L50" s="12">
        <v>100</v>
      </c>
      <c r="M50" s="12">
        <v>11.381292</v>
      </c>
      <c r="N50" s="11">
        <f t="shared" si="3"/>
        <v>0.11381292</v>
      </c>
      <c r="O50" s="10">
        <v>30</v>
      </c>
      <c r="P50" s="10">
        <v>6</v>
      </c>
      <c r="Q50" s="11">
        <f t="shared" si="4"/>
        <v>0.2</v>
      </c>
      <c r="R50" s="12">
        <v>310</v>
      </c>
      <c r="S50" s="12">
        <v>38.348012</v>
      </c>
      <c r="T50" s="11">
        <f t="shared" si="5"/>
        <v>0.123703264516129</v>
      </c>
    </row>
    <row r="51" ht="14" customHeight="1" spans="1:20">
      <c r="A51" s="8">
        <v>43</v>
      </c>
      <c r="B51" s="9" t="s">
        <v>60</v>
      </c>
      <c r="C51" s="10">
        <v>60</v>
      </c>
      <c r="D51" s="10">
        <v>15</v>
      </c>
      <c r="E51" s="11">
        <f t="shared" si="0"/>
        <v>0.25</v>
      </c>
      <c r="F51" s="12">
        <v>360</v>
      </c>
      <c r="G51" s="12">
        <v>102.318667</v>
      </c>
      <c r="H51" s="11">
        <f t="shared" si="1"/>
        <v>0.284218519444444</v>
      </c>
      <c r="I51" s="10">
        <v>28</v>
      </c>
      <c r="J51" s="10">
        <v>5</v>
      </c>
      <c r="K51" s="11">
        <f t="shared" si="2"/>
        <v>0.178571428571429</v>
      </c>
      <c r="L51" s="12">
        <v>200</v>
      </c>
      <c r="M51" s="12">
        <v>34.833337</v>
      </c>
      <c r="N51" s="11">
        <f t="shared" si="3"/>
        <v>0.174166685</v>
      </c>
      <c r="O51" s="10">
        <v>17</v>
      </c>
      <c r="P51" s="10">
        <v>4</v>
      </c>
      <c r="Q51" s="11">
        <f t="shared" si="4"/>
        <v>0.235294117647059</v>
      </c>
      <c r="R51" s="12">
        <v>154</v>
      </c>
      <c r="S51" s="12">
        <v>25.61732</v>
      </c>
      <c r="T51" s="11">
        <f t="shared" si="5"/>
        <v>0.166346233766234</v>
      </c>
    </row>
    <row r="52" ht="14" customHeight="1" spans="1:20">
      <c r="A52" s="8">
        <v>44</v>
      </c>
      <c r="B52" s="9" t="s">
        <v>61</v>
      </c>
      <c r="C52" s="10">
        <v>30</v>
      </c>
      <c r="D52" s="10">
        <v>0</v>
      </c>
      <c r="E52" s="11">
        <f t="shared" si="0"/>
        <v>0</v>
      </c>
      <c r="F52" s="12">
        <v>44</v>
      </c>
      <c r="G52" s="12">
        <v>0</v>
      </c>
      <c r="H52" s="11">
        <f t="shared" si="1"/>
        <v>0</v>
      </c>
      <c r="I52" s="10">
        <v>4</v>
      </c>
      <c r="J52" s="10">
        <v>0</v>
      </c>
      <c r="K52" s="11">
        <f t="shared" si="2"/>
        <v>0</v>
      </c>
      <c r="L52" s="12">
        <v>22</v>
      </c>
      <c r="M52" s="12">
        <v>0</v>
      </c>
      <c r="N52" s="11">
        <f t="shared" si="3"/>
        <v>0</v>
      </c>
      <c r="O52" s="10">
        <v>13</v>
      </c>
      <c r="P52" s="10">
        <v>12</v>
      </c>
      <c r="Q52" s="11">
        <f t="shared" si="4"/>
        <v>0.923076923076923</v>
      </c>
      <c r="R52" s="12">
        <v>148</v>
      </c>
      <c r="S52" s="12">
        <v>81.556449</v>
      </c>
      <c r="T52" s="11">
        <f t="shared" si="5"/>
        <v>0.551057087837838</v>
      </c>
    </row>
    <row r="53" ht="14" customHeight="1" spans="1:20">
      <c r="A53" s="8">
        <v>45</v>
      </c>
      <c r="B53" s="9" t="s">
        <v>62</v>
      </c>
      <c r="C53" s="10">
        <v>35</v>
      </c>
      <c r="D53" s="10">
        <v>0</v>
      </c>
      <c r="E53" s="11">
        <f t="shared" si="0"/>
        <v>0</v>
      </c>
      <c r="F53" s="12">
        <v>270</v>
      </c>
      <c r="G53" s="12">
        <v>0</v>
      </c>
      <c r="H53" s="11">
        <f t="shared" si="1"/>
        <v>0</v>
      </c>
      <c r="I53" s="10">
        <v>22</v>
      </c>
      <c r="J53" s="10">
        <v>4</v>
      </c>
      <c r="K53" s="11">
        <f t="shared" si="2"/>
        <v>0.181818181818182</v>
      </c>
      <c r="L53" s="12">
        <v>127</v>
      </c>
      <c r="M53" s="12">
        <v>19.741057</v>
      </c>
      <c r="N53" s="11">
        <f t="shared" si="3"/>
        <v>0.155441393700787</v>
      </c>
      <c r="O53" s="10">
        <v>26</v>
      </c>
      <c r="P53" s="10">
        <v>0</v>
      </c>
      <c r="Q53" s="11">
        <f t="shared" si="4"/>
        <v>0</v>
      </c>
      <c r="R53" s="12">
        <v>147</v>
      </c>
      <c r="S53" s="12">
        <v>0</v>
      </c>
      <c r="T53" s="11">
        <f t="shared" si="5"/>
        <v>0</v>
      </c>
    </row>
    <row r="54" ht="14" customHeight="1" spans="1:20">
      <c r="A54" s="8">
        <v>46</v>
      </c>
      <c r="B54" s="9" t="s">
        <v>63</v>
      </c>
      <c r="C54" s="10">
        <v>21</v>
      </c>
      <c r="D54" s="10">
        <v>0</v>
      </c>
      <c r="E54" s="11">
        <f t="shared" si="0"/>
        <v>0</v>
      </c>
      <c r="F54" s="12">
        <v>120</v>
      </c>
      <c r="G54" s="12">
        <v>0</v>
      </c>
      <c r="H54" s="11">
        <f t="shared" si="1"/>
        <v>0</v>
      </c>
      <c r="I54" s="10">
        <v>0</v>
      </c>
      <c r="J54" s="10">
        <v>0</v>
      </c>
      <c r="K54" s="11">
        <f t="shared" si="2"/>
        <v>0</v>
      </c>
      <c r="L54" s="12">
        <v>0</v>
      </c>
      <c r="M54" s="12">
        <v>0</v>
      </c>
      <c r="N54" s="11">
        <f t="shared" si="3"/>
        <v>0</v>
      </c>
      <c r="O54" s="10">
        <v>18</v>
      </c>
      <c r="P54" s="10">
        <v>0</v>
      </c>
      <c r="Q54" s="11">
        <f t="shared" si="4"/>
        <v>0</v>
      </c>
      <c r="R54" s="12">
        <v>170</v>
      </c>
      <c r="S54" s="12">
        <v>0</v>
      </c>
      <c r="T54" s="11">
        <f t="shared" si="5"/>
        <v>0</v>
      </c>
    </row>
    <row r="55" ht="14" customHeight="1" spans="1:20">
      <c r="A55" s="8">
        <v>47</v>
      </c>
      <c r="B55" s="9" t="s">
        <v>64</v>
      </c>
      <c r="C55" s="10">
        <v>20</v>
      </c>
      <c r="D55" s="10">
        <v>10</v>
      </c>
      <c r="E55" s="11">
        <f t="shared" si="0"/>
        <v>0.5</v>
      </c>
      <c r="F55" s="12">
        <v>98</v>
      </c>
      <c r="G55" s="12">
        <v>62.03197</v>
      </c>
      <c r="H55" s="11">
        <f t="shared" si="1"/>
        <v>0.632979285714286</v>
      </c>
      <c r="I55" s="10">
        <v>20</v>
      </c>
      <c r="J55" s="10">
        <v>0</v>
      </c>
      <c r="K55" s="11">
        <f t="shared" si="2"/>
        <v>0</v>
      </c>
      <c r="L55" s="12">
        <v>98</v>
      </c>
      <c r="M55" s="12">
        <v>0</v>
      </c>
      <c r="N55" s="11">
        <f t="shared" si="3"/>
        <v>0</v>
      </c>
      <c r="O55" s="10">
        <v>6</v>
      </c>
      <c r="P55" s="10">
        <v>0</v>
      </c>
      <c r="Q55" s="11">
        <f t="shared" si="4"/>
        <v>0</v>
      </c>
      <c r="R55" s="12">
        <v>42</v>
      </c>
      <c r="S55" s="12">
        <v>0</v>
      </c>
      <c r="T55" s="11">
        <f t="shared" si="5"/>
        <v>0</v>
      </c>
    </row>
    <row r="56" ht="14" customHeight="1" spans="1:20">
      <c r="A56" s="13" t="s">
        <v>65</v>
      </c>
      <c r="B56" s="6"/>
      <c r="C56" s="14">
        <f>SUM(C49:C55)</f>
        <v>208</v>
      </c>
      <c r="D56" s="14">
        <f>SUM(D49:D55)</f>
        <v>25</v>
      </c>
      <c r="E56" s="15">
        <f t="shared" si="0"/>
        <v>0.120192307692308</v>
      </c>
      <c r="F56" s="16">
        <f>SUM(F49:F55)</f>
        <v>1302</v>
      </c>
      <c r="G56" s="16">
        <f>SUM(G49:G55)</f>
        <v>164.350637</v>
      </c>
      <c r="H56" s="15">
        <f t="shared" si="1"/>
        <v>0.126229367895545</v>
      </c>
      <c r="I56" s="14">
        <f>SUM(I49:I55)</f>
        <v>91</v>
      </c>
      <c r="J56" s="14">
        <f>SUM(J49:J55)</f>
        <v>11</v>
      </c>
      <c r="K56" s="15">
        <f t="shared" si="2"/>
        <v>0.120879120879121</v>
      </c>
      <c r="L56" s="16">
        <f>SUM(L49:L55)</f>
        <v>592</v>
      </c>
      <c r="M56" s="16">
        <f>SUM(M49:M55)</f>
        <v>65.955686</v>
      </c>
      <c r="N56" s="15">
        <f t="shared" si="3"/>
        <v>0.111411631756757</v>
      </c>
      <c r="O56" s="14">
        <f>SUM(O49:O55)</f>
        <v>113</v>
      </c>
      <c r="P56" s="14">
        <f>SUM(P49:P55)</f>
        <v>22</v>
      </c>
      <c r="Q56" s="15">
        <f t="shared" si="4"/>
        <v>0.194690265486726</v>
      </c>
      <c r="R56" s="16">
        <f>SUM(R49:R55)</f>
        <v>1022</v>
      </c>
      <c r="S56" s="16">
        <f>SUM(S49:S55)</f>
        <v>145.521781</v>
      </c>
      <c r="T56" s="15">
        <f t="shared" si="5"/>
        <v>0.142389218199609</v>
      </c>
    </row>
    <row r="57" ht="14" customHeight="1" spans="1:20">
      <c r="A57" s="8">
        <v>48</v>
      </c>
      <c r="B57" s="9" t="s">
        <v>66</v>
      </c>
      <c r="C57" s="10">
        <v>18</v>
      </c>
      <c r="D57" s="10">
        <v>17</v>
      </c>
      <c r="E57" s="11">
        <f t="shared" si="0"/>
        <v>0.944444444444444</v>
      </c>
      <c r="F57" s="12">
        <v>328</v>
      </c>
      <c r="G57" s="12">
        <v>274.84494</v>
      </c>
      <c r="H57" s="11">
        <f t="shared" si="1"/>
        <v>0.837941890243902</v>
      </c>
      <c r="I57" s="10">
        <v>10</v>
      </c>
      <c r="J57" s="10">
        <v>6</v>
      </c>
      <c r="K57" s="11">
        <f t="shared" si="2"/>
        <v>0.6</v>
      </c>
      <c r="L57" s="12">
        <v>115</v>
      </c>
      <c r="M57" s="12">
        <v>60.936894</v>
      </c>
      <c r="N57" s="11">
        <f t="shared" si="3"/>
        <v>0.529886034782609</v>
      </c>
      <c r="O57" s="10">
        <v>13</v>
      </c>
      <c r="P57" s="10">
        <v>6</v>
      </c>
      <c r="Q57" s="11">
        <f t="shared" si="4"/>
        <v>0.461538461538462</v>
      </c>
      <c r="R57" s="12">
        <v>188</v>
      </c>
      <c r="S57" s="12">
        <v>60.001806</v>
      </c>
      <c r="T57" s="11">
        <f t="shared" si="5"/>
        <v>0.319158542553191</v>
      </c>
    </row>
    <row r="58" ht="14" customHeight="1" spans="1:20">
      <c r="A58" s="8">
        <v>49</v>
      </c>
      <c r="B58" s="9" t="s">
        <v>67</v>
      </c>
      <c r="C58" s="10">
        <v>18</v>
      </c>
      <c r="D58" s="10">
        <v>6</v>
      </c>
      <c r="E58" s="11">
        <f t="shared" si="0"/>
        <v>0.333333333333333</v>
      </c>
      <c r="F58" s="12">
        <v>328</v>
      </c>
      <c r="G58" s="12">
        <v>51.629052</v>
      </c>
      <c r="H58" s="11">
        <f t="shared" si="1"/>
        <v>0.157405646341463</v>
      </c>
      <c r="I58" s="10">
        <v>10</v>
      </c>
      <c r="J58" s="10">
        <v>10</v>
      </c>
      <c r="K58" s="11">
        <f t="shared" si="2"/>
        <v>1</v>
      </c>
      <c r="L58" s="12">
        <v>114</v>
      </c>
      <c r="M58" s="12">
        <v>103.050552</v>
      </c>
      <c r="N58" s="11">
        <f t="shared" si="3"/>
        <v>0.903952210526316</v>
      </c>
      <c r="O58" s="10">
        <v>12</v>
      </c>
      <c r="P58" s="10">
        <v>16</v>
      </c>
      <c r="Q58" s="11">
        <f t="shared" si="4"/>
        <v>1.33333333333333</v>
      </c>
      <c r="R58" s="12">
        <v>188</v>
      </c>
      <c r="S58" s="12">
        <v>257.707945</v>
      </c>
      <c r="T58" s="11">
        <f t="shared" si="5"/>
        <v>1.37078694148936</v>
      </c>
    </row>
    <row r="59" ht="14" customHeight="1" spans="1:20">
      <c r="A59" s="8">
        <v>50</v>
      </c>
      <c r="B59" s="9" t="s">
        <v>68</v>
      </c>
      <c r="C59" s="10">
        <v>32</v>
      </c>
      <c r="D59" s="10">
        <v>32</v>
      </c>
      <c r="E59" s="11">
        <f t="shared" si="0"/>
        <v>1</v>
      </c>
      <c r="F59" s="12">
        <v>345</v>
      </c>
      <c r="G59" s="12">
        <v>367.283796</v>
      </c>
      <c r="H59" s="11">
        <f t="shared" si="1"/>
        <v>1.06459071304348</v>
      </c>
      <c r="I59" s="10">
        <v>8</v>
      </c>
      <c r="J59" s="10">
        <v>1</v>
      </c>
      <c r="K59" s="11">
        <f t="shared" si="2"/>
        <v>0.125</v>
      </c>
      <c r="L59" s="12">
        <v>80</v>
      </c>
      <c r="M59" s="12">
        <v>5.930529</v>
      </c>
      <c r="N59" s="11">
        <f t="shared" si="3"/>
        <v>0.0741316125</v>
      </c>
      <c r="O59" s="10">
        <v>11</v>
      </c>
      <c r="P59" s="10">
        <v>0</v>
      </c>
      <c r="Q59" s="11">
        <f t="shared" si="4"/>
        <v>0</v>
      </c>
      <c r="R59" s="12">
        <v>128</v>
      </c>
      <c r="S59" s="12">
        <v>0</v>
      </c>
      <c r="T59" s="11">
        <f t="shared" si="5"/>
        <v>0</v>
      </c>
    </row>
    <row r="60" ht="14" customHeight="1" spans="1:20">
      <c r="A60" s="8">
        <v>51</v>
      </c>
      <c r="B60" s="9" t="s">
        <v>69</v>
      </c>
      <c r="C60" s="10">
        <v>8</v>
      </c>
      <c r="D60" s="10">
        <v>0</v>
      </c>
      <c r="E60" s="11">
        <f t="shared" si="0"/>
        <v>0</v>
      </c>
      <c r="F60" s="12">
        <v>112</v>
      </c>
      <c r="G60" s="12">
        <v>0</v>
      </c>
      <c r="H60" s="11">
        <f t="shared" si="1"/>
        <v>0</v>
      </c>
      <c r="I60" s="10">
        <v>3</v>
      </c>
      <c r="J60" s="10">
        <v>0</v>
      </c>
      <c r="K60" s="11">
        <f t="shared" si="2"/>
        <v>0</v>
      </c>
      <c r="L60" s="12">
        <v>34.8</v>
      </c>
      <c r="M60" s="12">
        <v>0</v>
      </c>
      <c r="N60" s="11">
        <f t="shared" si="3"/>
        <v>0</v>
      </c>
      <c r="O60" s="10">
        <v>8</v>
      </c>
      <c r="P60" s="10">
        <v>0</v>
      </c>
      <c r="Q60" s="11">
        <f t="shared" si="4"/>
        <v>0</v>
      </c>
      <c r="R60" s="12">
        <v>111.8</v>
      </c>
      <c r="S60" s="12">
        <v>0</v>
      </c>
      <c r="T60" s="11">
        <f t="shared" si="5"/>
        <v>0</v>
      </c>
    </row>
    <row r="61" ht="14" customHeight="1" spans="1:20">
      <c r="A61" s="8">
        <v>52</v>
      </c>
      <c r="B61" s="9" t="s">
        <v>70</v>
      </c>
      <c r="C61" s="10">
        <v>15</v>
      </c>
      <c r="D61" s="10">
        <v>4</v>
      </c>
      <c r="E61" s="11">
        <f t="shared" si="0"/>
        <v>0.266666666666667</v>
      </c>
      <c r="F61" s="12">
        <v>128.4</v>
      </c>
      <c r="G61" s="12">
        <v>29.016005</v>
      </c>
      <c r="H61" s="11">
        <f t="shared" si="1"/>
        <v>0.225981347352025</v>
      </c>
      <c r="I61" s="10">
        <v>15</v>
      </c>
      <c r="J61" s="10">
        <v>3</v>
      </c>
      <c r="K61" s="11">
        <f t="shared" si="2"/>
        <v>0.2</v>
      </c>
      <c r="L61" s="12">
        <v>128.4</v>
      </c>
      <c r="M61" s="12">
        <v>21.199937</v>
      </c>
      <c r="N61" s="11">
        <f t="shared" si="3"/>
        <v>0.165108543613707</v>
      </c>
      <c r="O61" s="10">
        <v>56</v>
      </c>
      <c r="P61" s="10">
        <v>4</v>
      </c>
      <c r="Q61" s="11">
        <f t="shared" si="4"/>
        <v>0.0714285714285714</v>
      </c>
      <c r="R61" s="12">
        <v>502.2550572</v>
      </c>
      <c r="S61" s="12">
        <v>30.906685</v>
      </c>
      <c r="T61" s="11">
        <f t="shared" si="5"/>
        <v>0.0615358363384141</v>
      </c>
    </row>
    <row r="62" ht="14" customHeight="1" spans="1:20">
      <c r="A62" s="8">
        <v>53</v>
      </c>
      <c r="B62" s="9" t="s">
        <v>71</v>
      </c>
      <c r="C62" s="10">
        <v>0</v>
      </c>
      <c r="D62" s="10">
        <v>0</v>
      </c>
      <c r="E62" s="11">
        <f t="shared" si="0"/>
        <v>0</v>
      </c>
      <c r="F62" s="12">
        <v>0</v>
      </c>
      <c r="G62" s="12">
        <v>0</v>
      </c>
      <c r="H62" s="11">
        <f t="shared" si="1"/>
        <v>0</v>
      </c>
      <c r="I62" s="10">
        <v>0</v>
      </c>
      <c r="J62" s="10">
        <v>0</v>
      </c>
      <c r="K62" s="11">
        <f t="shared" si="2"/>
        <v>0</v>
      </c>
      <c r="L62" s="12">
        <v>0</v>
      </c>
      <c r="M62" s="12">
        <v>0</v>
      </c>
      <c r="N62" s="11">
        <f t="shared" si="3"/>
        <v>0</v>
      </c>
      <c r="O62" s="10">
        <v>0</v>
      </c>
      <c r="P62" s="10">
        <v>0</v>
      </c>
      <c r="Q62" s="11">
        <f t="shared" si="4"/>
        <v>0</v>
      </c>
      <c r="R62" s="12">
        <v>0</v>
      </c>
      <c r="S62" s="12">
        <v>0</v>
      </c>
      <c r="T62" s="11">
        <f t="shared" si="5"/>
        <v>0</v>
      </c>
    </row>
    <row r="63" ht="14" customHeight="1" spans="1:20">
      <c r="A63" s="8">
        <v>54</v>
      </c>
      <c r="B63" s="9" t="s">
        <v>72</v>
      </c>
      <c r="C63" s="10">
        <v>110</v>
      </c>
      <c r="D63" s="10">
        <v>17</v>
      </c>
      <c r="E63" s="11">
        <f t="shared" si="0"/>
        <v>0.154545454545455</v>
      </c>
      <c r="F63" s="12">
        <v>1700</v>
      </c>
      <c r="G63" s="12">
        <v>506.208142</v>
      </c>
      <c r="H63" s="11">
        <f t="shared" si="1"/>
        <v>0.297769495294118</v>
      </c>
      <c r="I63" s="10">
        <v>40</v>
      </c>
      <c r="J63" s="10">
        <v>32</v>
      </c>
      <c r="K63" s="11">
        <f t="shared" si="2"/>
        <v>0.8</v>
      </c>
      <c r="L63" s="12">
        <v>400</v>
      </c>
      <c r="M63" s="12">
        <v>276.812978</v>
      </c>
      <c r="N63" s="11">
        <f t="shared" si="3"/>
        <v>0.692032445</v>
      </c>
      <c r="O63" s="10">
        <v>30</v>
      </c>
      <c r="P63" s="10">
        <v>0</v>
      </c>
      <c r="Q63" s="11">
        <f t="shared" si="4"/>
        <v>0</v>
      </c>
      <c r="R63" s="12">
        <v>300</v>
      </c>
      <c r="S63" s="12">
        <v>0</v>
      </c>
      <c r="T63" s="11">
        <f t="shared" si="5"/>
        <v>0</v>
      </c>
    </row>
    <row r="64" ht="14" customHeight="1" spans="1:20">
      <c r="A64" s="8">
        <v>55</v>
      </c>
      <c r="B64" s="9" t="s">
        <v>73</v>
      </c>
      <c r="C64" s="10">
        <v>5</v>
      </c>
      <c r="D64" s="10">
        <v>0</v>
      </c>
      <c r="E64" s="11">
        <f t="shared" si="0"/>
        <v>0</v>
      </c>
      <c r="F64" s="12">
        <v>42</v>
      </c>
      <c r="G64" s="12">
        <v>0</v>
      </c>
      <c r="H64" s="11">
        <f t="shared" si="1"/>
        <v>0</v>
      </c>
      <c r="I64" s="10">
        <v>1</v>
      </c>
      <c r="J64" s="10">
        <v>0</v>
      </c>
      <c r="K64" s="11">
        <f t="shared" si="2"/>
        <v>0</v>
      </c>
      <c r="L64" s="12">
        <v>10</v>
      </c>
      <c r="M64" s="12">
        <v>0</v>
      </c>
      <c r="N64" s="11">
        <f t="shared" si="3"/>
        <v>0</v>
      </c>
      <c r="O64" s="10">
        <v>0</v>
      </c>
      <c r="P64" s="10">
        <v>0</v>
      </c>
      <c r="Q64" s="11">
        <f t="shared" si="4"/>
        <v>0</v>
      </c>
      <c r="R64" s="12">
        <v>0</v>
      </c>
      <c r="S64" s="12">
        <v>0</v>
      </c>
      <c r="T64" s="11">
        <f t="shared" si="5"/>
        <v>0</v>
      </c>
    </row>
    <row r="65" ht="14" customHeight="1" spans="1:20">
      <c r="A65" s="8">
        <v>56</v>
      </c>
      <c r="B65" s="9" t="s">
        <v>74</v>
      </c>
      <c r="C65" s="10">
        <v>0</v>
      </c>
      <c r="D65" s="10">
        <v>0</v>
      </c>
      <c r="E65" s="11">
        <f t="shared" si="0"/>
        <v>0</v>
      </c>
      <c r="F65" s="12">
        <v>0</v>
      </c>
      <c r="G65" s="12">
        <v>0</v>
      </c>
      <c r="H65" s="11">
        <f t="shared" si="1"/>
        <v>0</v>
      </c>
      <c r="I65" s="10">
        <v>0</v>
      </c>
      <c r="J65" s="10">
        <v>0</v>
      </c>
      <c r="K65" s="11">
        <f t="shared" si="2"/>
        <v>0</v>
      </c>
      <c r="L65" s="12">
        <v>0</v>
      </c>
      <c r="M65" s="12">
        <v>0</v>
      </c>
      <c r="N65" s="11">
        <f t="shared" si="3"/>
        <v>0</v>
      </c>
      <c r="O65" s="10">
        <v>0</v>
      </c>
      <c r="P65" s="10">
        <v>0</v>
      </c>
      <c r="Q65" s="11">
        <f t="shared" si="4"/>
        <v>0</v>
      </c>
      <c r="R65" s="12">
        <v>0</v>
      </c>
      <c r="S65" s="12">
        <v>0</v>
      </c>
      <c r="T65" s="11">
        <f t="shared" si="5"/>
        <v>0</v>
      </c>
    </row>
    <row r="66" ht="14" customHeight="1" spans="1:20">
      <c r="A66" s="13" t="s">
        <v>75</v>
      </c>
      <c r="B66" s="6"/>
      <c r="C66" s="14">
        <f>SUM(C57:C65)</f>
        <v>206</v>
      </c>
      <c r="D66" s="14">
        <f>SUM(D57:D65)</f>
        <v>76</v>
      </c>
      <c r="E66" s="15">
        <f t="shared" si="0"/>
        <v>0.368932038834951</v>
      </c>
      <c r="F66" s="16">
        <f>SUM(F57:F65)</f>
        <v>2983.4</v>
      </c>
      <c r="G66" s="16">
        <f>SUM(G57:G65)</f>
        <v>1228.981935</v>
      </c>
      <c r="H66" s="15">
        <f t="shared" si="1"/>
        <v>0.411940046591138</v>
      </c>
      <c r="I66" s="14">
        <f>SUM(I57:I65)</f>
        <v>87</v>
      </c>
      <c r="J66" s="14">
        <f>SUM(J57:J65)</f>
        <v>52</v>
      </c>
      <c r="K66" s="15">
        <f t="shared" si="2"/>
        <v>0.597701149425287</v>
      </c>
      <c r="L66" s="16">
        <f>SUM(L57:L65)</f>
        <v>882.2</v>
      </c>
      <c r="M66" s="16">
        <f>SUM(M57:M65)</f>
        <v>467.93089</v>
      </c>
      <c r="N66" s="15">
        <f t="shared" si="3"/>
        <v>0.53041361369304</v>
      </c>
      <c r="O66" s="14">
        <f>SUM(O57:O65)</f>
        <v>130</v>
      </c>
      <c r="P66" s="14">
        <f>SUM(P57:P65)</f>
        <v>26</v>
      </c>
      <c r="Q66" s="15">
        <f t="shared" si="4"/>
        <v>0.2</v>
      </c>
      <c r="R66" s="16">
        <f>SUM(R57:R65)</f>
        <v>1418.0550572</v>
      </c>
      <c r="S66" s="16">
        <f>SUM(S57:S65)</f>
        <v>348.616436</v>
      </c>
      <c r="T66" s="15">
        <f t="shared" si="5"/>
        <v>0.245841255760799</v>
      </c>
    </row>
    <row r="67" ht="14" customHeight="1" spans="1:20">
      <c r="A67" s="8">
        <v>57</v>
      </c>
      <c r="B67" s="9" t="s">
        <v>76</v>
      </c>
      <c r="C67" s="10">
        <v>211</v>
      </c>
      <c r="D67" s="10">
        <v>104</v>
      </c>
      <c r="E67" s="11">
        <f t="shared" si="0"/>
        <v>0.492890995260663</v>
      </c>
      <c r="F67" s="12">
        <v>1510</v>
      </c>
      <c r="G67" s="12">
        <v>716.026167999999</v>
      </c>
      <c r="H67" s="11">
        <f t="shared" si="1"/>
        <v>0.474189515231787</v>
      </c>
      <c r="I67" s="10">
        <v>5</v>
      </c>
      <c r="J67" s="10">
        <v>0</v>
      </c>
      <c r="K67" s="11">
        <f t="shared" si="2"/>
        <v>0</v>
      </c>
      <c r="L67" s="12">
        <v>50</v>
      </c>
      <c r="M67" s="12">
        <v>0</v>
      </c>
      <c r="N67" s="11">
        <f t="shared" si="3"/>
        <v>0</v>
      </c>
      <c r="O67" s="10">
        <v>5</v>
      </c>
      <c r="P67" s="10">
        <v>0</v>
      </c>
      <c r="Q67" s="11">
        <f t="shared" si="4"/>
        <v>0</v>
      </c>
      <c r="R67" s="12">
        <v>50</v>
      </c>
      <c r="S67" s="12">
        <v>0</v>
      </c>
      <c r="T67" s="11">
        <f t="shared" si="5"/>
        <v>0</v>
      </c>
    </row>
    <row r="68" ht="14" customHeight="1" spans="1:20">
      <c r="A68" s="8">
        <v>58</v>
      </c>
      <c r="B68" s="9" t="s">
        <v>77</v>
      </c>
      <c r="C68" s="10">
        <v>10</v>
      </c>
      <c r="D68" s="10">
        <v>0</v>
      </c>
      <c r="E68" s="11">
        <f t="shared" si="0"/>
        <v>0</v>
      </c>
      <c r="F68" s="12">
        <v>64</v>
      </c>
      <c r="G68" s="12">
        <v>0</v>
      </c>
      <c r="H68" s="11">
        <f t="shared" si="1"/>
        <v>0</v>
      </c>
      <c r="I68" s="10">
        <v>16</v>
      </c>
      <c r="J68" s="10">
        <v>0</v>
      </c>
      <c r="K68" s="11">
        <f t="shared" si="2"/>
        <v>0</v>
      </c>
      <c r="L68" s="12">
        <v>116</v>
      </c>
      <c r="M68" s="12">
        <v>0</v>
      </c>
      <c r="N68" s="11">
        <f t="shared" si="3"/>
        <v>0</v>
      </c>
      <c r="O68" s="10">
        <v>0</v>
      </c>
      <c r="P68" s="10">
        <v>0</v>
      </c>
      <c r="Q68" s="11">
        <f t="shared" si="4"/>
        <v>0</v>
      </c>
      <c r="R68" s="12">
        <v>0</v>
      </c>
      <c r="S68" s="12">
        <v>0</v>
      </c>
      <c r="T68" s="11">
        <f t="shared" si="5"/>
        <v>0</v>
      </c>
    </row>
    <row r="69" ht="14" customHeight="1" spans="1:20">
      <c r="A69" s="8">
        <v>59</v>
      </c>
      <c r="B69" s="9" t="s">
        <v>78</v>
      </c>
      <c r="C69" s="10">
        <v>15</v>
      </c>
      <c r="D69" s="10">
        <v>46</v>
      </c>
      <c r="E69" s="11">
        <f t="shared" ref="E69:E76" si="6">IF(C69=0,IF(D69=0,0,1),D69/C69)</f>
        <v>3.06666666666667</v>
      </c>
      <c r="F69" s="12">
        <v>120</v>
      </c>
      <c r="G69" s="12">
        <v>435.996132</v>
      </c>
      <c r="H69" s="11">
        <f t="shared" ref="H69:H84" si="7">IF(F69=0,IF(G69=0,0,1),G69/F69)</f>
        <v>3.6333011</v>
      </c>
      <c r="I69" s="10">
        <v>15</v>
      </c>
      <c r="J69" s="10">
        <v>2</v>
      </c>
      <c r="K69" s="11">
        <f t="shared" ref="K69:K76" si="8">IF(I69=0,IF(J69=0,0,1),J69/I69)</f>
        <v>0.133333333333333</v>
      </c>
      <c r="L69" s="12">
        <v>120</v>
      </c>
      <c r="M69" s="12">
        <v>39.217464</v>
      </c>
      <c r="N69" s="11">
        <f t="shared" ref="N69:N84" si="9">IF(L69=0,IF(M69=0,0,1),M69/L69)</f>
        <v>0.3268122</v>
      </c>
      <c r="O69" s="10">
        <v>15</v>
      </c>
      <c r="P69" s="10">
        <v>0</v>
      </c>
      <c r="Q69" s="11">
        <f t="shared" ref="Q69:Q76" si="10">IF(O69=0,IF(P69=0,0,1),P69/O69)</f>
        <v>0</v>
      </c>
      <c r="R69" s="12">
        <v>120</v>
      </c>
      <c r="S69" s="12">
        <v>0</v>
      </c>
      <c r="T69" s="11">
        <f t="shared" ref="T69:T84" si="11">IF(R69=0,IF(S69=0,0,1),S69/R69)</f>
        <v>0</v>
      </c>
    </row>
    <row r="70" ht="14" customHeight="1" spans="1:20">
      <c r="A70" s="8">
        <v>60</v>
      </c>
      <c r="B70" s="9" t="s">
        <v>79</v>
      </c>
      <c r="C70" s="10">
        <v>0</v>
      </c>
      <c r="D70" s="10">
        <v>0</v>
      </c>
      <c r="E70" s="11">
        <f t="shared" si="6"/>
        <v>0</v>
      </c>
      <c r="F70" s="12">
        <v>0</v>
      </c>
      <c r="G70" s="12">
        <v>0</v>
      </c>
      <c r="H70" s="11">
        <f t="shared" si="7"/>
        <v>0</v>
      </c>
      <c r="I70" s="10">
        <v>0</v>
      </c>
      <c r="J70" s="10">
        <v>0</v>
      </c>
      <c r="K70" s="11">
        <f t="shared" si="8"/>
        <v>0</v>
      </c>
      <c r="L70" s="12">
        <v>0</v>
      </c>
      <c r="M70" s="12">
        <v>0</v>
      </c>
      <c r="N70" s="11">
        <f t="shared" si="9"/>
        <v>0</v>
      </c>
      <c r="O70" s="10">
        <v>14</v>
      </c>
      <c r="P70" s="10">
        <v>1</v>
      </c>
      <c r="Q70" s="11">
        <f t="shared" si="10"/>
        <v>0.0714285714285714</v>
      </c>
      <c r="R70" s="12">
        <v>143</v>
      </c>
      <c r="S70" s="12">
        <v>10.7679</v>
      </c>
      <c r="T70" s="11">
        <f t="shared" si="11"/>
        <v>0.0753</v>
      </c>
    </row>
    <row r="71" ht="14" customHeight="1" spans="1:20">
      <c r="A71" s="8">
        <v>61</v>
      </c>
      <c r="B71" s="9" t="s">
        <v>80</v>
      </c>
      <c r="C71" s="10">
        <v>15</v>
      </c>
      <c r="D71" s="10">
        <v>16</v>
      </c>
      <c r="E71" s="11">
        <f t="shared" si="6"/>
        <v>1.06666666666667</v>
      </c>
      <c r="F71" s="12">
        <v>87</v>
      </c>
      <c r="G71" s="12">
        <v>86.231255</v>
      </c>
      <c r="H71" s="11">
        <f t="shared" si="7"/>
        <v>0.991163850574713</v>
      </c>
      <c r="I71" s="10">
        <v>6</v>
      </c>
      <c r="J71" s="10">
        <v>0</v>
      </c>
      <c r="K71" s="11">
        <f t="shared" si="8"/>
        <v>0</v>
      </c>
      <c r="L71" s="12">
        <v>34</v>
      </c>
      <c r="M71" s="12">
        <v>0</v>
      </c>
      <c r="N71" s="11">
        <f t="shared" si="9"/>
        <v>0</v>
      </c>
      <c r="O71" s="10">
        <v>0</v>
      </c>
      <c r="P71" s="10">
        <v>0</v>
      </c>
      <c r="Q71" s="11">
        <f t="shared" si="10"/>
        <v>0</v>
      </c>
      <c r="R71" s="12">
        <v>0</v>
      </c>
      <c r="S71" s="12">
        <v>0</v>
      </c>
      <c r="T71" s="11">
        <f t="shared" si="11"/>
        <v>0</v>
      </c>
    </row>
    <row r="72" ht="14" customHeight="1" spans="1:20">
      <c r="A72" s="8">
        <v>62</v>
      </c>
      <c r="B72" s="9" t="s">
        <v>81</v>
      </c>
      <c r="C72" s="10">
        <v>10</v>
      </c>
      <c r="D72" s="10">
        <v>0</v>
      </c>
      <c r="E72" s="11">
        <f t="shared" si="6"/>
        <v>0</v>
      </c>
      <c r="F72" s="12">
        <v>100</v>
      </c>
      <c r="G72" s="12">
        <v>0</v>
      </c>
      <c r="H72" s="11">
        <f t="shared" si="7"/>
        <v>0</v>
      </c>
      <c r="I72" s="10">
        <v>4</v>
      </c>
      <c r="J72" s="10">
        <v>1</v>
      </c>
      <c r="K72" s="11">
        <f t="shared" si="8"/>
        <v>0.25</v>
      </c>
      <c r="L72" s="12">
        <v>35</v>
      </c>
      <c r="M72" s="12">
        <v>12.382297</v>
      </c>
      <c r="N72" s="11">
        <f t="shared" si="9"/>
        <v>0.353779914285714</v>
      </c>
      <c r="O72" s="10">
        <v>1</v>
      </c>
      <c r="P72" s="10">
        <v>0</v>
      </c>
      <c r="Q72" s="11">
        <f t="shared" si="10"/>
        <v>0</v>
      </c>
      <c r="R72" s="12">
        <v>12</v>
      </c>
      <c r="S72" s="12">
        <v>0</v>
      </c>
      <c r="T72" s="11">
        <f t="shared" si="11"/>
        <v>0</v>
      </c>
    </row>
    <row r="73" ht="14" customHeight="1" spans="1:20">
      <c r="A73" s="13" t="s">
        <v>82</v>
      </c>
      <c r="B73" s="6"/>
      <c r="C73" s="14">
        <f>SUM(C67:C72)</f>
        <v>261</v>
      </c>
      <c r="D73" s="14">
        <f>SUM(D67:D72)</f>
        <v>166</v>
      </c>
      <c r="E73" s="15">
        <f t="shared" si="6"/>
        <v>0.636015325670498</v>
      </c>
      <c r="F73" s="16">
        <f>SUM(F67:F72)</f>
        <v>1881</v>
      </c>
      <c r="G73" s="16">
        <f>SUM(G67:G72)</f>
        <v>1238.253555</v>
      </c>
      <c r="H73" s="15">
        <f t="shared" si="7"/>
        <v>0.658295350877192</v>
      </c>
      <c r="I73" s="14">
        <f>SUM(I67:I72)</f>
        <v>46</v>
      </c>
      <c r="J73" s="14">
        <f>SUM(J67:J72)</f>
        <v>3</v>
      </c>
      <c r="K73" s="15">
        <f t="shared" si="8"/>
        <v>0.0652173913043478</v>
      </c>
      <c r="L73" s="16">
        <f>SUM(L67:L72)</f>
        <v>355</v>
      </c>
      <c r="M73" s="16">
        <f>SUM(M67:M72)</f>
        <v>51.599761</v>
      </c>
      <c r="N73" s="15">
        <f t="shared" si="9"/>
        <v>0.14535143943662</v>
      </c>
      <c r="O73" s="14">
        <f>SUM(O67:O72)</f>
        <v>35</v>
      </c>
      <c r="P73" s="14">
        <f>SUM(P67:P72)</f>
        <v>1</v>
      </c>
      <c r="Q73" s="15">
        <f t="shared" si="10"/>
        <v>0.0285714285714286</v>
      </c>
      <c r="R73" s="16">
        <f>SUM(R67:R72)</f>
        <v>325</v>
      </c>
      <c r="S73" s="16">
        <f>SUM(S67:S72)</f>
        <v>10.7679</v>
      </c>
      <c r="T73" s="15">
        <f t="shared" si="11"/>
        <v>0.033132</v>
      </c>
    </row>
    <row r="74" ht="14" customHeight="1" spans="1:20">
      <c r="A74" s="8">
        <v>63</v>
      </c>
      <c r="B74" s="9" t="s">
        <v>83</v>
      </c>
      <c r="C74" s="10">
        <v>1</v>
      </c>
      <c r="D74" s="10">
        <v>0</v>
      </c>
      <c r="E74" s="11">
        <f t="shared" si="6"/>
        <v>0</v>
      </c>
      <c r="F74" s="12">
        <v>89</v>
      </c>
      <c r="G74" s="12">
        <v>0</v>
      </c>
      <c r="H74" s="11">
        <f t="shared" si="7"/>
        <v>0</v>
      </c>
      <c r="I74" s="10">
        <v>0</v>
      </c>
      <c r="J74" s="10">
        <v>0</v>
      </c>
      <c r="K74" s="11">
        <f t="shared" si="8"/>
        <v>0</v>
      </c>
      <c r="L74" s="12">
        <v>0</v>
      </c>
      <c r="M74" s="12">
        <v>0</v>
      </c>
      <c r="N74" s="11">
        <f t="shared" si="9"/>
        <v>0</v>
      </c>
      <c r="O74" s="10">
        <v>0</v>
      </c>
      <c r="P74" s="10">
        <v>0</v>
      </c>
      <c r="Q74" s="11">
        <f t="shared" si="10"/>
        <v>0</v>
      </c>
      <c r="R74" s="12">
        <v>0</v>
      </c>
      <c r="S74" s="12">
        <v>0</v>
      </c>
      <c r="T74" s="11">
        <f t="shared" si="11"/>
        <v>0</v>
      </c>
    </row>
    <row r="75" ht="14" customHeight="1" spans="1:20">
      <c r="A75" s="8">
        <v>64</v>
      </c>
      <c r="B75" s="9" t="s">
        <v>84</v>
      </c>
      <c r="C75" s="10">
        <v>0</v>
      </c>
      <c r="D75" s="10">
        <v>0</v>
      </c>
      <c r="E75" s="11">
        <f t="shared" si="6"/>
        <v>0</v>
      </c>
      <c r="F75" s="12">
        <v>6</v>
      </c>
      <c r="G75" s="12">
        <v>0</v>
      </c>
      <c r="H75" s="11">
        <f t="shared" si="7"/>
        <v>0</v>
      </c>
      <c r="I75" s="10">
        <v>0</v>
      </c>
      <c r="J75" s="10">
        <v>0</v>
      </c>
      <c r="K75" s="11">
        <f t="shared" si="8"/>
        <v>0</v>
      </c>
      <c r="L75" s="12">
        <v>6</v>
      </c>
      <c r="M75" s="12">
        <v>0</v>
      </c>
      <c r="N75" s="11">
        <f t="shared" si="9"/>
        <v>0</v>
      </c>
      <c r="O75" s="10">
        <v>0</v>
      </c>
      <c r="P75" s="10">
        <v>0</v>
      </c>
      <c r="Q75" s="11">
        <f t="shared" si="10"/>
        <v>0</v>
      </c>
      <c r="R75" s="12">
        <v>6</v>
      </c>
      <c r="S75" s="12">
        <v>0</v>
      </c>
      <c r="T75" s="11">
        <f t="shared" si="11"/>
        <v>0</v>
      </c>
    </row>
    <row r="76" ht="14" customHeight="1" spans="1:20">
      <c r="A76" s="13" t="s">
        <v>85</v>
      </c>
      <c r="B76" s="6"/>
      <c r="C76" s="14">
        <f>SUM(C74:C75)</f>
        <v>1</v>
      </c>
      <c r="D76" s="14">
        <f>SUM(D74:D75)</f>
        <v>0</v>
      </c>
      <c r="E76" s="15">
        <f t="shared" si="6"/>
        <v>0</v>
      </c>
      <c r="F76" s="16">
        <f>SUM(F74:F75)</f>
        <v>95</v>
      </c>
      <c r="G76" s="16">
        <f>SUM(G74:G75)</f>
        <v>0</v>
      </c>
      <c r="H76" s="15">
        <f t="shared" si="7"/>
        <v>0</v>
      </c>
      <c r="I76" s="14">
        <f>SUM(I74:I75)</f>
        <v>0</v>
      </c>
      <c r="J76" s="14">
        <f>SUM(J74:J75)</f>
        <v>0</v>
      </c>
      <c r="K76" s="15">
        <f t="shared" si="8"/>
        <v>0</v>
      </c>
      <c r="L76" s="16">
        <f>SUM(L74:L75)</f>
        <v>6</v>
      </c>
      <c r="M76" s="16">
        <f>SUM(M74:M75)</f>
        <v>0</v>
      </c>
      <c r="N76" s="15">
        <f t="shared" si="9"/>
        <v>0</v>
      </c>
      <c r="O76" s="14">
        <f>SUM(O74:O75)</f>
        <v>0</v>
      </c>
      <c r="P76" s="14">
        <f>SUM(P74:P75)</f>
        <v>0</v>
      </c>
      <c r="Q76" s="15">
        <f t="shared" si="10"/>
        <v>0</v>
      </c>
      <c r="R76" s="16">
        <f>SUM(R74:R75)</f>
        <v>6</v>
      </c>
      <c r="S76" s="16">
        <f>SUM(S74:S75)</f>
        <v>0</v>
      </c>
      <c r="T76" s="15">
        <f t="shared" si="11"/>
        <v>0</v>
      </c>
    </row>
    <row r="77" ht="14" customHeight="1" spans="1:20">
      <c r="A77" s="8">
        <v>65</v>
      </c>
      <c r="B77" s="9" t="s">
        <v>86</v>
      </c>
      <c r="C77" s="17" t="s">
        <v>87</v>
      </c>
      <c r="D77" s="17" t="s">
        <v>87</v>
      </c>
      <c r="E77" s="17" t="s">
        <v>87</v>
      </c>
      <c r="F77" s="12">
        <v>316</v>
      </c>
      <c r="G77" s="12">
        <v>0</v>
      </c>
      <c r="H77" s="11">
        <f t="shared" si="7"/>
        <v>0</v>
      </c>
      <c r="I77" s="17" t="s">
        <v>87</v>
      </c>
      <c r="J77" s="17" t="s">
        <v>87</v>
      </c>
      <c r="K77" s="17" t="s">
        <v>87</v>
      </c>
      <c r="L77" s="12">
        <v>206</v>
      </c>
      <c r="M77" s="12">
        <v>0</v>
      </c>
      <c r="N77" s="11">
        <f t="shared" si="9"/>
        <v>0</v>
      </c>
      <c r="O77" s="17" t="s">
        <v>87</v>
      </c>
      <c r="P77" s="17" t="s">
        <v>87</v>
      </c>
      <c r="Q77" s="17" t="s">
        <v>87</v>
      </c>
      <c r="R77" s="12">
        <v>122</v>
      </c>
      <c r="S77" s="12">
        <v>0</v>
      </c>
      <c r="T77" s="11">
        <f t="shared" si="11"/>
        <v>0</v>
      </c>
    </row>
    <row r="78" ht="14" customHeight="1" spans="1:20">
      <c r="A78" s="8">
        <v>66</v>
      </c>
      <c r="B78" s="9" t="s">
        <v>88</v>
      </c>
      <c r="C78" s="17" t="s">
        <v>87</v>
      </c>
      <c r="D78" s="17" t="s">
        <v>87</v>
      </c>
      <c r="E78" s="17" t="s">
        <v>87</v>
      </c>
      <c r="F78" s="12">
        <v>0</v>
      </c>
      <c r="G78" s="12">
        <v>0</v>
      </c>
      <c r="H78" s="11">
        <f t="shared" si="7"/>
        <v>0</v>
      </c>
      <c r="I78" s="17" t="s">
        <v>87</v>
      </c>
      <c r="J78" s="17" t="s">
        <v>87</v>
      </c>
      <c r="K78" s="17" t="s">
        <v>87</v>
      </c>
      <c r="L78" s="12">
        <v>0</v>
      </c>
      <c r="M78" s="12">
        <v>0</v>
      </c>
      <c r="N78" s="11">
        <f t="shared" si="9"/>
        <v>0</v>
      </c>
      <c r="O78" s="17" t="s">
        <v>87</v>
      </c>
      <c r="P78" s="17" t="s">
        <v>87</v>
      </c>
      <c r="Q78" s="17" t="s">
        <v>87</v>
      </c>
      <c r="R78" s="12">
        <v>0</v>
      </c>
      <c r="S78" s="12">
        <v>0</v>
      </c>
      <c r="T78" s="11">
        <f t="shared" si="11"/>
        <v>0</v>
      </c>
    </row>
    <row r="79" ht="14" customHeight="1" spans="1:20">
      <c r="A79" s="8">
        <v>67</v>
      </c>
      <c r="B79" s="9" t="s">
        <v>89</v>
      </c>
      <c r="C79" s="17" t="s">
        <v>87</v>
      </c>
      <c r="D79" s="17" t="s">
        <v>87</v>
      </c>
      <c r="E79" s="17" t="s">
        <v>87</v>
      </c>
      <c r="F79" s="12">
        <v>53</v>
      </c>
      <c r="G79" s="12">
        <v>0</v>
      </c>
      <c r="H79" s="11">
        <f t="shared" si="7"/>
        <v>0</v>
      </c>
      <c r="I79" s="17" t="s">
        <v>87</v>
      </c>
      <c r="J79" s="17" t="s">
        <v>87</v>
      </c>
      <c r="K79" s="17" t="s">
        <v>87</v>
      </c>
      <c r="L79" s="12">
        <v>160</v>
      </c>
      <c r="M79" s="12">
        <v>0</v>
      </c>
      <c r="N79" s="11">
        <f t="shared" si="9"/>
        <v>0</v>
      </c>
      <c r="O79" s="17" t="s">
        <v>87</v>
      </c>
      <c r="P79" s="17" t="s">
        <v>87</v>
      </c>
      <c r="Q79" s="17" t="s">
        <v>87</v>
      </c>
      <c r="R79" s="12">
        <v>0</v>
      </c>
      <c r="S79" s="12">
        <v>0</v>
      </c>
      <c r="T79" s="11">
        <f t="shared" si="11"/>
        <v>0</v>
      </c>
    </row>
    <row r="80" ht="14" customHeight="1" spans="1:20">
      <c r="A80" s="8">
        <v>68</v>
      </c>
      <c r="B80" s="9" t="s">
        <v>90</v>
      </c>
      <c r="C80" s="17" t="s">
        <v>87</v>
      </c>
      <c r="D80" s="17" t="s">
        <v>87</v>
      </c>
      <c r="E80" s="17" t="s">
        <v>87</v>
      </c>
      <c r="F80" s="12">
        <v>415</v>
      </c>
      <c r="G80" s="12">
        <v>130.060384799194</v>
      </c>
      <c r="H80" s="11">
        <f t="shared" si="7"/>
        <v>0.31339851758842</v>
      </c>
      <c r="I80" s="17" t="s">
        <v>87</v>
      </c>
      <c r="J80" s="17" t="s">
        <v>87</v>
      </c>
      <c r="K80" s="17" t="s">
        <v>87</v>
      </c>
      <c r="L80" s="12">
        <v>290</v>
      </c>
      <c r="M80" s="12">
        <v>29.6374917358398</v>
      </c>
      <c r="N80" s="11">
        <f t="shared" si="9"/>
        <v>0.102198247364965</v>
      </c>
      <c r="O80" s="17" t="s">
        <v>87</v>
      </c>
      <c r="P80" s="17" t="s">
        <v>87</v>
      </c>
      <c r="Q80" s="17" t="s">
        <v>87</v>
      </c>
      <c r="R80" s="12">
        <v>106.39</v>
      </c>
      <c r="S80" s="12">
        <v>10.620300416</v>
      </c>
      <c r="T80" s="11">
        <f t="shared" si="11"/>
        <v>0.0998242355108563</v>
      </c>
    </row>
    <row r="81" ht="14" customHeight="1" spans="1:20">
      <c r="A81" s="8">
        <v>69</v>
      </c>
      <c r="B81" s="9" t="s">
        <v>91</v>
      </c>
      <c r="C81" s="17" t="s">
        <v>87</v>
      </c>
      <c r="D81" s="17" t="s">
        <v>87</v>
      </c>
      <c r="E81" s="17" t="s">
        <v>87</v>
      </c>
      <c r="F81" s="12">
        <v>393</v>
      </c>
      <c r="G81" s="12">
        <v>1.46973916015625</v>
      </c>
      <c r="H81" s="11">
        <f t="shared" si="7"/>
        <v>0.00373979430065204</v>
      </c>
      <c r="I81" s="17" t="s">
        <v>87</v>
      </c>
      <c r="J81" s="17" t="s">
        <v>87</v>
      </c>
      <c r="K81" s="17" t="s">
        <v>87</v>
      </c>
      <c r="L81" s="12">
        <v>450</v>
      </c>
      <c r="M81" s="12">
        <v>122.701489160156</v>
      </c>
      <c r="N81" s="11">
        <f t="shared" si="9"/>
        <v>0.272669975911458</v>
      </c>
      <c r="O81" s="17" t="s">
        <v>87</v>
      </c>
      <c r="P81" s="17" t="s">
        <v>87</v>
      </c>
      <c r="Q81" s="17" t="s">
        <v>87</v>
      </c>
      <c r="R81" s="12">
        <v>53</v>
      </c>
      <c r="S81" s="12">
        <v>0</v>
      </c>
      <c r="T81" s="11">
        <f t="shared" si="11"/>
        <v>0</v>
      </c>
    </row>
    <row r="82" ht="14" customHeight="1" spans="1:20">
      <c r="A82" s="8">
        <v>70</v>
      </c>
      <c r="B82" s="9" t="s">
        <v>92</v>
      </c>
      <c r="C82" s="17" t="s">
        <v>87</v>
      </c>
      <c r="D82" s="17" t="s">
        <v>87</v>
      </c>
      <c r="E82" s="17" t="s">
        <v>87</v>
      </c>
      <c r="F82" s="12">
        <v>190</v>
      </c>
      <c r="G82" s="12">
        <v>1.135298</v>
      </c>
      <c r="H82" s="11">
        <f t="shared" si="7"/>
        <v>0.00597525263157895</v>
      </c>
      <c r="I82" s="17" t="s">
        <v>87</v>
      </c>
      <c r="J82" s="17" t="s">
        <v>87</v>
      </c>
      <c r="K82" s="17" t="s">
        <v>87</v>
      </c>
      <c r="L82" s="12">
        <v>100</v>
      </c>
      <c r="M82" s="12">
        <v>12.360269</v>
      </c>
      <c r="N82" s="11">
        <f t="shared" si="9"/>
        <v>0.12360269</v>
      </c>
      <c r="O82" s="17" t="s">
        <v>87</v>
      </c>
      <c r="P82" s="17" t="s">
        <v>87</v>
      </c>
      <c r="Q82" s="17" t="s">
        <v>87</v>
      </c>
      <c r="R82" s="12">
        <v>100</v>
      </c>
      <c r="S82" s="12">
        <v>0.117927</v>
      </c>
      <c r="T82" s="11">
        <f t="shared" si="11"/>
        <v>0.00117927</v>
      </c>
    </row>
    <row r="83" ht="14" customHeight="1" spans="1:20">
      <c r="A83" s="13" t="s">
        <v>93</v>
      </c>
      <c r="B83" s="6"/>
      <c r="C83" s="14">
        <f>SUM(C77:C82)</f>
        <v>0</v>
      </c>
      <c r="D83" s="14">
        <f>SUM(D77:D82)</f>
        <v>0</v>
      </c>
      <c r="E83" s="15">
        <f>IF(C83=0,IF(D83=0,0,1),D83/C83)</f>
        <v>0</v>
      </c>
      <c r="F83" s="16">
        <f>SUM(F77:F82)</f>
        <v>1367</v>
      </c>
      <c r="G83" s="16">
        <f>SUM(G77:G82)</f>
        <v>132.665421959351</v>
      </c>
      <c r="H83" s="15">
        <f t="shared" si="7"/>
        <v>0.0970485895825535</v>
      </c>
      <c r="I83" s="14">
        <f>SUM(I77:I82)</f>
        <v>0</v>
      </c>
      <c r="J83" s="14">
        <f>SUM(J77:J82)</f>
        <v>0</v>
      </c>
      <c r="K83" s="15">
        <f>IF(I83=0,IF(J83=0,0,1),J83/I83)</f>
        <v>0</v>
      </c>
      <c r="L83" s="16">
        <f>SUM(L77:L82)</f>
        <v>1206</v>
      </c>
      <c r="M83" s="16">
        <f>SUM(M77:M82)</f>
        <v>164.699249895996</v>
      </c>
      <c r="N83" s="15">
        <f t="shared" si="9"/>
        <v>0.136566542202319</v>
      </c>
      <c r="O83" s="14">
        <f>SUM(O77:O82)</f>
        <v>0</v>
      </c>
      <c r="P83" s="14">
        <f>SUM(P77:P82)</f>
        <v>0</v>
      </c>
      <c r="Q83" s="15">
        <f>IF(O83=0,IF(P83=0,0,1),P83/O83)</f>
        <v>0</v>
      </c>
      <c r="R83" s="16">
        <f>SUM(R77:R82)</f>
        <v>381.39</v>
      </c>
      <c r="S83" s="16">
        <f>SUM(S77:S82)</f>
        <v>10.738227416</v>
      </c>
      <c r="T83" s="15">
        <f t="shared" si="11"/>
        <v>0.0281555033325467</v>
      </c>
    </row>
    <row r="84" ht="14" customHeight="1" spans="1:20">
      <c r="A84" s="18" t="s">
        <v>94</v>
      </c>
      <c r="B84" s="6"/>
      <c r="C84" s="19">
        <f>C15+C25+C37+C48+C56+C66+C73+C76+C83</f>
        <v>1758</v>
      </c>
      <c r="D84" s="19">
        <f>D15+D25+D37+D48+D56+D66+D73+D76+D83</f>
        <v>459</v>
      </c>
      <c r="E84" s="20">
        <f>IF(C84=0,IF(D84=0,0,1),D84/C84)</f>
        <v>0.261092150170648</v>
      </c>
      <c r="F84" s="21">
        <f>F15+F25+F37+F48+F56+F66+F73+F76+F83</f>
        <v>21050.5172</v>
      </c>
      <c r="G84" s="21">
        <f>G15+G25+G37+G48+G56+G66+G73+G76+G83</f>
        <v>7896.01821895935</v>
      </c>
      <c r="H84" s="20">
        <f t="shared" si="7"/>
        <v>0.375098537672003</v>
      </c>
      <c r="I84" s="19">
        <f>I15+I25+I37+I48+I56+I66+I73+I76+I83</f>
        <v>582</v>
      </c>
      <c r="J84" s="19">
        <f>J15+J25+J37+J48+J56+J66+J73+J76+J83</f>
        <v>132</v>
      </c>
      <c r="K84" s="20">
        <f>IF(I84=0,IF(J84=0,0,1),J84/I84)</f>
        <v>0.22680412371134</v>
      </c>
      <c r="L84" s="21">
        <f>L15+L25+L37+L48+L56+L66+L73+L76+L83</f>
        <v>7514.436</v>
      </c>
      <c r="M84" s="21">
        <f>M15+M25+M37+M48+M56+M66+M73+M76+M83</f>
        <v>1614.471352896</v>
      </c>
      <c r="N84" s="20">
        <f t="shared" si="9"/>
        <v>0.214849305110323</v>
      </c>
      <c r="O84" s="19">
        <f>O15+O25+O37+O48+O56+O66+O73+O76+O83</f>
        <v>673</v>
      </c>
      <c r="P84" s="19">
        <f>P15+P25+P37+P48+P56+P66+P73+P76+P83</f>
        <v>136</v>
      </c>
      <c r="Q84" s="20">
        <f>IF(O84=0,IF(P84=0,0,1),P84/O84)</f>
        <v>0.202080237741456</v>
      </c>
      <c r="R84" s="21">
        <f>R15+R25+R37+R48+R56+R66+R73+R76+R83</f>
        <v>8903.9823636</v>
      </c>
      <c r="S84" s="21">
        <f>S15+S25+S37+S48+S56+S66+S73+S76+S83</f>
        <v>1863.179034416</v>
      </c>
      <c r="T84" s="20">
        <f t="shared" si="11"/>
        <v>0.209252327591392</v>
      </c>
    </row>
  </sheetData>
  <mergeCells count="18">
    <mergeCell ref="A1:T1"/>
    <mergeCell ref="A2:T2"/>
    <mergeCell ref="C3:E3"/>
    <mergeCell ref="F3:H3"/>
    <mergeCell ref="I3:K3"/>
    <mergeCell ref="L3:N3"/>
    <mergeCell ref="O3:Q3"/>
    <mergeCell ref="R3:T3"/>
    <mergeCell ref="A15:B15"/>
    <mergeCell ref="A25:B25"/>
    <mergeCell ref="A37:B37"/>
    <mergeCell ref="A48:B48"/>
    <mergeCell ref="A56:B56"/>
    <mergeCell ref="A66:B66"/>
    <mergeCell ref="A73:B73"/>
    <mergeCell ref="A76:B76"/>
    <mergeCell ref="A83:B83"/>
    <mergeCell ref="A84:B8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上半年单月明细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Ｉ āｍ ā $ｈīτ</cp:lastModifiedBy>
  <dcterms:created xsi:type="dcterms:W3CDTF">2026-05-09T09:33:00Z</dcterms:created>
  <dcterms:modified xsi:type="dcterms:W3CDTF">2026-06-12T00:57:53Z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45D6217EB2B5427DAD2B63BE7ED486F3_12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