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250" windowHeight="15690" activeTab="2"/>
  </bookViews>
  <sheets>
    <sheet name="Sheet1" sheetId="1" r:id="rId1"/>
    <sheet name="改" sheetId="2" r:id="rId2"/>
    <sheet name="改 (2)" sheetId="5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<sst xmlns="http://schemas.openxmlformats.org/spreadsheetml/2006/main" count="793" uniqueCount="137">
  <si>
    <t>大区</t>
  </si>
  <si>
    <t>模块</t>
  </si>
  <si>
    <t>模块级别</t>
  </si>
  <si>
    <t>签订台数指标</t>
  </si>
  <si>
    <t>签订额指标</t>
  </si>
  <si>
    <t>有效订单额</t>
  </si>
  <si>
    <t>排产台数指标</t>
  </si>
  <si>
    <t>排产额指标</t>
  </si>
  <si>
    <t>发货台数指标</t>
  </si>
  <si>
    <t>发货额指标</t>
  </si>
  <si>
    <t>回款指标</t>
  </si>
  <si>
    <t>俄罗斯</t>
  </si>
  <si>
    <t>俄罗斯（中部）</t>
  </si>
  <si>
    <t>A</t>
  </si>
  <si>
    <t>俄罗斯（西部）</t>
  </si>
  <si>
    <t>俄罗斯（东部）</t>
  </si>
  <si>
    <t>罗斯托夫</t>
  </si>
  <si>
    <t>B</t>
  </si>
  <si>
    <t>哈巴</t>
  </si>
  <si>
    <t>俄罗斯（中南）</t>
  </si>
  <si>
    <t>俄罗斯（西南）</t>
  </si>
  <si>
    <t>莫斯科</t>
  </si>
  <si>
    <t>C</t>
  </si>
  <si>
    <t>叶卡</t>
  </si>
  <si>
    <t>新西</t>
  </si>
  <si>
    <t>亚洲1</t>
  </si>
  <si>
    <t>新加坡市政会</t>
  </si>
  <si>
    <t>新加坡HDB</t>
  </si>
  <si>
    <t>马来西亚</t>
  </si>
  <si>
    <t>朝鲜-韩国</t>
  </si>
  <si>
    <t>D</t>
  </si>
  <si>
    <t>泰国</t>
  </si>
  <si>
    <t>泰国2</t>
  </si>
  <si>
    <t>金三角</t>
  </si>
  <si>
    <t>马尔代夫</t>
  </si>
  <si>
    <t>日港台</t>
  </si>
  <si>
    <t>亚洲2</t>
  </si>
  <si>
    <t>印度私营</t>
  </si>
  <si>
    <t>印度公建</t>
  </si>
  <si>
    <t>孟加拉</t>
  </si>
  <si>
    <t>越南-1（工厂）</t>
  </si>
  <si>
    <t>越南-2</t>
  </si>
  <si>
    <t>澳大利亚</t>
  </si>
  <si>
    <t>菲律宾-1</t>
  </si>
  <si>
    <t>菲律宾-2</t>
  </si>
  <si>
    <t>印尼-1</t>
  </si>
  <si>
    <t>印尼-2</t>
  </si>
  <si>
    <t>巴基斯坦</t>
  </si>
  <si>
    <t>中东</t>
  </si>
  <si>
    <t>沙特工厂</t>
  </si>
  <si>
    <t>沙特-1</t>
  </si>
  <si>
    <t>阿联酋-1</t>
  </si>
  <si>
    <t>阿联酋-2</t>
  </si>
  <si>
    <t>科威特</t>
  </si>
  <si>
    <t>卡塔尔</t>
  </si>
  <si>
    <t>巴勒斯坦</t>
  </si>
  <si>
    <t>伊拉克</t>
  </si>
  <si>
    <t>伊朗+阿曼</t>
  </si>
  <si>
    <t>中亚</t>
  </si>
  <si>
    <t>哈萨克斯坦-1</t>
  </si>
  <si>
    <t>塔吉克/哈萨克斯坦-2</t>
  </si>
  <si>
    <t>哈萨克斯坦-3</t>
  </si>
  <si>
    <t>蒙古</t>
  </si>
  <si>
    <t>阿塞拜疆</t>
  </si>
  <si>
    <t>乌兹别克斯坦</t>
  </si>
  <si>
    <t>吉尔吉斯斯坦</t>
  </si>
  <si>
    <t>格鲁吉亚</t>
  </si>
  <si>
    <t>美洲</t>
  </si>
  <si>
    <t>墨西哥-1</t>
  </si>
  <si>
    <t>墨西哥-2</t>
  </si>
  <si>
    <t>加勒比海</t>
  </si>
  <si>
    <t>哥伦比亚</t>
  </si>
  <si>
    <t>智利</t>
  </si>
  <si>
    <t>多米尼加</t>
  </si>
  <si>
    <t>秘鲁-1</t>
  </si>
  <si>
    <t>秘鲁-2</t>
  </si>
  <si>
    <t>巴西</t>
  </si>
  <si>
    <t>非洲</t>
  </si>
  <si>
    <t>埃及-1</t>
  </si>
  <si>
    <t>埃及-2</t>
  </si>
  <si>
    <t>肯尼亚/坦桑尼亚</t>
  </si>
  <si>
    <t>尼日利亚/埃塞俄比亚</t>
  </si>
  <si>
    <t>非洲法语区</t>
  </si>
  <si>
    <t>南非/安格拉</t>
  </si>
  <si>
    <t>欧洲</t>
  </si>
  <si>
    <t>德国西班牙</t>
  </si>
  <si>
    <t>东欧</t>
  </si>
  <si>
    <t>英国意大利</t>
  </si>
  <si>
    <t>商贸配件</t>
  </si>
  <si>
    <t>商贸1</t>
  </si>
  <si>
    <r>
      <rPr>
        <b/>
        <sz val="9"/>
        <color rgb="FF000000"/>
        <rFont val="宋体"/>
        <charset val="134"/>
      </rPr>
      <t xml:space="preserve">- </t>
    </r>
    <r>
      <rPr>
        <b/>
        <sz val="9"/>
        <color rgb="FF000000"/>
        <rFont val="宋体"/>
        <charset val="134"/>
      </rPr>
      <t xml:space="preserve">  </t>
    </r>
  </si>
  <si>
    <t>商贸2</t>
  </si>
  <si>
    <t>商贸3</t>
  </si>
  <si>
    <t>配件-1</t>
  </si>
  <si>
    <t>配件-2</t>
  </si>
  <si>
    <t>改造</t>
  </si>
  <si>
    <t>合计</t>
  </si>
  <si>
    <t>序号</t>
  </si>
  <si>
    <t>新有效14亿</t>
  </si>
  <si>
    <t>排产</t>
  </si>
  <si>
    <t>发货</t>
  </si>
  <si>
    <t>回款</t>
  </si>
  <si>
    <t>排产发货台数变化</t>
  </si>
  <si>
    <t>倍数</t>
  </si>
  <si>
    <t>单台金额</t>
  </si>
  <si>
    <t>签单台数</t>
  </si>
  <si>
    <t>签单额变化</t>
  </si>
  <si>
    <t>排产+1200</t>
  </si>
  <si>
    <t>泰国3</t>
  </si>
  <si>
    <t>原金三角</t>
  </si>
  <si>
    <t>排产-200</t>
  </si>
  <si>
    <t>乌克兰</t>
  </si>
  <si>
    <t>新模块，从印度私营分出来的</t>
  </si>
  <si>
    <t>排产-50</t>
  </si>
  <si>
    <t>排产-40</t>
  </si>
  <si>
    <t>排产-60</t>
  </si>
  <si>
    <t>排产-300</t>
  </si>
  <si>
    <t>排产-500</t>
  </si>
  <si>
    <t>排产-150</t>
  </si>
  <si>
    <t>阿曼</t>
  </si>
  <si>
    <t>伊朗</t>
  </si>
  <si>
    <t>排产-100</t>
  </si>
  <si>
    <t>乌兹别克斯坦-1</t>
  </si>
  <si>
    <t>排产+200</t>
  </si>
  <si>
    <t>乌兹别克斯坦（工厂）</t>
  </si>
  <si>
    <t>新合计</t>
  </si>
  <si>
    <t>巴西-1</t>
  </si>
  <si>
    <t>巴西-2</t>
  </si>
  <si>
    <t>新模块</t>
  </si>
  <si>
    <t>阿根廷</t>
  </si>
  <si>
    <t>美国</t>
  </si>
  <si>
    <t>排产-400</t>
  </si>
  <si>
    <t xml:space="preserve">-   </t>
  </si>
  <si>
    <t>商贸4</t>
  </si>
  <si>
    <t>配件3</t>
  </si>
  <si>
    <t>配件4</t>
  </si>
  <si>
    <t>验算就指标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</si>
</sst>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_ * #,##0_ ;_ * \-#,##0_ ;_ 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9"/>
      <color rgb="FF000000"/>
      <name val="微软雅黑"/>
      <charset val="134"/>
    </font>
    <font>
      <b/>
      <sz val="9"/>
      <color theme="1"/>
      <name val="微软雅黑"/>
      <charset val="134"/>
    </font>
    <font>
      <b/>
      <sz val="8"/>
      <color rgb="FF000000"/>
      <name val="微软雅黑"/>
      <charset val="134"/>
    </font>
    <font>
      <b/>
      <sz val="9"/>
      <color rgb="FF000000"/>
      <name val="宋体"/>
      <charset val="134"/>
    </font>
    <font>
      <b/>
      <sz val="9"/>
      <color theme="1"/>
      <name val="宋体"/>
      <charset val="134"/>
    </font>
    <font>
      <b/>
      <sz val="8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9" fillId="13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</cellStyleXfs>
  <cellXfs count="6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/>
    </xf>
    <xf numFmtId="3" fontId="2" fillId="6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3" fontId="2" fillId="7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vertical="center"/>
    </xf>
    <xf numFmtId="0" fontId="2" fillId="0" borderId="1" xfId="0" applyFont="1" applyFill="1" applyBorder="1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vertical="center"/>
    </xf>
    <xf numFmtId="3" fontId="1" fillId="4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3" fontId="2" fillId="0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7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center" vertical="center" wrapText="1"/>
    </xf>
    <xf numFmtId="3" fontId="5" fillId="7" borderId="5" xfId="0" applyNumberFormat="1" applyFont="1" applyFill="1" applyBorder="1" applyAlignment="1">
      <alignment horizontal="right" vertical="center"/>
    </xf>
    <xf numFmtId="0" fontId="5" fillId="7" borderId="5" xfId="0" applyFont="1" applyFill="1" applyBorder="1" applyAlignment="1">
      <alignment horizontal="right" vertical="center"/>
    </xf>
    <xf numFmtId="0" fontId="6" fillId="0" borderId="4" xfId="0" applyFont="1" applyBorder="1" applyAlignment="1">
      <alignment horizontal="center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7" fillId="0" borderId="5" xfId="0" applyFont="1" applyBorder="1" applyAlignment="1">
      <alignment horizontal="left" vertical="center" wrapText="1"/>
    </xf>
    <xf numFmtId="0" fontId="5" fillId="8" borderId="5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3" fontId="5" fillId="9" borderId="5" xfId="0" applyNumberFormat="1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"/>
  <sheetViews>
    <sheetView workbookViewId="0">
      <selection activeCell="A1" sqref="$A1:$XFD1048576"/>
    </sheetView>
  </sheetViews>
  <sheetFormatPr defaultColWidth="9" defaultRowHeight="13.5"/>
  <sheetData>
    <row r="1" ht="23.25" spans="1:11">
      <c r="A1" s="48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</row>
    <row r="2" ht="23.25" spans="1:11">
      <c r="A2" s="50" t="s">
        <v>11</v>
      </c>
      <c r="B2" s="51" t="s">
        <v>12</v>
      </c>
      <c r="C2" s="52" t="s">
        <v>13</v>
      </c>
      <c r="D2" s="53">
        <v>1683</v>
      </c>
      <c r="E2" s="53">
        <v>35680</v>
      </c>
      <c r="F2" s="53">
        <v>26225</v>
      </c>
      <c r="G2" s="54">
        <v>750</v>
      </c>
      <c r="H2" s="53">
        <v>14500</v>
      </c>
      <c r="I2" s="54">
        <v>750</v>
      </c>
      <c r="J2" s="53">
        <v>14500</v>
      </c>
      <c r="K2" s="53">
        <v>13775</v>
      </c>
    </row>
    <row r="3" ht="23.25" spans="1:11">
      <c r="A3" s="50" t="s">
        <v>11</v>
      </c>
      <c r="B3" s="51" t="s">
        <v>14</v>
      </c>
      <c r="C3" s="52" t="s">
        <v>13</v>
      </c>
      <c r="D3" s="53">
        <v>1683</v>
      </c>
      <c r="E3" s="53">
        <v>35680</v>
      </c>
      <c r="F3" s="53">
        <v>26225</v>
      </c>
      <c r="G3" s="54">
        <v>750</v>
      </c>
      <c r="H3" s="53">
        <v>14500</v>
      </c>
      <c r="I3" s="54">
        <v>750</v>
      </c>
      <c r="J3" s="53">
        <v>14500</v>
      </c>
      <c r="K3" s="53">
        <v>13775</v>
      </c>
    </row>
    <row r="4" ht="23.25" spans="1:11">
      <c r="A4" s="50" t="s">
        <v>11</v>
      </c>
      <c r="B4" s="51" t="s">
        <v>15</v>
      </c>
      <c r="C4" s="52" t="s">
        <v>13</v>
      </c>
      <c r="D4" s="54">
        <v>400</v>
      </c>
      <c r="E4" s="53">
        <v>6544</v>
      </c>
      <c r="F4" s="53">
        <v>4810</v>
      </c>
      <c r="G4" s="54">
        <v>160</v>
      </c>
      <c r="H4" s="53">
        <v>2657</v>
      </c>
      <c r="I4" s="54">
        <v>160</v>
      </c>
      <c r="J4" s="53">
        <v>2657</v>
      </c>
      <c r="K4" s="53">
        <v>2524</v>
      </c>
    </row>
    <row r="5" ht="14.25" spans="1:11">
      <c r="A5" s="50" t="s">
        <v>11</v>
      </c>
      <c r="B5" s="51" t="s">
        <v>16</v>
      </c>
      <c r="C5" s="52" t="s">
        <v>17</v>
      </c>
      <c r="D5" s="54">
        <v>270</v>
      </c>
      <c r="E5" s="53">
        <v>4428</v>
      </c>
      <c r="F5" s="53">
        <v>3255</v>
      </c>
      <c r="G5" s="54">
        <v>120</v>
      </c>
      <c r="H5" s="53">
        <v>1800</v>
      </c>
      <c r="I5" s="54">
        <v>120</v>
      </c>
      <c r="J5" s="53">
        <v>1800</v>
      </c>
      <c r="K5" s="53">
        <v>1710</v>
      </c>
    </row>
    <row r="6" ht="14.25" spans="1:11">
      <c r="A6" s="50" t="s">
        <v>11</v>
      </c>
      <c r="B6" s="51" t="s">
        <v>18</v>
      </c>
      <c r="C6" s="52" t="s">
        <v>17</v>
      </c>
      <c r="D6" s="54">
        <v>270</v>
      </c>
      <c r="E6" s="53">
        <v>4428</v>
      </c>
      <c r="F6" s="53">
        <v>3255</v>
      </c>
      <c r="G6" s="54">
        <v>120</v>
      </c>
      <c r="H6" s="53">
        <v>1800</v>
      </c>
      <c r="I6" s="54">
        <v>120</v>
      </c>
      <c r="J6" s="53">
        <v>1800</v>
      </c>
      <c r="K6" s="53">
        <v>1710</v>
      </c>
    </row>
    <row r="7" ht="23.25" spans="1:11">
      <c r="A7" s="50" t="s">
        <v>11</v>
      </c>
      <c r="B7" s="51" t="s">
        <v>19</v>
      </c>
      <c r="C7" s="52" t="s">
        <v>17</v>
      </c>
      <c r="D7" s="54">
        <v>245</v>
      </c>
      <c r="E7" s="53">
        <v>4200</v>
      </c>
      <c r="F7" s="53">
        <v>3087</v>
      </c>
      <c r="G7" s="54">
        <v>100</v>
      </c>
      <c r="H7" s="53">
        <v>1778</v>
      </c>
      <c r="I7" s="54">
        <v>100</v>
      </c>
      <c r="J7" s="53">
        <v>1778</v>
      </c>
      <c r="K7" s="53">
        <v>1689</v>
      </c>
    </row>
    <row r="8" ht="23.25" spans="1:11">
      <c r="A8" s="50" t="s">
        <v>11</v>
      </c>
      <c r="B8" s="51" t="s">
        <v>20</v>
      </c>
      <c r="C8" s="52" t="s">
        <v>17</v>
      </c>
      <c r="D8" s="54">
        <v>489</v>
      </c>
      <c r="E8" s="53">
        <v>7525</v>
      </c>
      <c r="F8" s="53">
        <v>5531</v>
      </c>
      <c r="G8" s="54">
        <v>210</v>
      </c>
      <c r="H8" s="53">
        <v>2972</v>
      </c>
      <c r="I8" s="54">
        <v>210</v>
      </c>
      <c r="J8" s="53">
        <v>2972</v>
      </c>
      <c r="K8" s="53">
        <v>2823</v>
      </c>
    </row>
    <row r="9" ht="14.25" spans="1:11">
      <c r="A9" s="50" t="s">
        <v>11</v>
      </c>
      <c r="B9" s="51" t="s">
        <v>21</v>
      </c>
      <c r="C9" s="52" t="s">
        <v>22</v>
      </c>
      <c r="D9" s="54">
        <v>72</v>
      </c>
      <c r="E9" s="53">
        <v>1085</v>
      </c>
      <c r="F9" s="54">
        <v>797</v>
      </c>
      <c r="G9" s="54">
        <v>30</v>
      </c>
      <c r="H9" s="54">
        <v>450</v>
      </c>
      <c r="I9" s="54">
        <v>30</v>
      </c>
      <c r="J9" s="54">
        <v>450</v>
      </c>
      <c r="K9" s="54">
        <v>428</v>
      </c>
    </row>
    <row r="10" ht="14.25" spans="1:11">
      <c r="A10" s="50" t="s">
        <v>11</v>
      </c>
      <c r="B10" s="51" t="s">
        <v>23</v>
      </c>
      <c r="C10" s="52" t="s">
        <v>22</v>
      </c>
      <c r="D10" s="54">
        <v>72</v>
      </c>
      <c r="E10" s="53">
        <v>1085</v>
      </c>
      <c r="F10" s="54">
        <v>797</v>
      </c>
      <c r="G10" s="54">
        <v>30</v>
      </c>
      <c r="H10" s="54">
        <v>450</v>
      </c>
      <c r="I10" s="54">
        <v>30</v>
      </c>
      <c r="J10" s="54">
        <v>450</v>
      </c>
      <c r="K10" s="54">
        <v>428</v>
      </c>
    </row>
    <row r="11" ht="14.25" spans="1:11">
      <c r="A11" s="50" t="s">
        <v>11</v>
      </c>
      <c r="B11" s="51" t="s">
        <v>24</v>
      </c>
      <c r="C11" s="52" t="s">
        <v>22</v>
      </c>
      <c r="D11" s="54">
        <v>72</v>
      </c>
      <c r="E11" s="53">
        <v>1085</v>
      </c>
      <c r="F11" s="54">
        <v>797</v>
      </c>
      <c r="G11" s="54">
        <v>30</v>
      </c>
      <c r="H11" s="54">
        <v>450</v>
      </c>
      <c r="I11" s="54">
        <v>30</v>
      </c>
      <c r="J11" s="54">
        <v>450</v>
      </c>
      <c r="K11" s="54">
        <v>428</v>
      </c>
    </row>
    <row r="12" ht="14.25" spans="1:11">
      <c r="A12" s="55"/>
      <c r="B12" s="56"/>
      <c r="C12" s="57"/>
      <c r="D12" s="58">
        <v>5256</v>
      </c>
      <c r="E12" s="58">
        <v>101740</v>
      </c>
      <c r="F12" s="58">
        <v>74779</v>
      </c>
      <c r="G12" s="58">
        <v>2300</v>
      </c>
      <c r="H12" s="58">
        <v>41357</v>
      </c>
      <c r="I12" s="58">
        <v>2300</v>
      </c>
      <c r="J12" s="58">
        <v>41357</v>
      </c>
      <c r="K12" s="58">
        <v>39289</v>
      </c>
    </row>
    <row r="13" ht="23.25" spans="1:11">
      <c r="A13" s="50" t="s">
        <v>25</v>
      </c>
      <c r="B13" s="51" t="s">
        <v>26</v>
      </c>
      <c r="C13" s="52" t="s">
        <v>13</v>
      </c>
      <c r="D13" s="54">
        <v>277</v>
      </c>
      <c r="E13" s="53">
        <v>6100</v>
      </c>
      <c r="F13" s="53">
        <v>4484</v>
      </c>
      <c r="G13" s="54">
        <v>101</v>
      </c>
      <c r="H13" s="53">
        <v>2153</v>
      </c>
      <c r="I13" s="54">
        <v>101</v>
      </c>
      <c r="J13" s="53">
        <v>2153</v>
      </c>
      <c r="K13" s="53">
        <v>2045</v>
      </c>
    </row>
    <row r="14" ht="14.25" spans="1:11">
      <c r="A14" s="50" t="s">
        <v>25</v>
      </c>
      <c r="B14" s="51" t="s">
        <v>27</v>
      </c>
      <c r="C14" s="52" t="s">
        <v>13</v>
      </c>
      <c r="D14" s="54">
        <v>566</v>
      </c>
      <c r="E14" s="53">
        <v>20400</v>
      </c>
      <c r="F14" s="53">
        <v>14994</v>
      </c>
      <c r="G14" s="54">
        <v>260</v>
      </c>
      <c r="H14" s="53">
        <v>8500</v>
      </c>
      <c r="I14" s="54">
        <v>260</v>
      </c>
      <c r="J14" s="53">
        <v>8500</v>
      </c>
      <c r="K14" s="53">
        <v>8075</v>
      </c>
    </row>
    <row r="15" ht="14.25" spans="1:11">
      <c r="A15" s="50" t="s">
        <v>25</v>
      </c>
      <c r="B15" s="51" t="s">
        <v>28</v>
      </c>
      <c r="C15" s="52" t="s">
        <v>17</v>
      </c>
      <c r="D15" s="54">
        <v>109</v>
      </c>
      <c r="E15" s="54">
        <v>900</v>
      </c>
      <c r="F15" s="54">
        <v>662</v>
      </c>
      <c r="G15" s="54">
        <v>61</v>
      </c>
      <c r="H15" s="54">
        <v>521</v>
      </c>
      <c r="I15" s="54">
        <v>61</v>
      </c>
      <c r="J15" s="54">
        <v>521</v>
      </c>
      <c r="K15" s="54">
        <v>495</v>
      </c>
    </row>
    <row r="16" ht="14.25" spans="1:11">
      <c r="A16" s="50" t="s">
        <v>25</v>
      </c>
      <c r="B16" s="51" t="s">
        <v>29</v>
      </c>
      <c r="C16" s="52" t="s">
        <v>30</v>
      </c>
      <c r="D16" s="54">
        <v>54</v>
      </c>
      <c r="E16" s="54">
        <v>540</v>
      </c>
      <c r="F16" s="54">
        <v>397</v>
      </c>
      <c r="G16" s="54">
        <v>32</v>
      </c>
      <c r="H16" s="54">
        <v>264</v>
      </c>
      <c r="I16" s="54">
        <v>32</v>
      </c>
      <c r="J16" s="54">
        <v>264</v>
      </c>
      <c r="K16" s="54">
        <v>251</v>
      </c>
    </row>
    <row r="17" ht="14.25" spans="1:11">
      <c r="A17" s="50" t="s">
        <v>25</v>
      </c>
      <c r="B17" s="51" t="s">
        <v>31</v>
      </c>
      <c r="C17" s="52" t="s">
        <v>30</v>
      </c>
      <c r="D17" s="54">
        <v>90</v>
      </c>
      <c r="E17" s="54">
        <v>840</v>
      </c>
      <c r="F17" s="54">
        <v>617</v>
      </c>
      <c r="G17" s="54">
        <v>25</v>
      </c>
      <c r="H17" s="54">
        <v>200</v>
      </c>
      <c r="I17" s="54">
        <v>25</v>
      </c>
      <c r="J17" s="54">
        <v>200</v>
      </c>
      <c r="K17" s="54">
        <v>190</v>
      </c>
    </row>
    <row r="18" ht="14.25" spans="1:11">
      <c r="A18" s="50" t="s">
        <v>25</v>
      </c>
      <c r="B18" s="51" t="s">
        <v>32</v>
      </c>
      <c r="C18" s="52" t="s">
        <v>30</v>
      </c>
      <c r="D18" s="54">
        <v>136</v>
      </c>
      <c r="E18" s="53">
        <v>1200</v>
      </c>
      <c r="F18" s="54">
        <v>882</v>
      </c>
      <c r="G18" s="54">
        <v>36</v>
      </c>
      <c r="H18" s="54">
        <v>300</v>
      </c>
      <c r="I18" s="54">
        <v>36</v>
      </c>
      <c r="J18" s="54">
        <v>300</v>
      </c>
      <c r="K18" s="54">
        <v>285</v>
      </c>
    </row>
    <row r="19" ht="14.25" spans="1:11">
      <c r="A19" s="50" t="s">
        <v>25</v>
      </c>
      <c r="B19" s="51" t="s">
        <v>33</v>
      </c>
      <c r="C19" s="52" t="s">
        <v>30</v>
      </c>
      <c r="D19" s="54">
        <v>40</v>
      </c>
      <c r="E19" s="54">
        <v>200</v>
      </c>
      <c r="F19" s="54">
        <v>147</v>
      </c>
      <c r="G19" s="54">
        <v>36</v>
      </c>
      <c r="H19" s="54">
        <v>200</v>
      </c>
      <c r="I19" s="54">
        <v>36</v>
      </c>
      <c r="J19" s="54">
        <v>200</v>
      </c>
      <c r="K19" s="54">
        <v>190</v>
      </c>
    </row>
    <row r="20" ht="14.25" spans="1:11">
      <c r="A20" s="50" t="s">
        <v>25</v>
      </c>
      <c r="B20" s="51" t="s">
        <v>34</v>
      </c>
      <c r="C20" s="52" t="s">
        <v>30</v>
      </c>
      <c r="D20" s="54">
        <v>36</v>
      </c>
      <c r="E20" s="54">
        <v>630</v>
      </c>
      <c r="F20" s="54">
        <v>463</v>
      </c>
      <c r="G20" s="54">
        <v>17</v>
      </c>
      <c r="H20" s="54">
        <v>264</v>
      </c>
      <c r="I20" s="54">
        <v>17</v>
      </c>
      <c r="J20" s="54">
        <v>264</v>
      </c>
      <c r="K20" s="54">
        <v>251</v>
      </c>
    </row>
    <row r="21" ht="14.25" spans="1:11">
      <c r="A21" s="50" t="s">
        <v>25</v>
      </c>
      <c r="B21" s="51" t="s">
        <v>35</v>
      </c>
      <c r="C21" s="52" t="s">
        <v>30</v>
      </c>
      <c r="D21" s="54">
        <v>20</v>
      </c>
      <c r="E21" s="54">
        <v>200</v>
      </c>
      <c r="F21" s="54">
        <v>147</v>
      </c>
      <c r="G21" s="54">
        <v>15</v>
      </c>
      <c r="H21" s="54">
        <v>200</v>
      </c>
      <c r="I21" s="54">
        <v>15</v>
      </c>
      <c r="J21" s="54">
        <v>200</v>
      </c>
      <c r="K21" s="54">
        <v>190</v>
      </c>
    </row>
    <row r="22" ht="14.25" spans="1:11">
      <c r="A22" s="55"/>
      <c r="B22" s="56"/>
      <c r="C22" s="57"/>
      <c r="D22" s="58">
        <v>1328</v>
      </c>
      <c r="E22" s="58">
        <v>31010</v>
      </c>
      <c r="F22" s="58">
        <v>22792</v>
      </c>
      <c r="G22" s="59">
        <v>583</v>
      </c>
      <c r="H22" s="58">
        <v>12602</v>
      </c>
      <c r="I22" s="59">
        <v>583</v>
      </c>
      <c r="J22" s="58">
        <v>12602</v>
      </c>
      <c r="K22" s="58">
        <v>11972</v>
      </c>
    </row>
    <row r="23" ht="14.25" spans="1:11">
      <c r="A23" s="60" t="s">
        <v>36</v>
      </c>
      <c r="B23" s="51" t="s">
        <v>37</v>
      </c>
      <c r="C23" s="52" t="s">
        <v>13</v>
      </c>
      <c r="D23" s="54">
        <v>246</v>
      </c>
      <c r="E23" s="53">
        <v>2934</v>
      </c>
      <c r="F23" s="53">
        <v>2156</v>
      </c>
      <c r="G23" s="54">
        <v>82</v>
      </c>
      <c r="H23" s="53">
        <v>1660</v>
      </c>
      <c r="I23" s="54">
        <v>82</v>
      </c>
      <c r="J23" s="53">
        <v>1660</v>
      </c>
      <c r="K23" s="53">
        <v>1577</v>
      </c>
    </row>
    <row r="24" ht="14.25" spans="1:11">
      <c r="A24" s="60" t="s">
        <v>36</v>
      </c>
      <c r="B24" s="51" t="s">
        <v>38</v>
      </c>
      <c r="C24" s="52" t="s">
        <v>17</v>
      </c>
      <c r="D24" s="54">
        <v>66</v>
      </c>
      <c r="E24" s="54">
        <v>930</v>
      </c>
      <c r="F24" s="54">
        <v>684</v>
      </c>
      <c r="G24" s="54">
        <v>28</v>
      </c>
      <c r="H24" s="54">
        <v>436</v>
      </c>
      <c r="I24" s="54">
        <v>28</v>
      </c>
      <c r="J24" s="54">
        <v>436</v>
      </c>
      <c r="K24" s="54">
        <v>414</v>
      </c>
    </row>
    <row r="25" ht="14.25" spans="1:11">
      <c r="A25" s="60" t="s">
        <v>36</v>
      </c>
      <c r="B25" s="51" t="s">
        <v>39</v>
      </c>
      <c r="C25" s="52" t="s">
        <v>17</v>
      </c>
      <c r="D25" s="54">
        <v>238</v>
      </c>
      <c r="E25" s="53">
        <v>1769</v>
      </c>
      <c r="F25" s="53">
        <v>1300</v>
      </c>
      <c r="G25" s="54">
        <v>73</v>
      </c>
      <c r="H25" s="54">
        <v>722</v>
      </c>
      <c r="I25" s="54">
        <v>73</v>
      </c>
      <c r="J25" s="54">
        <v>722</v>
      </c>
      <c r="K25" s="54">
        <v>686</v>
      </c>
    </row>
    <row r="26" ht="23.25" spans="1:11">
      <c r="A26" s="60" t="s">
        <v>36</v>
      </c>
      <c r="B26" s="51" t="s">
        <v>40</v>
      </c>
      <c r="C26" s="52" t="s">
        <v>17</v>
      </c>
      <c r="D26" s="54">
        <v>148</v>
      </c>
      <c r="E26" s="53">
        <v>1470</v>
      </c>
      <c r="F26" s="53">
        <v>1080</v>
      </c>
      <c r="G26" s="54">
        <v>55</v>
      </c>
      <c r="H26" s="54">
        <v>600</v>
      </c>
      <c r="I26" s="54">
        <v>55</v>
      </c>
      <c r="J26" s="54">
        <v>600</v>
      </c>
      <c r="K26" s="54">
        <v>570</v>
      </c>
    </row>
    <row r="27" ht="14.25" spans="1:11">
      <c r="A27" s="60" t="s">
        <v>36</v>
      </c>
      <c r="B27" s="51" t="s">
        <v>41</v>
      </c>
      <c r="C27" s="52" t="s">
        <v>22</v>
      </c>
      <c r="D27" s="54">
        <v>235</v>
      </c>
      <c r="E27" s="53">
        <v>1673</v>
      </c>
      <c r="F27" s="53">
        <v>1230</v>
      </c>
      <c r="G27" s="54">
        <v>63</v>
      </c>
      <c r="H27" s="54">
        <v>683</v>
      </c>
      <c r="I27" s="54">
        <v>63</v>
      </c>
      <c r="J27" s="54">
        <v>683</v>
      </c>
      <c r="K27" s="54">
        <v>649</v>
      </c>
    </row>
    <row r="28" ht="14.25" spans="1:11">
      <c r="A28" s="50" t="s">
        <v>36</v>
      </c>
      <c r="B28" s="51" t="s">
        <v>42</v>
      </c>
      <c r="C28" s="52" t="s">
        <v>22</v>
      </c>
      <c r="D28" s="54">
        <v>136</v>
      </c>
      <c r="E28" s="54">
        <v>964</v>
      </c>
      <c r="F28" s="54">
        <v>709</v>
      </c>
      <c r="G28" s="54">
        <v>32</v>
      </c>
      <c r="H28" s="54">
        <v>380</v>
      </c>
      <c r="I28" s="54">
        <v>32</v>
      </c>
      <c r="J28" s="54">
        <v>380</v>
      </c>
      <c r="K28" s="54">
        <v>361</v>
      </c>
    </row>
    <row r="29" ht="14.25" spans="1:11">
      <c r="A29" s="50" t="s">
        <v>36</v>
      </c>
      <c r="B29" s="51" t="s">
        <v>43</v>
      </c>
      <c r="C29" s="52" t="s">
        <v>22</v>
      </c>
      <c r="D29" s="54">
        <v>69</v>
      </c>
      <c r="E29" s="54">
        <v>710</v>
      </c>
      <c r="F29" s="54">
        <v>522</v>
      </c>
      <c r="G29" s="54">
        <v>27</v>
      </c>
      <c r="H29" s="54">
        <v>350</v>
      </c>
      <c r="I29" s="54">
        <v>27</v>
      </c>
      <c r="J29" s="54">
        <v>350</v>
      </c>
      <c r="K29" s="54">
        <v>333</v>
      </c>
    </row>
    <row r="30" ht="14.25" spans="1:11">
      <c r="A30" s="50" t="s">
        <v>36</v>
      </c>
      <c r="B30" s="51" t="s">
        <v>44</v>
      </c>
      <c r="C30" s="52" t="s">
        <v>22</v>
      </c>
      <c r="D30" s="54">
        <v>85</v>
      </c>
      <c r="E30" s="54">
        <v>650</v>
      </c>
      <c r="F30" s="54">
        <v>478</v>
      </c>
      <c r="G30" s="54">
        <v>27</v>
      </c>
      <c r="H30" s="54">
        <v>350</v>
      </c>
      <c r="I30" s="54">
        <v>27</v>
      </c>
      <c r="J30" s="54">
        <v>350</v>
      </c>
      <c r="K30" s="54">
        <v>333</v>
      </c>
    </row>
    <row r="31" ht="14.25" spans="1:11">
      <c r="A31" s="50" t="s">
        <v>36</v>
      </c>
      <c r="B31" s="51" t="s">
        <v>45</v>
      </c>
      <c r="C31" s="52" t="s">
        <v>22</v>
      </c>
      <c r="D31" s="54">
        <v>263</v>
      </c>
      <c r="E31" s="53">
        <v>1640</v>
      </c>
      <c r="F31" s="53">
        <v>1205</v>
      </c>
      <c r="G31" s="54">
        <v>42</v>
      </c>
      <c r="H31" s="54">
        <v>400</v>
      </c>
      <c r="I31" s="54">
        <v>42</v>
      </c>
      <c r="J31" s="54">
        <v>400</v>
      </c>
      <c r="K31" s="54">
        <v>380</v>
      </c>
    </row>
    <row r="32" ht="14.25" spans="1:11">
      <c r="A32" s="50" t="s">
        <v>36</v>
      </c>
      <c r="B32" s="51" t="s">
        <v>46</v>
      </c>
      <c r="C32" s="52" t="s">
        <v>22</v>
      </c>
      <c r="D32" s="54">
        <v>250</v>
      </c>
      <c r="E32" s="53">
        <v>1700</v>
      </c>
      <c r="F32" s="53">
        <v>1250</v>
      </c>
      <c r="G32" s="54">
        <v>42</v>
      </c>
      <c r="H32" s="54">
        <v>400</v>
      </c>
      <c r="I32" s="54">
        <v>42</v>
      </c>
      <c r="J32" s="54">
        <v>400</v>
      </c>
      <c r="K32" s="54">
        <v>380</v>
      </c>
    </row>
    <row r="33" ht="14.25" spans="1:11">
      <c r="A33" s="50" t="s">
        <v>36</v>
      </c>
      <c r="B33" s="51" t="s">
        <v>47</v>
      </c>
      <c r="C33" s="52" t="s">
        <v>30</v>
      </c>
      <c r="D33" s="54">
        <v>87</v>
      </c>
      <c r="E33" s="54">
        <v>688</v>
      </c>
      <c r="F33" s="54">
        <v>506</v>
      </c>
      <c r="G33" s="54">
        <v>32</v>
      </c>
      <c r="H33" s="54">
        <v>265</v>
      </c>
      <c r="I33" s="54">
        <v>32</v>
      </c>
      <c r="J33" s="54">
        <v>265</v>
      </c>
      <c r="K33" s="54">
        <v>252</v>
      </c>
    </row>
    <row r="34" ht="14.25" spans="1:11">
      <c r="A34" s="61"/>
      <c r="B34" s="62"/>
      <c r="C34" s="62"/>
      <c r="D34" s="58">
        <v>1823</v>
      </c>
      <c r="E34" s="58">
        <v>15128</v>
      </c>
      <c r="F34" s="58">
        <v>11119</v>
      </c>
      <c r="G34" s="59">
        <v>503</v>
      </c>
      <c r="H34" s="58">
        <v>6246</v>
      </c>
      <c r="I34" s="59">
        <v>503</v>
      </c>
      <c r="J34" s="58">
        <v>6246</v>
      </c>
      <c r="K34" s="58">
        <v>5934</v>
      </c>
    </row>
    <row r="35" ht="14.25" spans="1:11">
      <c r="A35" s="50" t="s">
        <v>48</v>
      </c>
      <c r="B35" s="51" t="s">
        <v>49</v>
      </c>
      <c r="C35" s="52" t="s">
        <v>13</v>
      </c>
      <c r="D35" s="54">
        <v>733</v>
      </c>
      <c r="E35" s="53">
        <v>6860</v>
      </c>
      <c r="F35" s="53">
        <v>5000</v>
      </c>
      <c r="G35" s="54">
        <v>200</v>
      </c>
      <c r="H35" s="53">
        <v>2360</v>
      </c>
      <c r="I35" s="54">
        <v>200</v>
      </c>
      <c r="J35" s="53">
        <v>2360</v>
      </c>
      <c r="K35" s="53">
        <v>2242</v>
      </c>
    </row>
    <row r="36" ht="14.25" spans="1:11">
      <c r="A36" s="50" t="s">
        <v>48</v>
      </c>
      <c r="B36" s="51" t="s">
        <v>50</v>
      </c>
      <c r="C36" s="52" t="s">
        <v>13</v>
      </c>
      <c r="D36" s="54">
        <v>299</v>
      </c>
      <c r="E36" s="53">
        <v>3710</v>
      </c>
      <c r="F36" s="53">
        <v>2727</v>
      </c>
      <c r="G36" s="54">
        <v>150</v>
      </c>
      <c r="H36" s="53">
        <v>1500</v>
      </c>
      <c r="I36" s="54">
        <v>150</v>
      </c>
      <c r="J36" s="53">
        <v>1500</v>
      </c>
      <c r="K36" s="53">
        <v>1425</v>
      </c>
    </row>
    <row r="37" ht="14.25" spans="1:11">
      <c r="A37" s="50" t="s">
        <v>48</v>
      </c>
      <c r="B37" s="51" t="s">
        <v>51</v>
      </c>
      <c r="C37" s="52" t="s">
        <v>13</v>
      </c>
      <c r="D37" s="54">
        <v>416</v>
      </c>
      <c r="E37" s="53">
        <v>3710</v>
      </c>
      <c r="F37" s="53">
        <v>2727</v>
      </c>
      <c r="G37" s="54">
        <v>150</v>
      </c>
      <c r="H37" s="53">
        <v>1500</v>
      </c>
      <c r="I37" s="54">
        <v>150</v>
      </c>
      <c r="J37" s="53">
        <v>1500</v>
      </c>
      <c r="K37" s="53">
        <v>1425</v>
      </c>
    </row>
    <row r="38" ht="14.25" spans="1:11">
      <c r="A38" s="50" t="s">
        <v>48</v>
      </c>
      <c r="B38" s="51" t="s">
        <v>52</v>
      </c>
      <c r="C38" s="52" t="s">
        <v>17</v>
      </c>
      <c r="D38" s="54">
        <v>122</v>
      </c>
      <c r="E38" s="53">
        <v>3360</v>
      </c>
      <c r="F38" s="53">
        <v>2470</v>
      </c>
      <c r="G38" s="54">
        <v>62</v>
      </c>
      <c r="H38" s="53">
        <v>1400</v>
      </c>
      <c r="I38" s="54">
        <v>62</v>
      </c>
      <c r="J38" s="53">
        <v>1400</v>
      </c>
      <c r="K38" s="53">
        <v>1330</v>
      </c>
    </row>
    <row r="39" ht="14.25" spans="1:11">
      <c r="A39" s="50" t="s">
        <v>48</v>
      </c>
      <c r="B39" s="51" t="s">
        <v>53</v>
      </c>
      <c r="C39" s="52" t="s">
        <v>22</v>
      </c>
      <c r="D39" s="54">
        <v>136</v>
      </c>
      <c r="E39" s="53">
        <v>1820</v>
      </c>
      <c r="F39" s="53">
        <v>1338</v>
      </c>
      <c r="G39" s="54">
        <v>64</v>
      </c>
      <c r="H39" s="54">
        <v>732</v>
      </c>
      <c r="I39" s="54">
        <v>64</v>
      </c>
      <c r="J39" s="54">
        <v>732</v>
      </c>
      <c r="K39" s="54">
        <v>695</v>
      </c>
    </row>
    <row r="40" ht="14.25" spans="1:11">
      <c r="A40" s="50" t="s">
        <v>48</v>
      </c>
      <c r="B40" s="51" t="s">
        <v>54</v>
      </c>
      <c r="C40" s="52" t="s">
        <v>22</v>
      </c>
      <c r="D40" s="54">
        <v>50</v>
      </c>
      <c r="E40" s="54">
        <v>700</v>
      </c>
      <c r="F40" s="54">
        <v>515</v>
      </c>
      <c r="G40" s="54">
        <v>42</v>
      </c>
      <c r="H40" s="54">
        <v>500</v>
      </c>
      <c r="I40" s="54">
        <v>42</v>
      </c>
      <c r="J40" s="54">
        <v>500</v>
      </c>
      <c r="K40" s="54">
        <v>475</v>
      </c>
    </row>
    <row r="41" ht="14.25" spans="1:11">
      <c r="A41" s="50" t="s">
        <v>48</v>
      </c>
      <c r="B41" s="51" t="s">
        <v>55</v>
      </c>
      <c r="C41" s="52" t="s">
        <v>22</v>
      </c>
      <c r="D41" s="54">
        <v>181</v>
      </c>
      <c r="E41" s="53">
        <v>1680</v>
      </c>
      <c r="F41" s="53">
        <v>1235</v>
      </c>
      <c r="G41" s="54">
        <v>80</v>
      </c>
      <c r="H41" s="54">
        <v>700</v>
      </c>
      <c r="I41" s="54">
        <v>80</v>
      </c>
      <c r="J41" s="54">
        <v>700</v>
      </c>
      <c r="K41" s="54">
        <v>665</v>
      </c>
    </row>
    <row r="42" ht="14.25" spans="1:11">
      <c r="A42" s="50" t="s">
        <v>48</v>
      </c>
      <c r="B42" s="51" t="s">
        <v>56</v>
      </c>
      <c r="C42" s="52" t="s">
        <v>30</v>
      </c>
      <c r="D42" s="54">
        <v>81</v>
      </c>
      <c r="E42" s="54">
        <v>700</v>
      </c>
      <c r="F42" s="54">
        <v>515</v>
      </c>
      <c r="G42" s="54">
        <v>42</v>
      </c>
      <c r="H42" s="54">
        <v>300</v>
      </c>
      <c r="I42" s="54">
        <v>42</v>
      </c>
      <c r="J42" s="54">
        <v>300</v>
      </c>
      <c r="K42" s="54">
        <v>285</v>
      </c>
    </row>
    <row r="43" ht="14.25" spans="1:11">
      <c r="A43" s="50" t="s">
        <v>48</v>
      </c>
      <c r="B43" s="51" t="s">
        <v>57</v>
      </c>
      <c r="C43" s="52" t="s">
        <v>30</v>
      </c>
      <c r="D43" s="54">
        <v>45</v>
      </c>
      <c r="E43" s="54">
        <v>700</v>
      </c>
      <c r="F43" s="54">
        <v>515</v>
      </c>
      <c r="G43" s="54">
        <v>25</v>
      </c>
      <c r="H43" s="54">
        <v>300</v>
      </c>
      <c r="I43" s="54">
        <v>25</v>
      </c>
      <c r="J43" s="54">
        <v>300</v>
      </c>
      <c r="K43" s="54">
        <v>285</v>
      </c>
    </row>
    <row r="44" ht="14.25" spans="1:11">
      <c r="A44" s="55"/>
      <c r="B44" s="57"/>
      <c r="C44" s="57"/>
      <c r="D44" s="58">
        <v>2063</v>
      </c>
      <c r="E44" s="58">
        <v>23240</v>
      </c>
      <c r="F44" s="58">
        <v>17039</v>
      </c>
      <c r="G44" s="59">
        <v>815</v>
      </c>
      <c r="H44" s="58">
        <v>9292</v>
      </c>
      <c r="I44" s="59">
        <v>815</v>
      </c>
      <c r="J44" s="58">
        <v>9292</v>
      </c>
      <c r="K44" s="58">
        <v>8827</v>
      </c>
    </row>
    <row r="45" ht="23.25" spans="1:11">
      <c r="A45" s="50" t="s">
        <v>58</v>
      </c>
      <c r="B45" s="51" t="s">
        <v>59</v>
      </c>
      <c r="C45" s="52" t="s">
        <v>13</v>
      </c>
      <c r="D45" s="54">
        <v>581</v>
      </c>
      <c r="E45" s="53">
        <v>5576</v>
      </c>
      <c r="F45" s="53">
        <v>4098</v>
      </c>
      <c r="G45" s="54">
        <v>239</v>
      </c>
      <c r="H45" s="53">
        <v>2304</v>
      </c>
      <c r="I45" s="54">
        <v>239</v>
      </c>
      <c r="J45" s="53">
        <v>2304</v>
      </c>
      <c r="K45" s="53">
        <v>2189</v>
      </c>
    </row>
    <row r="46" ht="21.75" spans="1:11">
      <c r="A46" s="50" t="s">
        <v>58</v>
      </c>
      <c r="B46" s="63" t="s">
        <v>60</v>
      </c>
      <c r="C46" s="52" t="s">
        <v>17</v>
      </c>
      <c r="D46" s="54">
        <v>207</v>
      </c>
      <c r="E46" s="53">
        <v>2083</v>
      </c>
      <c r="F46" s="53">
        <v>1531</v>
      </c>
      <c r="G46" s="54">
        <v>85</v>
      </c>
      <c r="H46" s="54">
        <v>850</v>
      </c>
      <c r="I46" s="54">
        <v>85</v>
      </c>
      <c r="J46" s="54">
        <v>850</v>
      </c>
      <c r="K46" s="54">
        <v>808</v>
      </c>
    </row>
    <row r="47" ht="23.25" spans="1:11">
      <c r="A47" s="50" t="s">
        <v>58</v>
      </c>
      <c r="B47" s="51" t="s">
        <v>61</v>
      </c>
      <c r="C47" s="52" t="s">
        <v>22</v>
      </c>
      <c r="D47" s="54">
        <v>145</v>
      </c>
      <c r="E47" s="53">
        <v>1500</v>
      </c>
      <c r="F47" s="53">
        <v>1103</v>
      </c>
      <c r="G47" s="54">
        <v>60</v>
      </c>
      <c r="H47" s="54">
        <v>600</v>
      </c>
      <c r="I47" s="54">
        <v>60</v>
      </c>
      <c r="J47" s="54">
        <v>600</v>
      </c>
      <c r="K47" s="54">
        <v>570</v>
      </c>
    </row>
    <row r="48" ht="14.25" spans="1:11">
      <c r="A48" s="50" t="s">
        <v>58</v>
      </c>
      <c r="B48" s="51" t="s">
        <v>62</v>
      </c>
      <c r="C48" s="52" t="s">
        <v>22</v>
      </c>
      <c r="D48" s="54">
        <v>81</v>
      </c>
      <c r="E48" s="53">
        <v>1260</v>
      </c>
      <c r="F48" s="54">
        <v>926</v>
      </c>
      <c r="G48" s="54">
        <v>32</v>
      </c>
      <c r="H48" s="54">
        <v>500</v>
      </c>
      <c r="I48" s="54">
        <v>32</v>
      </c>
      <c r="J48" s="54">
        <v>500</v>
      </c>
      <c r="K48" s="54">
        <v>475</v>
      </c>
    </row>
    <row r="49" ht="14.25" spans="1:11">
      <c r="A49" s="50" t="s">
        <v>58</v>
      </c>
      <c r="B49" s="51" t="s">
        <v>63</v>
      </c>
      <c r="C49" s="52" t="s">
        <v>22</v>
      </c>
      <c r="D49" s="54">
        <v>73</v>
      </c>
      <c r="E49" s="54">
        <v>817</v>
      </c>
      <c r="F49" s="54">
        <v>600</v>
      </c>
      <c r="G49" s="54">
        <v>32</v>
      </c>
      <c r="H49" s="54">
        <v>350</v>
      </c>
      <c r="I49" s="54">
        <v>32</v>
      </c>
      <c r="J49" s="54">
        <v>350</v>
      </c>
      <c r="K49" s="54">
        <v>333</v>
      </c>
    </row>
    <row r="50" ht="23.25" spans="1:11">
      <c r="A50" s="50" t="s">
        <v>58</v>
      </c>
      <c r="B50" s="51" t="s">
        <v>64</v>
      </c>
      <c r="C50" s="52" t="s">
        <v>30</v>
      </c>
      <c r="D50" s="54">
        <v>81</v>
      </c>
      <c r="E50" s="54">
        <v>735</v>
      </c>
      <c r="F50" s="54">
        <v>540</v>
      </c>
      <c r="G50" s="54">
        <v>33</v>
      </c>
      <c r="H50" s="54">
        <v>300</v>
      </c>
      <c r="I50" s="54">
        <v>33</v>
      </c>
      <c r="J50" s="54">
        <v>300</v>
      </c>
      <c r="K50" s="54">
        <v>285</v>
      </c>
    </row>
    <row r="51" ht="23.25" spans="1:11">
      <c r="A51" s="50" t="s">
        <v>58</v>
      </c>
      <c r="B51" s="51" t="s">
        <v>65</v>
      </c>
      <c r="C51" s="52" t="s">
        <v>30</v>
      </c>
      <c r="D51" s="54">
        <v>127</v>
      </c>
      <c r="E51" s="54">
        <v>980</v>
      </c>
      <c r="F51" s="54">
        <v>720</v>
      </c>
      <c r="G51" s="54">
        <v>52</v>
      </c>
      <c r="H51" s="54">
        <v>400</v>
      </c>
      <c r="I51" s="54">
        <v>52</v>
      </c>
      <c r="J51" s="54">
        <v>400</v>
      </c>
      <c r="K51" s="54">
        <v>380</v>
      </c>
    </row>
    <row r="52" ht="14.25" spans="1:11">
      <c r="A52" s="50" t="s">
        <v>58</v>
      </c>
      <c r="B52" s="51" t="s">
        <v>66</v>
      </c>
      <c r="C52" s="52" t="s">
        <v>30</v>
      </c>
      <c r="D52" s="54">
        <v>44</v>
      </c>
      <c r="E52" s="54">
        <v>490</v>
      </c>
      <c r="F52" s="54">
        <v>360</v>
      </c>
      <c r="G52" s="54">
        <v>20</v>
      </c>
      <c r="H52" s="54">
        <v>200</v>
      </c>
      <c r="I52" s="54">
        <v>20</v>
      </c>
      <c r="J52" s="54">
        <v>200</v>
      </c>
      <c r="K52" s="54">
        <v>190</v>
      </c>
    </row>
    <row r="53" ht="14.25" spans="1:11">
      <c r="A53" s="55"/>
      <c r="B53" s="56"/>
      <c r="C53" s="57"/>
      <c r="D53" s="58">
        <v>1339</v>
      </c>
      <c r="E53" s="58">
        <v>13440</v>
      </c>
      <c r="F53" s="58">
        <v>9878</v>
      </c>
      <c r="G53" s="59">
        <v>554</v>
      </c>
      <c r="H53" s="58">
        <v>5504</v>
      </c>
      <c r="I53" s="59">
        <v>554</v>
      </c>
      <c r="J53" s="58">
        <v>5504</v>
      </c>
      <c r="K53" s="58">
        <v>5229</v>
      </c>
    </row>
    <row r="54" ht="14.25" spans="1:11">
      <c r="A54" s="50" t="s">
        <v>67</v>
      </c>
      <c r="B54" s="51" t="s">
        <v>68</v>
      </c>
      <c r="C54" s="52" t="s">
        <v>13</v>
      </c>
      <c r="D54" s="54">
        <v>450</v>
      </c>
      <c r="E54" s="53">
        <v>6270</v>
      </c>
      <c r="F54" s="53">
        <v>4608</v>
      </c>
      <c r="G54" s="54">
        <v>210</v>
      </c>
      <c r="H54" s="53">
        <v>3050</v>
      </c>
      <c r="I54" s="54">
        <v>210</v>
      </c>
      <c r="J54" s="53">
        <v>3050</v>
      </c>
      <c r="K54" s="53">
        <v>2898</v>
      </c>
    </row>
    <row r="55" ht="14.25" spans="1:11">
      <c r="A55" s="50" t="s">
        <v>67</v>
      </c>
      <c r="B55" s="51" t="s">
        <v>69</v>
      </c>
      <c r="C55" s="52" t="s">
        <v>13</v>
      </c>
      <c r="D55" s="54">
        <v>450</v>
      </c>
      <c r="E55" s="53">
        <v>6270</v>
      </c>
      <c r="F55" s="53">
        <v>4608</v>
      </c>
      <c r="G55" s="54">
        <v>210</v>
      </c>
      <c r="H55" s="53">
        <v>3050</v>
      </c>
      <c r="I55" s="54">
        <v>210</v>
      </c>
      <c r="J55" s="53">
        <v>3050</v>
      </c>
      <c r="K55" s="53">
        <v>2898</v>
      </c>
    </row>
    <row r="56" ht="14.25" spans="1:11">
      <c r="A56" s="50" t="s">
        <v>67</v>
      </c>
      <c r="B56" s="51" t="s">
        <v>70</v>
      </c>
      <c r="C56" s="52" t="s">
        <v>13</v>
      </c>
      <c r="D56" s="54">
        <v>520</v>
      </c>
      <c r="E56" s="53">
        <v>7249</v>
      </c>
      <c r="F56" s="53">
        <v>5327</v>
      </c>
      <c r="G56" s="54">
        <v>200</v>
      </c>
      <c r="H56" s="53">
        <v>2634</v>
      </c>
      <c r="I56" s="54">
        <v>200</v>
      </c>
      <c r="J56" s="53">
        <v>2634</v>
      </c>
      <c r="K56" s="53">
        <v>2502</v>
      </c>
    </row>
    <row r="57" ht="14.25" spans="1:11">
      <c r="A57" s="50" t="s">
        <v>67</v>
      </c>
      <c r="B57" s="51" t="s">
        <v>71</v>
      </c>
      <c r="C57" s="52" t="s">
        <v>13</v>
      </c>
      <c r="D57" s="54">
        <v>800</v>
      </c>
      <c r="E57" s="53">
        <v>11151</v>
      </c>
      <c r="F57" s="53">
        <v>8196</v>
      </c>
      <c r="G57" s="54">
        <v>360</v>
      </c>
      <c r="H57" s="53">
        <v>4350</v>
      </c>
      <c r="I57" s="54">
        <v>360</v>
      </c>
      <c r="J57" s="53">
        <v>4350</v>
      </c>
      <c r="K57" s="53">
        <v>4133</v>
      </c>
    </row>
    <row r="58" ht="14.25" spans="1:11">
      <c r="A58" s="50" t="s">
        <v>67</v>
      </c>
      <c r="B58" s="51" t="s">
        <v>72</v>
      </c>
      <c r="C58" s="52" t="s">
        <v>22</v>
      </c>
      <c r="D58" s="54">
        <v>120</v>
      </c>
      <c r="E58" s="53">
        <v>1670</v>
      </c>
      <c r="F58" s="53">
        <v>1227</v>
      </c>
      <c r="G58" s="54">
        <v>40</v>
      </c>
      <c r="H58" s="54">
        <v>480</v>
      </c>
      <c r="I58" s="54">
        <v>40</v>
      </c>
      <c r="J58" s="54">
        <v>480</v>
      </c>
      <c r="K58" s="54">
        <v>456</v>
      </c>
    </row>
    <row r="59" ht="14.25" spans="1:11">
      <c r="A59" s="50" t="s">
        <v>67</v>
      </c>
      <c r="B59" s="51" t="s">
        <v>73</v>
      </c>
      <c r="C59" s="52" t="s">
        <v>22</v>
      </c>
      <c r="D59" s="54">
        <v>72</v>
      </c>
      <c r="E59" s="53">
        <v>1000</v>
      </c>
      <c r="F59" s="54">
        <v>735</v>
      </c>
      <c r="G59" s="54">
        <v>40</v>
      </c>
      <c r="H59" s="54">
        <v>400</v>
      </c>
      <c r="I59" s="54">
        <v>40</v>
      </c>
      <c r="J59" s="54">
        <v>400</v>
      </c>
      <c r="K59" s="54">
        <v>380</v>
      </c>
    </row>
    <row r="60" ht="14.25" spans="1:11">
      <c r="A60" s="50" t="s">
        <v>67</v>
      </c>
      <c r="B60" s="51" t="s">
        <v>74</v>
      </c>
      <c r="C60" s="52" t="s">
        <v>22</v>
      </c>
      <c r="D60" s="54">
        <v>100</v>
      </c>
      <c r="E60" s="53">
        <v>1390</v>
      </c>
      <c r="F60" s="53">
        <v>1022</v>
      </c>
      <c r="G60" s="54">
        <v>35</v>
      </c>
      <c r="H60" s="54">
        <v>410</v>
      </c>
      <c r="I60" s="54">
        <v>35</v>
      </c>
      <c r="J60" s="54">
        <v>410</v>
      </c>
      <c r="K60" s="54">
        <v>390</v>
      </c>
    </row>
    <row r="61" ht="14.25" spans="1:11">
      <c r="A61" s="50" t="s">
        <v>67</v>
      </c>
      <c r="B61" s="51" t="s">
        <v>75</v>
      </c>
      <c r="C61" s="52" t="s">
        <v>30</v>
      </c>
      <c r="D61" s="54">
        <v>50</v>
      </c>
      <c r="E61" s="54">
        <v>700</v>
      </c>
      <c r="F61" s="54">
        <v>515</v>
      </c>
      <c r="G61" s="54">
        <v>30</v>
      </c>
      <c r="H61" s="54">
        <v>300</v>
      </c>
      <c r="I61" s="54">
        <v>30</v>
      </c>
      <c r="J61" s="54">
        <v>300</v>
      </c>
      <c r="K61" s="54">
        <v>285</v>
      </c>
    </row>
    <row r="62" ht="14.25" spans="1:11">
      <c r="A62" s="50" t="s">
        <v>67</v>
      </c>
      <c r="B62" s="51" t="s">
        <v>76</v>
      </c>
      <c r="C62" s="52" t="s">
        <v>30</v>
      </c>
      <c r="D62" s="54">
        <v>60</v>
      </c>
      <c r="E62" s="54">
        <v>840</v>
      </c>
      <c r="F62" s="54">
        <v>617</v>
      </c>
      <c r="G62" s="54">
        <v>20</v>
      </c>
      <c r="H62" s="54">
        <v>200</v>
      </c>
      <c r="I62" s="54">
        <v>20</v>
      </c>
      <c r="J62" s="54">
        <v>200</v>
      </c>
      <c r="K62" s="54">
        <v>190</v>
      </c>
    </row>
    <row r="63" ht="14.25" spans="1:11">
      <c r="A63" s="55"/>
      <c r="B63" s="56"/>
      <c r="C63" s="57"/>
      <c r="D63" s="58">
        <v>2622</v>
      </c>
      <c r="E63" s="58">
        <v>36540</v>
      </c>
      <c r="F63" s="58">
        <v>26856</v>
      </c>
      <c r="G63" s="58">
        <v>1145</v>
      </c>
      <c r="H63" s="58">
        <v>14874</v>
      </c>
      <c r="I63" s="58">
        <v>1145</v>
      </c>
      <c r="J63" s="58">
        <v>14874</v>
      </c>
      <c r="K63" s="58">
        <v>14130</v>
      </c>
    </row>
    <row r="64" ht="14.25" spans="1:11">
      <c r="A64" s="50" t="s">
        <v>77</v>
      </c>
      <c r="B64" s="51" t="s">
        <v>78</v>
      </c>
      <c r="C64" s="52" t="s">
        <v>13</v>
      </c>
      <c r="D64" s="54">
        <v>900</v>
      </c>
      <c r="E64" s="53">
        <v>6000</v>
      </c>
      <c r="F64" s="53">
        <v>4565</v>
      </c>
      <c r="G64" s="54">
        <v>400</v>
      </c>
      <c r="H64" s="53">
        <v>2600</v>
      </c>
      <c r="I64" s="54">
        <v>400</v>
      </c>
      <c r="J64" s="53">
        <v>2600</v>
      </c>
      <c r="K64" s="53">
        <v>2470</v>
      </c>
    </row>
    <row r="65" ht="14.25" spans="1:11">
      <c r="A65" s="50" t="s">
        <v>77</v>
      </c>
      <c r="B65" s="51" t="s">
        <v>79</v>
      </c>
      <c r="C65" s="52" t="s">
        <v>30</v>
      </c>
      <c r="D65" s="54">
        <v>100</v>
      </c>
      <c r="E65" s="54">
        <v>800</v>
      </c>
      <c r="F65" s="54">
        <v>550</v>
      </c>
      <c r="G65" s="54">
        <v>30</v>
      </c>
      <c r="H65" s="54">
        <v>300</v>
      </c>
      <c r="I65" s="54">
        <v>30</v>
      </c>
      <c r="J65" s="54">
        <v>300</v>
      </c>
      <c r="K65" s="54">
        <v>285</v>
      </c>
    </row>
    <row r="66" ht="23.25" spans="1:11">
      <c r="A66" s="50" t="s">
        <v>77</v>
      </c>
      <c r="B66" s="51" t="s">
        <v>80</v>
      </c>
      <c r="C66" s="52" t="s">
        <v>22</v>
      </c>
      <c r="D66" s="54">
        <v>101</v>
      </c>
      <c r="E66" s="54">
        <v>980</v>
      </c>
      <c r="F66" s="54">
        <v>700</v>
      </c>
      <c r="G66" s="54">
        <v>33</v>
      </c>
      <c r="H66" s="54">
        <v>402</v>
      </c>
      <c r="I66" s="54">
        <v>33</v>
      </c>
      <c r="J66" s="54">
        <v>402</v>
      </c>
      <c r="K66" s="54">
        <v>382</v>
      </c>
    </row>
    <row r="67" ht="21.75" spans="1:11">
      <c r="A67" s="50" t="s">
        <v>77</v>
      </c>
      <c r="B67" s="63" t="s">
        <v>81</v>
      </c>
      <c r="C67" s="52" t="s">
        <v>22</v>
      </c>
      <c r="D67" s="54">
        <v>100</v>
      </c>
      <c r="E67" s="54">
        <v>980</v>
      </c>
      <c r="F67" s="54">
        <v>700</v>
      </c>
      <c r="G67" s="54">
        <v>33</v>
      </c>
      <c r="H67" s="54">
        <v>402</v>
      </c>
      <c r="I67" s="54">
        <v>33</v>
      </c>
      <c r="J67" s="54">
        <v>402</v>
      </c>
      <c r="K67" s="54">
        <v>382</v>
      </c>
    </row>
    <row r="68" ht="14.25" spans="1:11">
      <c r="A68" s="50" t="s">
        <v>77</v>
      </c>
      <c r="B68" s="51" t="s">
        <v>82</v>
      </c>
      <c r="C68" s="52" t="s">
        <v>30</v>
      </c>
      <c r="D68" s="54">
        <v>90</v>
      </c>
      <c r="E68" s="54">
        <v>800</v>
      </c>
      <c r="F68" s="54">
        <v>550</v>
      </c>
      <c r="G68" s="54">
        <v>30</v>
      </c>
      <c r="H68" s="54">
        <v>300</v>
      </c>
      <c r="I68" s="54">
        <v>30</v>
      </c>
      <c r="J68" s="54">
        <v>300</v>
      </c>
      <c r="K68" s="54">
        <v>285</v>
      </c>
    </row>
    <row r="69" ht="23.25" spans="1:11">
      <c r="A69" s="50" t="s">
        <v>77</v>
      </c>
      <c r="B69" s="51" t="s">
        <v>83</v>
      </c>
      <c r="C69" s="52" t="s">
        <v>30</v>
      </c>
      <c r="D69" s="54">
        <v>90</v>
      </c>
      <c r="E69" s="54">
        <v>800</v>
      </c>
      <c r="F69" s="54">
        <v>550</v>
      </c>
      <c r="G69" s="54">
        <v>30</v>
      </c>
      <c r="H69" s="54">
        <v>300</v>
      </c>
      <c r="I69" s="54">
        <v>30</v>
      </c>
      <c r="J69" s="54">
        <v>300</v>
      </c>
      <c r="K69" s="54">
        <v>285</v>
      </c>
    </row>
    <row r="70" ht="14.25" spans="1:11">
      <c r="A70" s="55"/>
      <c r="B70" s="56"/>
      <c r="C70" s="57"/>
      <c r="D70" s="58">
        <v>1381</v>
      </c>
      <c r="E70" s="58">
        <v>10360</v>
      </c>
      <c r="F70" s="58">
        <v>7615</v>
      </c>
      <c r="G70" s="59">
        <v>556</v>
      </c>
      <c r="H70" s="58">
        <v>4304</v>
      </c>
      <c r="I70" s="59">
        <v>556</v>
      </c>
      <c r="J70" s="58">
        <v>4304</v>
      </c>
      <c r="K70" s="58">
        <v>4089</v>
      </c>
    </row>
    <row r="71" ht="14.25" spans="1:11">
      <c r="A71" s="50" t="s">
        <v>84</v>
      </c>
      <c r="B71" s="64" t="s">
        <v>85</v>
      </c>
      <c r="C71" s="65" t="s">
        <v>30</v>
      </c>
      <c r="D71" s="54">
        <v>34</v>
      </c>
      <c r="E71" s="54">
        <v>520</v>
      </c>
      <c r="F71" s="54">
        <v>370</v>
      </c>
      <c r="G71" s="54">
        <v>15</v>
      </c>
      <c r="H71" s="54">
        <v>210</v>
      </c>
      <c r="I71" s="54">
        <v>15</v>
      </c>
      <c r="J71" s="54">
        <v>210</v>
      </c>
      <c r="K71" s="54">
        <v>200</v>
      </c>
    </row>
    <row r="72" ht="14.25" spans="1:11">
      <c r="A72" s="50" t="s">
        <v>84</v>
      </c>
      <c r="B72" s="64" t="s">
        <v>86</v>
      </c>
      <c r="C72" s="65" t="s">
        <v>30</v>
      </c>
      <c r="D72" s="54">
        <v>50</v>
      </c>
      <c r="E72" s="54">
        <v>500</v>
      </c>
      <c r="F72" s="54">
        <v>360</v>
      </c>
      <c r="G72" s="54">
        <v>15</v>
      </c>
      <c r="H72" s="54">
        <v>201</v>
      </c>
      <c r="I72" s="54">
        <v>15</v>
      </c>
      <c r="J72" s="54">
        <v>201</v>
      </c>
      <c r="K72" s="54">
        <v>191</v>
      </c>
    </row>
    <row r="73" ht="14.25" spans="1:11">
      <c r="A73" s="50" t="s">
        <v>84</v>
      </c>
      <c r="B73" s="64" t="s">
        <v>87</v>
      </c>
      <c r="C73" s="65" t="s">
        <v>30</v>
      </c>
      <c r="D73" s="54">
        <v>34</v>
      </c>
      <c r="E73" s="54">
        <v>520</v>
      </c>
      <c r="F73" s="54">
        <v>370</v>
      </c>
      <c r="G73" s="54">
        <v>15</v>
      </c>
      <c r="H73" s="54">
        <v>210</v>
      </c>
      <c r="I73" s="54">
        <v>15</v>
      </c>
      <c r="J73" s="54">
        <v>210</v>
      </c>
      <c r="K73" s="54">
        <v>200</v>
      </c>
    </row>
    <row r="74" ht="14.25" spans="1:11">
      <c r="A74" s="55"/>
      <c r="B74" s="56"/>
      <c r="C74" s="57"/>
      <c r="D74" s="59">
        <v>118</v>
      </c>
      <c r="E74" s="58">
        <v>1540</v>
      </c>
      <c r="F74" s="58">
        <v>1100</v>
      </c>
      <c r="G74" s="59">
        <v>45</v>
      </c>
      <c r="H74" s="59">
        <v>621</v>
      </c>
      <c r="I74" s="59">
        <v>45</v>
      </c>
      <c r="J74" s="59">
        <v>621</v>
      </c>
      <c r="K74" s="59">
        <v>590</v>
      </c>
    </row>
    <row r="75" ht="14.25" spans="1:11">
      <c r="A75" s="50" t="s">
        <v>88</v>
      </c>
      <c r="B75" s="64" t="s">
        <v>89</v>
      </c>
      <c r="C75" s="65"/>
      <c r="D75" s="54"/>
      <c r="E75" s="53">
        <v>1402</v>
      </c>
      <c r="F75" s="53">
        <v>1030</v>
      </c>
      <c r="G75" s="54" t="s">
        <v>90</v>
      </c>
      <c r="H75" s="54">
        <v>600</v>
      </c>
      <c r="I75" s="54"/>
      <c r="J75" s="54">
        <v>600</v>
      </c>
      <c r="K75" s="54">
        <v>570</v>
      </c>
    </row>
    <row r="76" ht="14.25" spans="1:11">
      <c r="A76" s="50" t="s">
        <v>88</v>
      </c>
      <c r="B76" s="64" t="s">
        <v>91</v>
      </c>
      <c r="C76" s="65"/>
      <c r="D76" s="54"/>
      <c r="E76" s="54">
        <v>720</v>
      </c>
      <c r="F76" s="54">
        <v>529</v>
      </c>
      <c r="G76" s="54" t="s">
        <v>90</v>
      </c>
      <c r="H76" s="54">
        <v>300</v>
      </c>
      <c r="I76" s="54"/>
      <c r="J76" s="54">
        <v>300</v>
      </c>
      <c r="K76" s="54">
        <v>285</v>
      </c>
    </row>
    <row r="77" ht="14.25" spans="1:11">
      <c r="A77" s="50" t="s">
        <v>88</v>
      </c>
      <c r="B77" s="64" t="s">
        <v>92</v>
      </c>
      <c r="C77" s="65"/>
      <c r="D77" s="54"/>
      <c r="E77" s="54">
        <v>720</v>
      </c>
      <c r="F77" s="54">
        <v>529</v>
      </c>
      <c r="G77" s="54"/>
      <c r="H77" s="54">
        <v>300</v>
      </c>
      <c r="I77" s="54"/>
      <c r="J77" s="54">
        <v>300</v>
      </c>
      <c r="K77" s="54">
        <v>285</v>
      </c>
    </row>
    <row r="78" ht="14.25" spans="1:11">
      <c r="A78" s="50" t="s">
        <v>88</v>
      </c>
      <c r="B78" s="64" t="s">
        <v>93</v>
      </c>
      <c r="C78" s="65"/>
      <c r="D78" s="54"/>
      <c r="E78" s="53">
        <v>4800</v>
      </c>
      <c r="F78" s="53">
        <v>3528</v>
      </c>
      <c r="G78" s="54" t="s">
        <v>90</v>
      </c>
      <c r="H78" s="53">
        <v>2000</v>
      </c>
      <c r="I78" s="54"/>
      <c r="J78" s="53">
        <v>2000</v>
      </c>
      <c r="K78" s="53">
        <v>1900</v>
      </c>
    </row>
    <row r="79" ht="14.25" spans="1:11">
      <c r="A79" s="50" t="s">
        <v>88</v>
      </c>
      <c r="B79" s="64" t="s">
        <v>94</v>
      </c>
      <c r="C79" s="65"/>
      <c r="D79" s="54"/>
      <c r="E79" s="53">
        <v>2400</v>
      </c>
      <c r="F79" s="53">
        <v>1764</v>
      </c>
      <c r="G79" s="54" t="s">
        <v>90</v>
      </c>
      <c r="H79" s="53">
        <v>1000</v>
      </c>
      <c r="I79" s="54"/>
      <c r="J79" s="53">
        <v>1000</v>
      </c>
      <c r="K79" s="54">
        <v>950</v>
      </c>
    </row>
    <row r="80" ht="14.25" spans="1:11">
      <c r="A80" s="50" t="s">
        <v>88</v>
      </c>
      <c r="B80" s="64" t="s">
        <v>95</v>
      </c>
      <c r="C80" s="65"/>
      <c r="D80" s="54"/>
      <c r="E80" s="53">
        <v>1960</v>
      </c>
      <c r="F80" s="53">
        <v>1441</v>
      </c>
      <c r="G80" s="54" t="s">
        <v>90</v>
      </c>
      <c r="H80" s="53">
        <v>1000</v>
      </c>
      <c r="I80" s="54"/>
      <c r="J80" s="53">
        <v>1000</v>
      </c>
      <c r="K80" s="54">
        <v>950</v>
      </c>
    </row>
    <row r="81" ht="14.25" spans="1:11">
      <c r="A81" s="55"/>
      <c r="B81" s="56"/>
      <c r="C81" s="57"/>
      <c r="D81" s="59" t="s">
        <v>90</v>
      </c>
      <c r="E81" s="58">
        <v>12002</v>
      </c>
      <c r="F81" s="58">
        <v>8821</v>
      </c>
      <c r="G81" s="59" t="s">
        <v>90</v>
      </c>
      <c r="H81" s="58">
        <v>5200</v>
      </c>
      <c r="I81" s="59" t="s">
        <v>90</v>
      </c>
      <c r="J81" s="58">
        <v>5200</v>
      </c>
      <c r="K81" s="58">
        <v>4940</v>
      </c>
    </row>
    <row r="82" ht="15" customHeight="1" spans="1:11">
      <c r="A82" s="66" t="s">
        <v>96</v>
      </c>
      <c r="B82" s="66"/>
      <c r="C82" s="67"/>
      <c r="D82" s="68">
        <v>15930</v>
      </c>
      <c r="E82" s="68">
        <v>245000</v>
      </c>
      <c r="F82" s="68">
        <v>180000</v>
      </c>
      <c r="G82" s="68">
        <v>6500</v>
      </c>
      <c r="H82" s="68">
        <v>100000</v>
      </c>
      <c r="I82" s="68">
        <v>6500</v>
      </c>
      <c r="J82" s="68">
        <v>100000</v>
      </c>
      <c r="K82" s="68">
        <v>95000</v>
      </c>
    </row>
  </sheetData>
  <mergeCells count="1">
    <mergeCell ref="A82:B8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105"/>
  <sheetViews>
    <sheetView zoomScale="110" zoomScaleNormal="110" topLeftCell="B1" workbookViewId="0">
      <pane xSplit="3" ySplit="1" topLeftCell="E63" activePane="bottomRight" state="frozen"/>
      <selection/>
      <selection pane="topRight"/>
      <selection pane="bottomLeft"/>
      <selection pane="bottomRight" activeCell="R70" sqref="R70"/>
    </sheetView>
  </sheetViews>
  <sheetFormatPr defaultColWidth="9" defaultRowHeight="15"/>
  <cols>
    <col min="1" max="1" width="9" style="3"/>
    <col min="2" max="2" width="9" style="4"/>
    <col min="3" max="3" width="20.25" style="4" customWidth="1"/>
    <col min="4" max="13" width="11.875" style="4" customWidth="1"/>
    <col min="14" max="16" width="14.625" style="4" customWidth="1"/>
    <col min="17" max="17" width="9" style="4" customWidth="1"/>
    <col min="18" max="18" width="9" style="5" customWidth="1"/>
    <col min="19" max="20" width="9" style="5" hidden="1" customWidth="1"/>
    <col min="21" max="21" width="13.375" style="5" customWidth="1"/>
    <col min="22" max="22" width="11.25" style="6" customWidth="1"/>
    <col min="23" max="16384" width="9" style="4"/>
  </cols>
  <sheetData>
    <row r="1" ht="23.1" customHeight="1" spans="1:22">
      <c r="A1" s="7" t="s">
        <v>97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98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4" t="s">
        <v>99</v>
      </c>
      <c r="O1" s="4" t="s">
        <v>100</v>
      </c>
      <c r="P1" s="4" t="s">
        <v>101</v>
      </c>
      <c r="R1" s="5" t="s">
        <v>102</v>
      </c>
      <c r="S1" s="5" t="s">
        <v>103</v>
      </c>
      <c r="T1" s="5" t="s">
        <v>104</v>
      </c>
      <c r="U1" s="5" t="s">
        <v>105</v>
      </c>
      <c r="V1" s="6" t="s">
        <v>106</v>
      </c>
    </row>
    <row r="2" ht="23.1" customHeight="1" spans="1:22">
      <c r="A2" s="3">
        <v>1</v>
      </c>
      <c r="B2" s="7" t="s">
        <v>11</v>
      </c>
      <c r="C2" s="8" t="s">
        <v>12</v>
      </c>
      <c r="D2" s="7" t="s">
        <v>13</v>
      </c>
      <c r="E2" s="9">
        <v>1683</v>
      </c>
      <c r="F2" s="9">
        <v>35680</v>
      </c>
      <c r="G2" s="9">
        <v>26225</v>
      </c>
      <c r="H2" s="10">
        <f>G2*14/18</f>
        <v>20397.2222222222</v>
      </c>
      <c r="I2" s="11">
        <v>750</v>
      </c>
      <c r="J2" s="9">
        <v>14500</v>
      </c>
      <c r="K2" s="11">
        <v>750</v>
      </c>
      <c r="L2" s="9">
        <v>14500</v>
      </c>
      <c r="M2" s="9">
        <v>13775</v>
      </c>
    </row>
    <row r="3" ht="23.1" customHeight="1" spans="1:22">
      <c r="A3" s="3">
        <v>2</v>
      </c>
      <c r="B3" s="7" t="s">
        <v>11</v>
      </c>
      <c r="C3" s="8" t="s">
        <v>14</v>
      </c>
      <c r="D3" s="7" t="s">
        <v>13</v>
      </c>
      <c r="E3" s="9">
        <v>1683</v>
      </c>
      <c r="F3" s="9">
        <v>35680</v>
      </c>
      <c r="G3" s="9">
        <v>26225</v>
      </c>
      <c r="H3" s="10">
        <f t="shared" ref="H3:H34" si="0">G3*14/18</f>
        <v>20397.2222222222</v>
      </c>
      <c r="I3" s="11">
        <v>750</v>
      </c>
      <c r="J3" s="9">
        <v>14500</v>
      </c>
      <c r="K3" s="11">
        <v>750</v>
      </c>
      <c r="L3" s="9">
        <v>14500</v>
      </c>
      <c r="M3" s="9">
        <v>13775</v>
      </c>
    </row>
    <row r="4" ht="23.1" customHeight="1" spans="1:22">
      <c r="A4" s="3">
        <v>3</v>
      </c>
      <c r="B4" s="7" t="s">
        <v>11</v>
      </c>
      <c r="C4" s="8" t="s">
        <v>15</v>
      </c>
      <c r="D4" s="7" t="s">
        <v>13</v>
      </c>
      <c r="E4" s="11">
        <v>400</v>
      </c>
      <c r="F4" s="9">
        <v>6544</v>
      </c>
      <c r="G4" s="9">
        <v>4810</v>
      </c>
      <c r="H4" s="10">
        <f t="shared" si="0"/>
        <v>3741.11111111111</v>
      </c>
      <c r="I4" s="11">
        <v>160</v>
      </c>
      <c r="J4" s="9">
        <v>2657</v>
      </c>
      <c r="K4" s="11">
        <v>160</v>
      </c>
      <c r="L4" s="9">
        <v>2657</v>
      </c>
      <c r="M4" s="9">
        <v>2524</v>
      </c>
    </row>
    <row r="5" ht="23.1" customHeight="1" spans="1:22">
      <c r="A5" s="3">
        <v>4</v>
      </c>
      <c r="B5" s="7" t="s">
        <v>11</v>
      </c>
      <c r="C5" s="8" t="s">
        <v>16</v>
      </c>
      <c r="D5" s="7" t="s">
        <v>17</v>
      </c>
      <c r="E5" s="11">
        <v>270</v>
      </c>
      <c r="F5" s="9">
        <v>4428</v>
      </c>
      <c r="G5" s="9">
        <v>3255</v>
      </c>
      <c r="H5" s="10">
        <f t="shared" si="0"/>
        <v>2531.66666666667</v>
      </c>
      <c r="I5" s="11">
        <v>120</v>
      </c>
      <c r="J5" s="9">
        <v>1800</v>
      </c>
      <c r="K5" s="11">
        <v>120</v>
      </c>
      <c r="L5" s="9">
        <v>1800</v>
      </c>
      <c r="M5" s="9">
        <v>1710</v>
      </c>
    </row>
    <row r="6" ht="23.1" customHeight="1" spans="1:22">
      <c r="A6" s="3">
        <v>5</v>
      </c>
      <c r="B6" s="7" t="s">
        <v>11</v>
      </c>
      <c r="C6" s="8" t="s">
        <v>18</v>
      </c>
      <c r="D6" s="7" t="s">
        <v>17</v>
      </c>
      <c r="E6" s="11">
        <v>270</v>
      </c>
      <c r="F6" s="9">
        <v>4428</v>
      </c>
      <c r="G6" s="9">
        <v>3255</v>
      </c>
      <c r="H6" s="10">
        <f t="shared" si="0"/>
        <v>2531.66666666667</v>
      </c>
      <c r="I6" s="11">
        <v>120</v>
      </c>
      <c r="J6" s="9">
        <v>1800</v>
      </c>
      <c r="K6" s="11">
        <v>120</v>
      </c>
      <c r="L6" s="9">
        <v>1800</v>
      </c>
      <c r="M6" s="9">
        <v>1710</v>
      </c>
    </row>
    <row r="7" ht="23.1" customHeight="1" spans="1:22">
      <c r="A7" s="3">
        <v>6</v>
      </c>
      <c r="B7" s="7" t="s">
        <v>11</v>
      </c>
      <c r="C7" s="8" t="s">
        <v>19</v>
      </c>
      <c r="D7" s="7" t="s">
        <v>17</v>
      </c>
      <c r="E7" s="11">
        <v>245</v>
      </c>
      <c r="F7" s="9">
        <v>4200</v>
      </c>
      <c r="G7" s="9">
        <v>3087</v>
      </c>
      <c r="H7" s="10">
        <f t="shared" si="0"/>
        <v>2401</v>
      </c>
      <c r="I7" s="11">
        <v>100</v>
      </c>
      <c r="J7" s="9">
        <v>1778</v>
      </c>
      <c r="K7" s="11">
        <v>100</v>
      </c>
      <c r="L7" s="9">
        <v>1778</v>
      </c>
      <c r="M7" s="9">
        <v>1689</v>
      </c>
    </row>
    <row r="8" ht="23.1" customHeight="1" spans="1:22">
      <c r="A8" s="3">
        <v>7</v>
      </c>
      <c r="B8" s="7" t="s">
        <v>11</v>
      </c>
      <c r="C8" s="8" t="s">
        <v>20</v>
      </c>
      <c r="D8" s="7" t="s">
        <v>17</v>
      </c>
      <c r="E8" s="11">
        <v>489</v>
      </c>
      <c r="F8" s="9">
        <v>7525</v>
      </c>
      <c r="G8" s="9">
        <v>5531</v>
      </c>
      <c r="H8" s="10">
        <f t="shared" si="0"/>
        <v>4301.88888888889</v>
      </c>
      <c r="I8" s="11">
        <v>210</v>
      </c>
      <c r="J8" s="9">
        <v>2972</v>
      </c>
      <c r="K8" s="11">
        <v>210</v>
      </c>
      <c r="L8" s="9">
        <v>2972</v>
      </c>
      <c r="M8" s="9">
        <v>2823</v>
      </c>
    </row>
    <row r="9" ht="23.1" customHeight="1" spans="1:22">
      <c r="A9" s="3">
        <v>8</v>
      </c>
      <c r="B9" s="7" t="s">
        <v>11</v>
      </c>
      <c r="C9" s="8" t="s">
        <v>21</v>
      </c>
      <c r="D9" s="7" t="s">
        <v>22</v>
      </c>
      <c r="E9" s="11">
        <v>72</v>
      </c>
      <c r="F9" s="9">
        <v>1085</v>
      </c>
      <c r="G9" s="11">
        <v>797</v>
      </c>
      <c r="H9" s="10">
        <f t="shared" si="0"/>
        <v>619.888888888889</v>
      </c>
      <c r="I9" s="11">
        <v>30</v>
      </c>
      <c r="J9" s="11">
        <v>450</v>
      </c>
      <c r="K9" s="11">
        <v>30</v>
      </c>
      <c r="L9" s="11">
        <v>450</v>
      </c>
      <c r="M9" s="11">
        <v>428</v>
      </c>
    </row>
    <row r="10" ht="23.1" customHeight="1" spans="1:22">
      <c r="A10" s="3">
        <v>9</v>
      </c>
      <c r="B10" s="7" t="s">
        <v>11</v>
      </c>
      <c r="C10" s="8" t="s">
        <v>23</v>
      </c>
      <c r="D10" s="7" t="s">
        <v>22</v>
      </c>
      <c r="E10" s="11">
        <v>72</v>
      </c>
      <c r="F10" s="9">
        <v>1085</v>
      </c>
      <c r="G10" s="11">
        <v>797</v>
      </c>
      <c r="H10" s="10">
        <f t="shared" si="0"/>
        <v>619.888888888889</v>
      </c>
      <c r="I10" s="11">
        <v>30</v>
      </c>
      <c r="J10" s="11">
        <v>450</v>
      </c>
      <c r="K10" s="11">
        <v>30</v>
      </c>
      <c r="L10" s="11">
        <v>450</v>
      </c>
      <c r="M10" s="11">
        <v>428</v>
      </c>
    </row>
    <row r="11" ht="23.1" customHeight="1" spans="1:22">
      <c r="A11" s="3">
        <v>10</v>
      </c>
      <c r="B11" s="7" t="s">
        <v>11</v>
      </c>
      <c r="C11" s="8" t="s">
        <v>24</v>
      </c>
      <c r="D11" s="7" t="s">
        <v>22</v>
      </c>
      <c r="E11" s="11">
        <v>72</v>
      </c>
      <c r="F11" s="9">
        <v>1085</v>
      </c>
      <c r="G11" s="11">
        <v>797</v>
      </c>
      <c r="H11" s="10">
        <f t="shared" si="0"/>
        <v>619.888888888889</v>
      </c>
      <c r="I11" s="11">
        <v>30</v>
      </c>
      <c r="J11" s="11">
        <v>450</v>
      </c>
      <c r="K11" s="11">
        <v>30</v>
      </c>
      <c r="L11" s="11">
        <v>450</v>
      </c>
      <c r="M11" s="11">
        <v>428</v>
      </c>
    </row>
    <row r="12" ht="23.1" customHeight="1" spans="1:22">
      <c r="B12" s="12"/>
      <c r="C12" s="13"/>
      <c r="D12" s="12"/>
      <c r="E12" s="14">
        <v>5256</v>
      </c>
      <c r="F12" s="14">
        <v>101740</v>
      </c>
      <c r="G12" s="14">
        <v>74779</v>
      </c>
      <c r="H12" s="10">
        <f t="shared" si="0"/>
        <v>58161.4444444444</v>
      </c>
      <c r="I12" s="14">
        <v>2300</v>
      </c>
      <c r="J12" s="14">
        <f t="shared" ref="J12:M12" si="1">SUM(J2:J11)</f>
        <v>41357</v>
      </c>
      <c r="K12" s="14">
        <f t="shared" si="1"/>
        <v>2300</v>
      </c>
      <c r="L12" s="14">
        <f t="shared" si="1"/>
        <v>41357</v>
      </c>
      <c r="M12" s="14">
        <f t="shared" si="1"/>
        <v>39290</v>
      </c>
    </row>
    <row r="13" ht="23.1" customHeight="1" spans="1:22">
      <c r="A13" s="3">
        <v>11</v>
      </c>
      <c r="B13" s="7" t="s">
        <v>25</v>
      </c>
      <c r="C13" s="8" t="s">
        <v>26</v>
      </c>
      <c r="D13" s="7" t="s">
        <v>13</v>
      </c>
      <c r="E13" s="11">
        <v>277</v>
      </c>
      <c r="F13" s="9">
        <v>6100</v>
      </c>
      <c r="G13" s="9">
        <v>4484</v>
      </c>
      <c r="H13" s="10">
        <f t="shared" si="0"/>
        <v>3487.55555555556</v>
      </c>
      <c r="I13" s="11">
        <v>101</v>
      </c>
      <c r="J13" s="9">
        <v>2153</v>
      </c>
      <c r="K13" s="11">
        <v>101</v>
      </c>
      <c r="L13" s="9">
        <v>2153</v>
      </c>
      <c r="M13" s="9">
        <v>2045</v>
      </c>
    </row>
    <row r="14" s="1" customFormat="1" ht="23.1" customHeight="1" spans="1:22">
      <c r="A14" s="15">
        <v>12</v>
      </c>
      <c r="B14" s="16" t="s">
        <v>25</v>
      </c>
      <c r="C14" s="17" t="s">
        <v>27</v>
      </c>
      <c r="D14" s="16" t="s">
        <v>13</v>
      </c>
      <c r="E14" s="18">
        <v>566</v>
      </c>
      <c r="F14" s="19">
        <v>20400</v>
      </c>
      <c r="G14" s="19">
        <v>14994</v>
      </c>
      <c r="H14" s="19">
        <f t="shared" si="0"/>
        <v>11662</v>
      </c>
      <c r="I14" s="18">
        <v>260</v>
      </c>
      <c r="J14" s="19">
        <v>9700</v>
      </c>
      <c r="K14" s="18">
        <v>260</v>
      </c>
      <c r="L14" s="19">
        <v>9700</v>
      </c>
      <c r="M14" s="19">
        <v>9275</v>
      </c>
      <c r="N14" s="1" t="s">
        <v>107</v>
      </c>
      <c r="O14" s="1">
        <v>1200</v>
      </c>
      <c r="P14" s="1">
        <v>1200</v>
      </c>
      <c r="Q14" s="1">
        <f>L14/K14</f>
        <v>37.3076923076923</v>
      </c>
      <c r="R14" s="5">
        <v>57</v>
      </c>
      <c r="S14" s="5">
        <f>E14/I14</f>
        <v>2.17692307692308</v>
      </c>
      <c r="T14" s="5">
        <f>J14/I14</f>
        <v>37.3076923076923</v>
      </c>
      <c r="U14" s="5">
        <v>140</v>
      </c>
      <c r="V14" s="6">
        <v>2350</v>
      </c>
    </row>
    <row r="15" ht="23.1" customHeight="1" spans="1:22">
      <c r="A15" s="3">
        <v>13</v>
      </c>
      <c r="B15" s="7" t="s">
        <v>25</v>
      </c>
      <c r="C15" s="8" t="s">
        <v>28</v>
      </c>
      <c r="D15" s="7" t="s">
        <v>17</v>
      </c>
      <c r="E15" s="11">
        <v>109</v>
      </c>
      <c r="F15" s="11">
        <v>900</v>
      </c>
      <c r="G15" s="11">
        <v>662</v>
      </c>
      <c r="H15" s="10">
        <f t="shared" si="0"/>
        <v>514.888888888889</v>
      </c>
      <c r="I15" s="11">
        <v>61</v>
      </c>
      <c r="J15" s="11">
        <v>521</v>
      </c>
      <c r="K15" s="11">
        <v>61</v>
      </c>
      <c r="L15" s="11">
        <v>521</v>
      </c>
      <c r="M15" s="11">
        <v>495</v>
      </c>
    </row>
    <row r="16" ht="23.1" customHeight="1" spans="1:22">
      <c r="A16" s="3">
        <v>14</v>
      </c>
      <c r="B16" s="7" t="s">
        <v>25</v>
      </c>
      <c r="C16" s="8" t="s">
        <v>29</v>
      </c>
      <c r="D16" s="7" t="s">
        <v>30</v>
      </c>
      <c r="E16" s="11">
        <v>54</v>
      </c>
      <c r="F16" s="11">
        <v>540</v>
      </c>
      <c r="G16" s="11">
        <v>397</v>
      </c>
      <c r="H16" s="10">
        <f t="shared" si="0"/>
        <v>308.777777777778</v>
      </c>
      <c r="I16" s="11">
        <v>32</v>
      </c>
      <c r="J16" s="11">
        <v>264</v>
      </c>
      <c r="K16" s="11">
        <v>32</v>
      </c>
      <c r="L16" s="11">
        <v>264</v>
      </c>
      <c r="M16" s="11">
        <v>251</v>
      </c>
    </row>
    <row r="17" ht="23.1" customHeight="1" spans="1:22">
      <c r="A17" s="3">
        <v>15</v>
      </c>
      <c r="B17" s="7" t="s">
        <v>25</v>
      </c>
      <c r="C17" s="8" t="s">
        <v>31</v>
      </c>
      <c r="D17" s="7" t="s">
        <v>30</v>
      </c>
      <c r="E17" s="11">
        <v>90</v>
      </c>
      <c r="F17" s="11">
        <v>840</v>
      </c>
      <c r="G17" s="11">
        <v>617</v>
      </c>
      <c r="H17" s="10">
        <f t="shared" si="0"/>
        <v>479.888888888889</v>
      </c>
      <c r="I17" s="11">
        <v>25</v>
      </c>
      <c r="J17" s="11">
        <v>200</v>
      </c>
      <c r="K17" s="11">
        <v>25</v>
      </c>
      <c r="L17" s="11">
        <v>200</v>
      </c>
      <c r="M17" s="11">
        <v>190</v>
      </c>
    </row>
    <row r="18" ht="23.1" customHeight="1" spans="1:22">
      <c r="A18" s="3">
        <v>16</v>
      </c>
      <c r="B18" s="7" t="s">
        <v>25</v>
      </c>
      <c r="C18" s="8" t="s">
        <v>32</v>
      </c>
      <c r="D18" s="7" t="s">
        <v>30</v>
      </c>
      <c r="E18" s="11">
        <v>136</v>
      </c>
      <c r="F18" s="9">
        <v>1200</v>
      </c>
      <c r="G18" s="11">
        <v>882</v>
      </c>
      <c r="H18" s="10">
        <f t="shared" si="0"/>
        <v>686</v>
      </c>
      <c r="I18" s="11">
        <v>36</v>
      </c>
      <c r="J18" s="11">
        <v>300</v>
      </c>
      <c r="K18" s="11">
        <v>36</v>
      </c>
      <c r="L18" s="11">
        <v>300</v>
      </c>
      <c r="M18" s="11">
        <v>285</v>
      </c>
    </row>
    <row r="19" ht="23.1" customHeight="1" spans="1:22">
      <c r="A19" s="3">
        <v>17</v>
      </c>
      <c r="B19" s="7" t="s">
        <v>25</v>
      </c>
      <c r="C19" s="8" t="s">
        <v>108</v>
      </c>
      <c r="D19" s="7" t="s">
        <v>30</v>
      </c>
      <c r="E19" s="11">
        <v>40</v>
      </c>
      <c r="F19" s="11">
        <v>200</v>
      </c>
      <c r="G19" s="11">
        <v>147</v>
      </c>
      <c r="H19" s="10">
        <f t="shared" si="0"/>
        <v>114.333333333333</v>
      </c>
      <c r="I19" s="11">
        <v>36</v>
      </c>
      <c r="J19" s="11">
        <v>200</v>
      </c>
      <c r="K19" s="11">
        <v>36</v>
      </c>
      <c r="L19" s="11">
        <v>200</v>
      </c>
      <c r="M19" s="11">
        <v>190</v>
      </c>
      <c r="N19" s="4" t="s">
        <v>109</v>
      </c>
    </row>
    <row r="20" ht="23.1" customHeight="1" spans="1:22">
      <c r="A20" s="3">
        <v>18</v>
      </c>
      <c r="B20" s="7" t="s">
        <v>25</v>
      </c>
      <c r="C20" s="8" t="s">
        <v>34</v>
      </c>
      <c r="D20" s="7" t="s">
        <v>30</v>
      </c>
      <c r="E20" s="11">
        <v>36</v>
      </c>
      <c r="F20" s="11">
        <v>630</v>
      </c>
      <c r="G20" s="11">
        <v>463</v>
      </c>
      <c r="H20" s="10">
        <f t="shared" si="0"/>
        <v>360.111111111111</v>
      </c>
      <c r="I20" s="11">
        <v>17</v>
      </c>
      <c r="J20" s="11">
        <v>264</v>
      </c>
      <c r="K20" s="11">
        <v>17</v>
      </c>
      <c r="L20" s="11">
        <v>264</v>
      </c>
      <c r="M20" s="11">
        <v>251</v>
      </c>
    </row>
    <row r="21" ht="23.1" customHeight="1" spans="1:22">
      <c r="A21" s="3">
        <v>19</v>
      </c>
      <c r="B21" s="7" t="s">
        <v>25</v>
      </c>
      <c r="C21" s="8" t="s">
        <v>35</v>
      </c>
      <c r="D21" s="7" t="s">
        <v>30</v>
      </c>
      <c r="E21" s="11">
        <v>20</v>
      </c>
      <c r="F21" s="11">
        <v>200</v>
      </c>
      <c r="G21" s="11">
        <v>147</v>
      </c>
      <c r="H21" s="10">
        <f t="shared" si="0"/>
        <v>114.333333333333</v>
      </c>
      <c r="I21" s="11">
        <v>15</v>
      </c>
      <c r="J21" s="11">
        <v>200</v>
      </c>
      <c r="K21" s="11">
        <v>15</v>
      </c>
      <c r="L21" s="11">
        <v>200</v>
      </c>
      <c r="M21" s="11">
        <v>190</v>
      </c>
    </row>
    <row r="22" ht="23.1" customHeight="1" spans="1:22">
      <c r="B22" s="12"/>
      <c r="C22" s="13"/>
      <c r="D22" s="12"/>
      <c r="E22" s="14">
        <v>1328</v>
      </c>
      <c r="F22" s="14">
        <v>31010</v>
      </c>
      <c r="G22" s="14">
        <v>22792</v>
      </c>
      <c r="H22" s="10">
        <f t="shared" si="0"/>
        <v>17727.1111111111</v>
      </c>
      <c r="I22" s="14">
        <f t="shared" ref="I22:M22" si="2">SUM(I13:I21)</f>
        <v>583</v>
      </c>
      <c r="J22" s="14">
        <f t="shared" si="2"/>
        <v>13802</v>
      </c>
      <c r="K22" s="14">
        <f t="shared" si="2"/>
        <v>583</v>
      </c>
      <c r="L22" s="14">
        <f t="shared" si="2"/>
        <v>13802</v>
      </c>
      <c r="M22" s="14">
        <f t="shared" si="2"/>
        <v>13172</v>
      </c>
    </row>
    <row r="23" s="1" customFormat="1" ht="23.1" customHeight="1" spans="1:22">
      <c r="A23" s="15">
        <v>20</v>
      </c>
      <c r="B23" s="20" t="s">
        <v>36</v>
      </c>
      <c r="C23" s="17" t="s">
        <v>37</v>
      </c>
      <c r="D23" s="16" t="s">
        <v>13</v>
      </c>
      <c r="E23" s="18">
        <v>201</v>
      </c>
      <c r="F23" s="19">
        <f>2934-F24</f>
        <v>2414</v>
      </c>
      <c r="G23" s="19">
        <f>2156-G24</f>
        <v>1816</v>
      </c>
      <c r="H23" s="19">
        <f t="shared" si="0"/>
        <v>1412.44444444444</v>
      </c>
      <c r="I23" s="18">
        <f>82-I24</f>
        <v>67</v>
      </c>
      <c r="J23" s="19">
        <v>1258</v>
      </c>
      <c r="K23" s="18">
        <f>82-K24</f>
        <v>67</v>
      </c>
      <c r="L23" s="19">
        <v>1258</v>
      </c>
      <c r="M23" s="19">
        <v>1185</v>
      </c>
      <c r="N23" s="1" t="s">
        <v>110</v>
      </c>
      <c r="O23" s="1">
        <v>-200</v>
      </c>
      <c r="P23" s="1">
        <v>-200</v>
      </c>
      <c r="Q23" s="1">
        <f>L23/K23</f>
        <v>18.7761194029851</v>
      </c>
      <c r="R23" s="5">
        <v>-10</v>
      </c>
      <c r="S23" s="5">
        <f>E23/I23</f>
        <v>3</v>
      </c>
      <c r="T23" s="5">
        <f>J23/I23</f>
        <v>18.7761194029851</v>
      </c>
      <c r="U23" s="5">
        <v>-20</v>
      </c>
      <c r="V23" s="6">
        <v>-350</v>
      </c>
    </row>
    <row r="24" s="2" customFormat="1" ht="23.1" customHeight="1" spans="1:22">
      <c r="A24" s="21">
        <v>21</v>
      </c>
      <c r="B24" s="22" t="s">
        <v>36</v>
      </c>
      <c r="C24" s="23" t="s">
        <v>111</v>
      </c>
      <c r="D24" s="24" t="s">
        <v>30</v>
      </c>
      <c r="E24" s="25">
        <v>45</v>
      </c>
      <c r="F24" s="25">
        <v>520</v>
      </c>
      <c r="G24" s="25">
        <v>340</v>
      </c>
      <c r="H24" s="26">
        <f t="shared" si="0"/>
        <v>264.444444444444</v>
      </c>
      <c r="I24" s="25">
        <v>15</v>
      </c>
      <c r="J24" s="25">
        <v>202</v>
      </c>
      <c r="K24" s="25">
        <v>15</v>
      </c>
      <c r="L24" s="25">
        <v>202</v>
      </c>
      <c r="M24" s="25">
        <v>190</v>
      </c>
      <c r="N24" s="2" t="s">
        <v>112</v>
      </c>
      <c r="R24" s="5"/>
      <c r="S24" s="5"/>
      <c r="T24" s="5"/>
      <c r="U24" s="5"/>
      <c r="V24" s="6"/>
    </row>
    <row r="25" ht="23.1" customHeight="1" spans="1:22">
      <c r="A25" s="3">
        <v>22</v>
      </c>
      <c r="B25" s="27" t="s">
        <v>36</v>
      </c>
      <c r="C25" s="8" t="s">
        <v>38</v>
      </c>
      <c r="D25" s="7" t="s">
        <v>17</v>
      </c>
      <c r="E25" s="11">
        <v>66</v>
      </c>
      <c r="F25" s="11">
        <v>930</v>
      </c>
      <c r="G25" s="11">
        <v>684</v>
      </c>
      <c r="H25" s="10">
        <f t="shared" si="0"/>
        <v>532</v>
      </c>
      <c r="I25" s="11">
        <v>28</v>
      </c>
      <c r="J25" s="11">
        <v>436</v>
      </c>
      <c r="K25" s="11">
        <v>28</v>
      </c>
      <c r="L25" s="11">
        <v>436</v>
      </c>
      <c r="M25" s="11">
        <v>414</v>
      </c>
    </row>
    <row r="26" s="1" customFormat="1" ht="23.1" customHeight="1" spans="1:22">
      <c r="A26" s="15">
        <v>23</v>
      </c>
      <c r="B26" s="20" t="s">
        <v>36</v>
      </c>
      <c r="C26" s="17" t="s">
        <v>39</v>
      </c>
      <c r="D26" s="16" t="s">
        <v>17</v>
      </c>
      <c r="E26" s="18">
        <v>238</v>
      </c>
      <c r="F26" s="19">
        <v>1769</v>
      </c>
      <c r="G26" s="19">
        <v>1300</v>
      </c>
      <c r="H26" s="19">
        <f t="shared" si="0"/>
        <v>1011.11111111111</v>
      </c>
      <c r="I26" s="18">
        <v>73</v>
      </c>
      <c r="J26" s="18">
        <v>672</v>
      </c>
      <c r="K26" s="18">
        <v>73</v>
      </c>
      <c r="L26" s="18">
        <v>672</v>
      </c>
      <c r="M26" s="18">
        <v>636</v>
      </c>
      <c r="N26" s="1" t="s">
        <v>113</v>
      </c>
      <c r="O26" s="1">
        <v>-50</v>
      </c>
      <c r="P26" s="1">
        <v>-50</v>
      </c>
      <c r="Q26" s="1">
        <f>L26/K26</f>
        <v>9.20547945205479</v>
      </c>
      <c r="R26" s="5">
        <v>-5</v>
      </c>
      <c r="S26" s="5">
        <f>E26/I26</f>
        <v>3.26027397260274</v>
      </c>
      <c r="T26" s="5">
        <f>J26/I26</f>
        <v>9.20547945205479</v>
      </c>
      <c r="U26" s="5">
        <v>-10</v>
      </c>
      <c r="V26" s="6">
        <v>-100</v>
      </c>
    </row>
    <row r="27" s="1" customFormat="1" ht="23.1" customHeight="1" spans="1:22">
      <c r="A27" s="15">
        <v>24</v>
      </c>
      <c r="B27" s="20" t="s">
        <v>36</v>
      </c>
      <c r="C27" s="17" t="s">
        <v>40</v>
      </c>
      <c r="D27" s="16" t="s">
        <v>17</v>
      </c>
      <c r="E27" s="18">
        <v>148</v>
      </c>
      <c r="F27" s="19">
        <v>1470</v>
      </c>
      <c r="G27" s="19">
        <v>1080</v>
      </c>
      <c r="H27" s="19">
        <f t="shared" si="0"/>
        <v>840</v>
      </c>
      <c r="I27" s="18">
        <v>55</v>
      </c>
      <c r="J27" s="18">
        <v>560</v>
      </c>
      <c r="K27" s="18">
        <v>55</v>
      </c>
      <c r="L27" s="18">
        <v>560</v>
      </c>
      <c r="M27" s="18">
        <v>530</v>
      </c>
      <c r="N27" s="1" t="s">
        <v>114</v>
      </c>
      <c r="O27" s="1">
        <v>-40</v>
      </c>
      <c r="P27" s="1">
        <v>-40</v>
      </c>
      <c r="Q27" s="1">
        <f>L27/K27</f>
        <v>10.1818181818182</v>
      </c>
      <c r="R27" s="5">
        <v>-4</v>
      </c>
      <c r="S27" s="5">
        <f>E27/I27</f>
        <v>2.69090909090909</v>
      </c>
      <c r="T27" s="5">
        <f>J27/I27</f>
        <v>10.1818181818182</v>
      </c>
      <c r="U27" s="5">
        <v>-10</v>
      </c>
      <c r="V27" s="6">
        <v>-100</v>
      </c>
    </row>
    <row r="28" ht="23.1" customHeight="1" spans="1:22">
      <c r="A28" s="3">
        <v>25</v>
      </c>
      <c r="B28" s="27" t="s">
        <v>36</v>
      </c>
      <c r="C28" s="8" t="s">
        <v>41</v>
      </c>
      <c r="D28" s="7" t="s">
        <v>22</v>
      </c>
      <c r="E28" s="11">
        <v>235</v>
      </c>
      <c r="F28" s="9">
        <v>1673</v>
      </c>
      <c r="G28" s="9">
        <v>1230</v>
      </c>
      <c r="H28" s="10">
        <f t="shared" si="0"/>
        <v>956.666666666667</v>
      </c>
      <c r="I28" s="11">
        <v>63</v>
      </c>
      <c r="J28" s="11">
        <v>683</v>
      </c>
      <c r="K28" s="11">
        <v>63</v>
      </c>
      <c r="L28" s="11">
        <v>683</v>
      </c>
      <c r="M28" s="11">
        <v>649</v>
      </c>
    </row>
    <row r="29" s="1" customFormat="1" ht="23.1" customHeight="1" spans="1:22">
      <c r="A29" s="15">
        <v>26</v>
      </c>
      <c r="B29" s="16" t="s">
        <v>36</v>
      </c>
      <c r="C29" s="17" t="s">
        <v>42</v>
      </c>
      <c r="D29" s="16" t="s">
        <v>22</v>
      </c>
      <c r="E29" s="18">
        <v>136</v>
      </c>
      <c r="F29" s="18">
        <v>964</v>
      </c>
      <c r="G29" s="18">
        <v>709</v>
      </c>
      <c r="H29" s="19">
        <f t="shared" si="0"/>
        <v>551.444444444444</v>
      </c>
      <c r="I29" s="18">
        <v>32</v>
      </c>
      <c r="J29" s="18">
        <v>320</v>
      </c>
      <c r="K29" s="18">
        <v>32</v>
      </c>
      <c r="L29" s="18">
        <v>320</v>
      </c>
      <c r="M29" s="18">
        <v>301</v>
      </c>
      <c r="N29" s="1" t="s">
        <v>115</v>
      </c>
      <c r="O29" s="1">
        <v>-60</v>
      </c>
      <c r="P29" s="1">
        <v>-60</v>
      </c>
      <c r="Q29" s="1">
        <f>L29/K29</f>
        <v>10</v>
      </c>
      <c r="R29" s="5">
        <f>P29/Q29</f>
        <v>-6</v>
      </c>
      <c r="S29" s="5">
        <f>E29/I29</f>
        <v>4.25</v>
      </c>
      <c r="T29" s="5">
        <f>J29/I29</f>
        <v>10</v>
      </c>
      <c r="U29" s="5">
        <v>-10</v>
      </c>
      <c r="V29" s="6">
        <v>-100</v>
      </c>
    </row>
    <row r="30" ht="23.1" customHeight="1" spans="1:22">
      <c r="A30" s="3">
        <v>27</v>
      </c>
      <c r="B30" s="7" t="s">
        <v>36</v>
      </c>
      <c r="C30" s="8" t="s">
        <v>43</v>
      </c>
      <c r="D30" s="7" t="s">
        <v>22</v>
      </c>
      <c r="E30" s="11">
        <v>69</v>
      </c>
      <c r="F30" s="11">
        <v>710</v>
      </c>
      <c r="G30" s="11">
        <v>522</v>
      </c>
      <c r="H30" s="10">
        <f t="shared" si="0"/>
        <v>406</v>
      </c>
      <c r="I30" s="11">
        <v>27</v>
      </c>
      <c r="J30" s="11">
        <v>350</v>
      </c>
      <c r="K30" s="11">
        <v>27</v>
      </c>
      <c r="L30" s="11">
        <v>350</v>
      </c>
      <c r="M30" s="11">
        <v>333</v>
      </c>
    </row>
    <row r="31" ht="23.1" customHeight="1" spans="1:22">
      <c r="A31" s="3">
        <v>28</v>
      </c>
      <c r="B31" s="7" t="s">
        <v>36</v>
      </c>
      <c r="C31" s="8" t="s">
        <v>44</v>
      </c>
      <c r="D31" s="7" t="s">
        <v>22</v>
      </c>
      <c r="E31" s="11">
        <v>85</v>
      </c>
      <c r="F31" s="11">
        <v>650</v>
      </c>
      <c r="G31" s="11">
        <v>478</v>
      </c>
      <c r="H31" s="10">
        <f t="shared" si="0"/>
        <v>371.777777777778</v>
      </c>
      <c r="I31" s="11">
        <v>27</v>
      </c>
      <c r="J31" s="11">
        <v>350</v>
      </c>
      <c r="K31" s="11">
        <v>27</v>
      </c>
      <c r="L31" s="11">
        <v>350</v>
      </c>
      <c r="M31" s="11">
        <v>333</v>
      </c>
    </row>
    <row r="32" s="1" customFormat="1" ht="23.1" customHeight="1" spans="1:22">
      <c r="A32" s="15">
        <v>29</v>
      </c>
      <c r="B32" s="16" t="s">
        <v>36</v>
      </c>
      <c r="C32" s="17" t="s">
        <v>45</v>
      </c>
      <c r="D32" s="16" t="s">
        <v>22</v>
      </c>
      <c r="E32" s="18">
        <v>263</v>
      </c>
      <c r="F32" s="19">
        <v>1640</v>
      </c>
      <c r="G32" s="19">
        <v>1205</v>
      </c>
      <c r="H32" s="19">
        <f t="shared" si="0"/>
        <v>937.222222222222</v>
      </c>
      <c r="I32" s="18">
        <v>42</v>
      </c>
      <c r="J32" s="18">
        <v>350</v>
      </c>
      <c r="K32" s="18">
        <v>42</v>
      </c>
      <c r="L32" s="18">
        <v>350</v>
      </c>
      <c r="M32" s="18">
        <v>330</v>
      </c>
      <c r="N32" s="1" t="s">
        <v>113</v>
      </c>
      <c r="O32" s="1">
        <v>-50</v>
      </c>
      <c r="P32" s="1">
        <v>-50</v>
      </c>
      <c r="Q32" s="1">
        <f>L32/K32</f>
        <v>8.33333333333333</v>
      </c>
      <c r="R32" s="5">
        <f>P32/Q32</f>
        <v>-6</v>
      </c>
      <c r="S32" s="5">
        <f>E32/I32</f>
        <v>6.26190476190476</v>
      </c>
      <c r="T32" s="5">
        <f>J32/I32</f>
        <v>8.33333333333333</v>
      </c>
      <c r="U32" s="5">
        <v>-10</v>
      </c>
      <c r="V32" s="6">
        <v>-100</v>
      </c>
    </row>
    <row r="33" ht="23.1" customHeight="1" spans="1:22">
      <c r="A33" s="3">
        <v>30</v>
      </c>
      <c r="B33" s="7" t="s">
        <v>36</v>
      </c>
      <c r="C33" s="8" t="s">
        <v>46</v>
      </c>
      <c r="D33" s="7" t="s">
        <v>22</v>
      </c>
      <c r="E33" s="11">
        <v>250</v>
      </c>
      <c r="F33" s="9">
        <v>1700</v>
      </c>
      <c r="G33" s="9">
        <v>1250</v>
      </c>
      <c r="H33" s="10">
        <f t="shared" si="0"/>
        <v>972.222222222222</v>
      </c>
      <c r="I33" s="11">
        <v>42</v>
      </c>
      <c r="J33" s="11">
        <v>400</v>
      </c>
      <c r="K33" s="11">
        <v>42</v>
      </c>
      <c r="L33" s="11">
        <v>400</v>
      </c>
      <c r="M33" s="11">
        <v>380</v>
      </c>
    </row>
    <row r="34" ht="23.1" customHeight="1" spans="1:22">
      <c r="A34" s="3">
        <v>31</v>
      </c>
      <c r="B34" s="7" t="s">
        <v>36</v>
      </c>
      <c r="C34" s="8" t="s">
        <v>47</v>
      </c>
      <c r="D34" s="7" t="s">
        <v>30</v>
      </c>
      <c r="E34" s="11">
        <v>87</v>
      </c>
      <c r="F34" s="11">
        <v>688</v>
      </c>
      <c r="G34" s="11">
        <v>506</v>
      </c>
      <c r="H34" s="10">
        <f t="shared" si="0"/>
        <v>393.555555555556</v>
      </c>
      <c r="I34" s="11">
        <v>32</v>
      </c>
      <c r="J34" s="11">
        <v>265</v>
      </c>
      <c r="K34" s="11">
        <v>32</v>
      </c>
      <c r="L34" s="11">
        <v>265</v>
      </c>
      <c r="M34" s="11">
        <v>252</v>
      </c>
    </row>
    <row r="35" ht="23.1" customHeight="1" spans="1:22">
      <c r="B35" s="28"/>
      <c r="C35" s="28"/>
      <c r="D35" s="28"/>
      <c r="E35" s="14">
        <v>1823</v>
      </c>
      <c r="F35" s="14">
        <v>15128</v>
      </c>
      <c r="G35" s="14">
        <v>11119</v>
      </c>
      <c r="H35" s="10">
        <f t="shared" ref="H35:H43" si="3">G35*14/18</f>
        <v>8648.11111111111</v>
      </c>
      <c r="I35" s="29">
        <v>503</v>
      </c>
      <c r="J35" s="14">
        <f t="shared" ref="J35:M35" si="4">SUM(J23:J34)</f>
        <v>5846</v>
      </c>
      <c r="K35" s="14">
        <f t="shared" si="4"/>
        <v>503</v>
      </c>
      <c r="L35" s="14">
        <f t="shared" si="4"/>
        <v>5846</v>
      </c>
      <c r="M35" s="14">
        <f t="shared" si="4"/>
        <v>5533</v>
      </c>
    </row>
    <row r="36" s="1" customFormat="1" ht="23.1" customHeight="1" spans="1:22">
      <c r="A36" s="15">
        <v>32</v>
      </c>
      <c r="B36" s="16" t="s">
        <v>48</v>
      </c>
      <c r="C36" s="17" t="s">
        <v>49</v>
      </c>
      <c r="D36" s="16" t="s">
        <v>13</v>
      </c>
      <c r="E36" s="18">
        <v>733</v>
      </c>
      <c r="F36" s="19">
        <v>6860</v>
      </c>
      <c r="G36" s="19">
        <v>5000</v>
      </c>
      <c r="H36" s="19">
        <f t="shared" si="3"/>
        <v>3888.88888888889</v>
      </c>
      <c r="I36" s="18">
        <v>200</v>
      </c>
      <c r="J36" s="19">
        <v>2060</v>
      </c>
      <c r="K36" s="18">
        <v>200</v>
      </c>
      <c r="L36" s="19">
        <v>2060</v>
      </c>
      <c r="M36" s="19">
        <v>1942</v>
      </c>
      <c r="N36" s="1" t="s">
        <v>116</v>
      </c>
      <c r="O36" s="1">
        <v>-300</v>
      </c>
      <c r="P36" s="1">
        <v>-300</v>
      </c>
      <c r="Q36" s="1">
        <f t="shared" ref="Q36:Q38" si="5">L36/K36</f>
        <v>10.3</v>
      </c>
      <c r="R36" s="5">
        <v>-20</v>
      </c>
      <c r="S36" s="5">
        <f>E36/I36</f>
        <v>3.665</v>
      </c>
      <c r="T36" s="5">
        <f>J36/I36</f>
        <v>10.3</v>
      </c>
      <c r="U36" s="5">
        <v>-60</v>
      </c>
      <c r="V36" s="6">
        <v>-600</v>
      </c>
    </row>
    <row r="37" s="1" customFormat="1" ht="23.1" customHeight="1" spans="1:22">
      <c r="A37" s="15">
        <v>33</v>
      </c>
      <c r="B37" s="16" t="s">
        <v>48</v>
      </c>
      <c r="C37" s="17" t="s">
        <v>50</v>
      </c>
      <c r="D37" s="16" t="s">
        <v>13</v>
      </c>
      <c r="E37" s="18">
        <v>299</v>
      </c>
      <c r="F37" s="19">
        <v>3710</v>
      </c>
      <c r="G37" s="19">
        <v>2727</v>
      </c>
      <c r="H37" s="19">
        <f t="shared" si="3"/>
        <v>2121</v>
      </c>
      <c r="I37" s="18">
        <v>150</v>
      </c>
      <c r="J37" s="19">
        <v>1000</v>
      </c>
      <c r="K37" s="18">
        <v>150</v>
      </c>
      <c r="L37" s="19">
        <v>1000</v>
      </c>
      <c r="M37" s="19">
        <v>925</v>
      </c>
      <c r="N37" s="1" t="s">
        <v>117</v>
      </c>
      <c r="O37" s="1">
        <v>-500</v>
      </c>
      <c r="P37" s="1">
        <v>-500</v>
      </c>
      <c r="Q37" s="1">
        <f t="shared" si="5"/>
        <v>6.66666666666667</v>
      </c>
      <c r="R37" s="5">
        <v>-30</v>
      </c>
      <c r="S37" s="5">
        <f>E37/I37</f>
        <v>1.99333333333333</v>
      </c>
      <c r="T37" s="5">
        <f>J37/I37</f>
        <v>6.66666666666667</v>
      </c>
      <c r="U37" s="5">
        <v>-59</v>
      </c>
      <c r="V37" s="6">
        <v>-1000</v>
      </c>
    </row>
    <row r="38" s="1" customFormat="1" ht="23.1" customHeight="1" spans="1:22">
      <c r="A38" s="15">
        <v>34</v>
      </c>
      <c r="B38" s="16" t="s">
        <v>48</v>
      </c>
      <c r="C38" s="17" t="s">
        <v>51</v>
      </c>
      <c r="D38" s="16" t="s">
        <v>13</v>
      </c>
      <c r="E38" s="18">
        <v>416</v>
      </c>
      <c r="F38" s="19">
        <v>3710</v>
      </c>
      <c r="G38" s="19">
        <v>2727</v>
      </c>
      <c r="H38" s="19">
        <f t="shared" si="3"/>
        <v>2121</v>
      </c>
      <c r="I38" s="18">
        <v>150</v>
      </c>
      <c r="J38" s="19">
        <v>1350</v>
      </c>
      <c r="K38" s="18">
        <v>150</v>
      </c>
      <c r="L38" s="19">
        <v>1350</v>
      </c>
      <c r="M38" s="19">
        <v>1275</v>
      </c>
      <c r="N38" s="1" t="s">
        <v>118</v>
      </c>
      <c r="O38" s="1">
        <v>-150</v>
      </c>
      <c r="P38" s="1">
        <v>-150</v>
      </c>
      <c r="Q38" s="1">
        <f t="shared" si="5"/>
        <v>9</v>
      </c>
      <c r="R38" s="5">
        <v>-10</v>
      </c>
      <c r="S38" s="5">
        <f>E38/I38</f>
        <v>2.77333333333333</v>
      </c>
      <c r="T38" s="5">
        <f>J38/I38</f>
        <v>9</v>
      </c>
      <c r="U38" s="5">
        <v>-27</v>
      </c>
      <c r="V38" s="6">
        <v>-300</v>
      </c>
    </row>
    <row r="39" ht="23.1" customHeight="1" spans="1:22">
      <c r="A39" s="3">
        <v>35</v>
      </c>
      <c r="B39" s="7" t="s">
        <v>48</v>
      </c>
      <c r="C39" s="8" t="s">
        <v>52</v>
      </c>
      <c r="D39" s="7" t="s">
        <v>17</v>
      </c>
      <c r="E39" s="11">
        <v>122</v>
      </c>
      <c r="F39" s="9">
        <v>3360</v>
      </c>
      <c r="G39" s="9">
        <v>2470</v>
      </c>
      <c r="H39" s="10">
        <f t="shared" si="3"/>
        <v>1921.11111111111</v>
      </c>
      <c r="I39" s="11">
        <v>62</v>
      </c>
      <c r="J39" s="9">
        <v>1400</v>
      </c>
      <c r="K39" s="11">
        <v>62</v>
      </c>
      <c r="L39" s="9">
        <v>1400</v>
      </c>
      <c r="M39" s="9">
        <v>1330</v>
      </c>
    </row>
    <row r="40" s="1" customFormat="1" ht="23.1" customHeight="1" spans="1:22">
      <c r="A40" s="15">
        <v>36</v>
      </c>
      <c r="B40" s="16" t="s">
        <v>48</v>
      </c>
      <c r="C40" s="17" t="s">
        <v>53</v>
      </c>
      <c r="D40" s="16" t="s">
        <v>22</v>
      </c>
      <c r="E40" s="18">
        <v>136</v>
      </c>
      <c r="F40" s="19">
        <v>1820</v>
      </c>
      <c r="G40" s="19">
        <v>1338</v>
      </c>
      <c r="H40" s="19">
        <f t="shared" si="3"/>
        <v>1040.66666666667</v>
      </c>
      <c r="I40" s="18">
        <v>64</v>
      </c>
      <c r="J40" s="18">
        <v>682</v>
      </c>
      <c r="K40" s="18">
        <v>64</v>
      </c>
      <c r="L40" s="18">
        <v>682</v>
      </c>
      <c r="M40" s="18">
        <v>645</v>
      </c>
      <c r="N40" s="1" t="s">
        <v>113</v>
      </c>
      <c r="O40" s="1">
        <v>-50</v>
      </c>
      <c r="P40" s="1">
        <v>-50</v>
      </c>
      <c r="Q40" s="1">
        <f>L40/K40</f>
        <v>10.65625</v>
      </c>
      <c r="R40" s="5">
        <v>-4</v>
      </c>
      <c r="S40" s="5">
        <f>E40/I40</f>
        <v>2.125</v>
      </c>
      <c r="T40" s="5">
        <f>J40/I40</f>
        <v>10.65625</v>
      </c>
      <c r="U40" s="5">
        <v>-8</v>
      </c>
      <c r="V40" s="6">
        <v>-100</v>
      </c>
    </row>
    <row r="41" ht="23.1" customHeight="1" spans="1:22">
      <c r="A41" s="3">
        <v>37</v>
      </c>
      <c r="B41" s="7" t="s">
        <v>48</v>
      </c>
      <c r="C41" s="8" t="s">
        <v>54</v>
      </c>
      <c r="D41" s="7" t="s">
        <v>22</v>
      </c>
      <c r="E41" s="11">
        <v>50</v>
      </c>
      <c r="F41" s="11">
        <v>700</v>
      </c>
      <c r="G41" s="11">
        <v>515</v>
      </c>
      <c r="H41" s="10">
        <f t="shared" si="3"/>
        <v>400.555555555556</v>
      </c>
      <c r="I41" s="11">
        <v>42</v>
      </c>
      <c r="J41" s="11">
        <v>500</v>
      </c>
      <c r="K41" s="11">
        <v>42</v>
      </c>
      <c r="L41" s="11">
        <v>500</v>
      </c>
      <c r="M41" s="11">
        <v>475</v>
      </c>
    </row>
    <row r="42" ht="23.1" customHeight="1" spans="1:22">
      <c r="A42" s="3">
        <v>38</v>
      </c>
      <c r="B42" s="7" t="s">
        <v>48</v>
      </c>
      <c r="C42" s="8" t="s">
        <v>55</v>
      </c>
      <c r="D42" s="7" t="s">
        <v>22</v>
      </c>
      <c r="E42" s="11">
        <v>181</v>
      </c>
      <c r="F42" s="9">
        <v>1680</v>
      </c>
      <c r="G42" s="9">
        <v>1235</v>
      </c>
      <c r="H42" s="10">
        <f t="shared" si="3"/>
        <v>960.555555555556</v>
      </c>
      <c r="I42" s="11">
        <v>80</v>
      </c>
      <c r="J42" s="11">
        <v>700</v>
      </c>
      <c r="K42" s="11">
        <v>80</v>
      </c>
      <c r="L42" s="11">
        <v>700</v>
      </c>
      <c r="M42" s="11">
        <v>665</v>
      </c>
    </row>
    <row r="43" ht="23.1" customHeight="1" spans="1:22">
      <c r="A43" s="3">
        <v>39</v>
      </c>
      <c r="B43" s="7" t="s">
        <v>48</v>
      </c>
      <c r="C43" s="8" t="s">
        <v>56</v>
      </c>
      <c r="D43" s="7" t="s">
        <v>30</v>
      </c>
      <c r="E43" s="11">
        <v>81</v>
      </c>
      <c r="F43" s="11">
        <v>700</v>
      </c>
      <c r="G43" s="11">
        <v>515</v>
      </c>
      <c r="H43" s="10">
        <f t="shared" si="3"/>
        <v>400.555555555556</v>
      </c>
      <c r="I43" s="11">
        <v>42</v>
      </c>
      <c r="J43" s="11">
        <v>300</v>
      </c>
      <c r="K43" s="11">
        <v>42</v>
      </c>
      <c r="L43" s="11">
        <v>300</v>
      </c>
      <c r="M43" s="11">
        <v>285</v>
      </c>
    </row>
    <row r="44" ht="23.1" customHeight="1" spans="1:22">
      <c r="A44" s="3">
        <v>40</v>
      </c>
      <c r="B44" s="7" t="s">
        <v>48</v>
      </c>
      <c r="C44" s="8" t="s">
        <v>119</v>
      </c>
      <c r="D44" s="7" t="s">
        <v>30</v>
      </c>
      <c r="E44" s="30">
        <v>19.2857142857143</v>
      </c>
      <c r="F44" s="30">
        <v>300</v>
      </c>
      <c r="G44" s="30">
        <v>220.714285714286</v>
      </c>
      <c r="H44" s="10">
        <v>171.666666666667</v>
      </c>
      <c r="I44" s="31">
        <v>10.7142857142857</v>
      </c>
      <c r="J44" s="31">
        <v>128.571428571429</v>
      </c>
      <c r="K44" s="31">
        <v>10.7142857142857</v>
      </c>
      <c r="L44" s="31">
        <v>128.571428571429</v>
      </c>
      <c r="M44" s="31">
        <v>122.142857142857</v>
      </c>
    </row>
    <row r="45" ht="23.1" customHeight="1" spans="1:22">
      <c r="A45" s="3">
        <v>41</v>
      </c>
      <c r="B45" s="7" t="s">
        <v>48</v>
      </c>
      <c r="C45" s="8" t="s">
        <v>120</v>
      </c>
      <c r="D45" s="7" t="s">
        <v>30</v>
      </c>
      <c r="E45" s="30">
        <v>25.7142857142857</v>
      </c>
      <c r="F45" s="30">
        <v>400</v>
      </c>
      <c r="G45" s="30">
        <v>294.285714285714</v>
      </c>
      <c r="H45" s="10">
        <v>228.888888888889</v>
      </c>
      <c r="I45" s="31">
        <v>14.2857142857143</v>
      </c>
      <c r="J45" s="31">
        <v>171.428571428571</v>
      </c>
      <c r="K45" s="31">
        <v>14.2857142857143</v>
      </c>
      <c r="L45" s="31">
        <v>171.428571428571</v>
      </c>
      <c r="M45" s="31">
        <v>162.857142857143</v>
      </c>
    </row>
    <row r="46" ht="23.1" customHeight="1" spans="1:22">
      <c r="B46" s="12"/>
      <c r="C46" s="12"/>
      <c r="D46" s="12"/>
      <c r="E46" s="14">
        <v>2063</v>
      </c>
      <c r="F46" s="14">
        <v>23240</v>
      </c>
      <c r="G46" s="14">
        <v>17039</v>
      </c>
      <c r="H46" s="10">
        <f t="shared" ref="H46:H56" si="6">G46*14/18</f>
        <v>13252.5555555556</v>
      </c>
      <c r="I46" s="29">
        <v>815</v>
      </c>
      <c r="J46" s="14">
        <f t="shared" ref="J46:M46" si="7">SUM(J36:J45)</f>
        <v>8292</v>
      </c>
      <c r="K46" s="14">
        <f t="shared" si="7"/>
        <v>815</v>
      </c>
      <c r="L46" s="14">
        <f t="shared" si="7"/>
        <v>8292</v>
      </c>
      <c r="M46" s="14">
        <f t="shared" si="7"/>
        <v>7827</v>
      </c>
    </row>
    <row r="47" ht="23.1" customHeight="1" spans="1:22">
      <c r="A47" s="3">
        <v>42</v>
      </c>
      <c r="B47" s="7" t="s">
        <v>58</v>
      </c>
      <c r="C47" s="8" t="s">
        <v>59</v>
      </c>
      <c r="D47" s="7" t="s">
        <v>13</v>
      </c>
      <c r="E47" s="32">
        <v>581</v>
      </c>
      <c r="F47" s="33">
        <v>5576</v>
      </c>
      <c r="G47" s="33">
        <v>4098</v>
      </c>
      <c r="H47" s="10">
        <f t="shared" si="6"/>
        <v>3187.33333333333</v>
      </c>
      <c r="I47" s="32">
        <v>239</v>
      </c>
      <c r="J47" s="33">
        <v>2304</v>
      </c>
      <c r="K47" s="32">
        <v>239</v>
      </c>
      <c r="L47" s="33">
        <v>2304</v>
      </c>
      <c r="M47" s="33">
        <v>2189</v>
      </c>
    </row>
    <row r="48" ht="23.1" customHeight="1" spans="1:22">
      <c r="A48" s="3">
        <v>43</v>
      </c>
      <c r="B48" s="7" t="s">
        <v>58</v>
      </c>
      <c r="C48" s="34" t="s">
        <v>60</v>
      </c>
      <c r="D48" s="7" t="s">
        <v>17</v>
      </c>
      <c r="E48" s="32">
        <v>207</v>
      </c>
      <c r="F48" s="33">
        <v>2083</v>
      </c>
      <c r="G48" s="33">
        <v>1531</v>
      </c>
      <c r="H48" s="10">
        <f t="shared" si="6"/>
        <v>1190.77777777778</v>
      </c>
      <c r="I48" s="32">
        <v>85</v>
      </c>
      <c r="J48" s="32">
        <v>850</v>
      </c>
      <c r="K48" s="32">
        <v>85</v>
      </c>
      <c r="L48" s="32">
        <v>850</v>
      </c>
      <c r="M48" s="32">
        <v>808</v>
      </c>
    </row>
    <row r="49" s="2" customFormat="1" ht="23.1" customHeight="1" spans="1:22">
      <c r="A49" s="21">
        <v>44</v>
      </c>
      <c r="B49" s="24" t="s">
        <v>58</v>
      </c>
      <c r="C49" s="23" t="s">
        <v>61</v>
      </c>
      <c r="D49" s="24" t="s">
        <v>22</v>
      </c>
      <c r="E49" s="25">
        <v>120</v>
      </c>
      <c r="F49" s="26">
        <v>1225</v>
      </c>
      <c r="G49" s="26">
        <v>1103</v>
      </c>
      <c r="H49" s="26">
        <f t="shared" si="6"/>
        <v>857.888888888889</v>
      </c>
      <c r="I49" s="25">
        <v>50</v>
      </c>
      <c r="J49" s="25">
        <v>500</v>
      </c>
      <c r="K49" s="25">
        <v>50</v>
      </c>
      <c r="L49" s="25">
        <v>500</v>
      </c>
      <c r="M49" s="25">
        <v>470</v>
      </c>
      <c r="N49" s="2" t="s">
        <v>121</v>
      </c>
      <c r="O49" s="2">
        <v>-100</v>
      </c>
      <c r="P49" s="2">
        <v>-100</v>
      </c>
      <c r="Q49" s="1">
        <f>L49/K49</f>
        <v>10</v>
      </c>
      <c r="R49" s="5">
        <f>P49/Q49</f>
        <v>-10</v>
      </c>
      <c r="S49" s="5">
        <f>E49/I49</f>
        <v>2.4</v>
      </c>
      <c r="T49" s="5">
        <f>J49/I49</f>
        <v>10</v>
      </c>
      <c r="U49" s="5">
        <f>V49/Q49</f>
        <v>-20</v>
      </c>
      <c r="V49" s="6">
        <v>-200</v>
      </c>
    </row>
    <row r="50" ht="23.1" customHeight="1" spans="1:22">
      <c r="A50" s="3">
        <v>45</v>
      </c>
      <c r="B50" s="7" t="s">
        <v>58</v>
      </c>
      <c r="C50" s="8" t="s">
        <v>62</v>
      </c>
      <c r="D50" s="7" t="s">
        <v>22</v>
      </c>
      <c r="E50" s="32">
        <v>81</v>
      </c>
      <c r="F50" s="33">
        <v>1260</v>
      </c>
      <c r="G50" s="32">
        <v>926</v>
      </c>
      <c r="H50" s="10">
        <f t="shared" si="6"/>
        <v>720.222222222222</v>
      </c>
      <c r="I50" s="32">
        <v>32</v>
      </c>
      <c r="J50" s="32">
        <v>500</v>
      </c>
      <c r="K50" s="32">
        <v>32</v>
      </c>
      <c r="L50" s="32">
        <v>500</v>
      </c>
      <c r="M50" s="32">
        <v>475</v>
      </c>
    </row>
    <row r="51" ht="23.1" customHeight="1" spans="1:22">
      <c r="A51" s="3">
        <v>46</v>
      </c>
      <c r="B51" s="7" t="s">
        <v>58</v>
      </c>
      <c r="C51" s="8" t="s">
        <v>63</v>
      </c>
      <c r="D51" s="7" t="s">
        <v>22</v>
      </c>
      <c r="E51" s="32">
        <v>73</v>
      </c>
      <c r="F51" s="32">
        <v>817</v>
      </c>
      <c r="G51" s="32">
        <v>600</v>
      </c>
      <c r="H51" s="10">
        <f t="shared" si="6"/>
        <v>466.666666666667</v>
      </c>
      <c r="I51" s="32">
        <v>32</v>
      </c>
      <c r="J51" s="32">
        <v>350</v>
      </c>
      <c r="K51" s="32">
        <v>32</v>
      </c>
      <c r="L51" s="32">
        <v>350</v>
      </c>
      <c r="M51" s="32">
        <v>333</v>
      </c>
    </row>
    <row r="52" s="2" customFormat="1" ht="23.1" customHeight="1" spans="1:22">
      <c r="A52" s="21">
        <v>47</v>
      </c>
      <c r="B52" s="24" t="s">
        <v>58</v>
      </c>
      <c r="C52" s="23" t="s">
        <v>122</v>
      </c>
      <c r="D52" s="24" t="s">
        <v>22</v>
      </c>
      <c r="E52" s="25">
        <v>110</v>
      </c>
      <c r="F52" s="25">
        <v>1000</v>
      </c>
      <c r="G52" s="25">
        <v>700</v>
      </c>
      <c r="H52" s="26">
        <f t="shared" si="6"/>
        <v>544.444444444444</v>
      </c>
      <c r="I52" s="25">
        <v>55</v>
      </c>
      <c r="J52" s="25">
        <v>500</v>
      </c>
      <c r="K52" s="25">
        <v>55</v>
      </c>
      <c r="L52" s="25">
        <v>500</v>
      </c>
      <c r="M52" s="25">
        <v>490</v>
      </c>
      <c r="N52" s="2" t="s">
        <v>123</v>
      </c>
      <c r="O52" s="2">
        <v>200</v>
      </c>
      <c r="P52" s="2">
        <v>205</v>
      </c>
      <c r="Q52" s="1">
        <f>L52/K52</f>
        <v>9.09090909090909</v>
      </c>
      <c r="R52" s="5">
        <v>23</v>
      </c>
      <c r="S52" s="5">
        <f>E52/I52</f>
        <v>2</v>
      </c>
      <c r="T52" s="5">
        <f>J52/I52</f>
        <v>9.09090909090909</v>
      </c>
      <c r="U52" s="5">
        <f>V52/Q52</f>
        <v>44</v>
      </c>
      <c r="V52" s="6">
        <v>400</v>
      </c>
    </row>
    <row r="53" s="2" customFormat="1" ht="23.1" customHeight="1" spans="1:22">
      <c r="A53" s="21">
        <v>48</v>
      </c>
      <c r="B53" s="24" t="s">
        <v>58</v>
      </c>
      <c r="C53" s="23" t="s">
        <v>124</v>
      </c>
      <c r="D53" s="24" t="s">
        <v>22</v>
      </c>
      <c r="E53" s="25">
        <v>110</v>
      </c>
      <c r="F53" s="25">
        <v>1000</v>
      </c>
      <c r="G53" s="25">
        <v>700</v>
      </c>
      <c r="H53" s="26">
        <f t="shared" si="6"/>
        <v>544.444444444444</v>
      </c>
      <c r="I53" s="25">
        <v>55</v>
      </c>
      <c r="J53" s="25">
        <v>500</v>
      </c>
      <c r="K53" s="25">
        <v>55</v>
      </c>
      <c r="L53" s="25">
        <v>500</v>
      </c>
      <c r="M53" s="25">
        <v>494</v>
      </c>
      <c r="N53" s="2">
        <v>500</v>
      </c>
      <c r="O53" s="2">
        <v>500</v>
      </c>
      <c r="P53" s="2">
        <v>495</v>
      </c>
      <c r="Q53" s="1">
        <f>L53/K53</f>
        <v>9.09090909090909</v>
      </c>
      <c r="R53" s="5">
        <v>55</v>
      </c>
      <c r="S53" s="5">
        <f>E53/I53</f>
        <v>2</v>
      </c>
      <c r="T53" s="5">
        <f>J53/I53</f>
        <v>9.09090909090909</v>
      </c>
      <c r="U53" s="5">
        <f>V53/Q53</f>
        <v>110</v>
      </c>
      <c r="V53" s="6">
        <v>1000</v>
      </c>
    </row>
    <row r="54" ht="23.1" customHeight="1" spans="1:22">
      <c r="A54" s="3">
        <v>49</v>
      </c>
      <c r="B54" s="7" t="s">
        <v>58</v>
      </c>
      <c r="C54" s="8" t="s">
        <v>65</v>
      </c>
      <c r="D54" s="7" t="s">
        <v>30</v>
      </c>
      <c r="E54" s="32">
        <v>127</v>
      </c>
      <c r="F54" s="32">
        <v>980</v>
      </c>
      <c r="G54" s="32">
        <v>720</v>
      </c>
      <c r="H54" s="10">
        <f t="shared" si="6"/>
        <v>560</v>
      </c>
      <c r="I54" s="32">
        <v>52</v>
      </c>
      <c r="J54" s="32">
        <v>400</v>
      </c>
      <c r="K54" s="32">
        <v>52</v>
      </c>
      <c r="L54" s="32">
        <v>400</v>
      </c>
      <c r="M54" s="32">
        <v>380</v>
      </c>
    </row>
    <row r="55" ht="23.1" customHeight="1" spans="1:22">
      <c r="A55" s="3">
        <v>50</v>
      </c>
      <c r="B55" s="7" t="s">
        <v>58</v>
      </c>
      <c r="C55" s="8" t="s">
        <v>66</v>
      </c>
      <c r="D55" s="7" t="s">
        <v>30</v>
      </c>
      <c r="E55" s="32">
        <v>44</v>
      </c>
      <c r="F55" s="32">
        <v>490</v>
      </c>
      <c r="G55" s="32">
        <v>360</v>
      </c>
      <c r="H55" s="10">
        <f t="shared" si="6"/>
        <v>280</v>
      </c>
      <c r="I55" s="32">
        <v>20</v>
      </c>
      <c r="J55" s="32">
        <v>200</v>
      </c>
      <c r="K55" s="32">
        <v>20</v>
      </c>
      <c r="L55" s="32">
        <v>200</v>
      </c>
      <c r="M55" s="32">
        <v>190</v>
      </c>
    </row>
    <row r="56" ht="23.1" customHeight="1" spans="1:22">
      <c r="B56" s="12"/>
      <c r="C56" s="12"/>
      <c r="D56" s="35" t="s">
        <v>125</v>
      </c>
      <c r="E56" s="14">
        <f>SUM(E47:E55)</f>
        <v>1453</v>
      </c>
      <c r="F56" s="14">
        <f>SUM(F47:F55)</f>
        <v>14431</v>
      </c>
      <c r="G56" s="14">
        <f>SUM(G47:G55)</f>
        <v>10738</v>
      </c>
      <c r="H56" s="10">
        <f t="shared" si="6"/>
        <v>8351.77777777778</v>
      </c>
      <c r="I56" s="29">
        <f>SUM(I47:I55)</f>
        <v>620</v>
      </c>
      <c r="J56" s="14">
        <f t="shared" ref="J56:M56" si="8">SUM(J47:J55)</f>
        <v>6104</v>
      </c>
      <c r="K56" s="14">
        <f t="shared" si="8"/>
        <v>620</v>
      </c>
      <c r="L56" s="14">
        <f t="shared" si="8"/>
        <v>6104</v>
      </c>
      <c r="M56" s="14">
        <f t="shared" si="8"/>
        <v>5829</v>
      </c>
      <c r="O56" s="36"/>
      <c r="R56" s="37"/>
      <c r="S56" s="37"/>
      <c r="T56" s="37"/>
      <c r="U56" s="37"/>
    </row>
    <row r="57" ht="23.1" customHeight="1" spans="1:22">
      <c r="A57" s="3">
        <v>51</v>
      </c>
      <c r="B57" s="7" t="s">
        <v>67</v>
      </c>
      <c r="C57" s="38" t="s">
        <v>68</v>
      </c>
      <c r="D57" s="7" t="s">
        <v>13</v>
      </c>
      <c r="E57" s="39">
        <v>450</v>
      </c>
      <c r="F57" s="40">
        <v>6270</v>
      </c>
      <c r="G57" s="40">
        <v>4608</v>
      </c>
      <c r="H57" s="10">
        <f t="shared" ref="H57:H64" si="9">G57*14/18</f>
        <v>3584</v>
      </c>
      <c r="I57" s="39">
        <v>210</v>
      </c>
      <c r="J57" s="40">
        <v>3050</v>
      </c>
      <c r="K57" s="39">
        <v>210</v>
      </c>
      <c r="L57" s="40">
        <v>3050</v>
      </c>
      <c r="M57" s="40">
        <v>2898</v>
      </c>
    </row>
    <row r="58" ht="23.1" customHeight="1" spans="1:22">
      <c r="A58" s="3">
        <v>52</v>
      </c>
      <c r="B58" s="7" t="s">
        <v>67</v>
      </c>
      <c r="C58" s="38" t="s">
        <v>69</v>
      </c>
      <c r="D58" s="7" t="s">
        <v>13</v>
      </c>
      <c r="E58" s="39">
        <v>450</v>
      </c>
      <c r="F58" s="40">
        <v>6270</v>
      </c>
      <c r="G58" s="40">
        <v>4608</v>
      </c>
      <c r="H58" s="10">
        <f t="shared" si="9"/>
        <v>3584</v>
      </c>
      <c r="I58" s="39">
        <v>210</v>
      </c>
      <c r="J58" s="40">
        <v>3050</v>
      </c>
      <c r="K58" s="39">
        <v>210</v>
      </c>
      <c r="L58" s="40">
        <v>3050</v>
      </c>
      <c r="M58" s="40">
        <v>2898</v>
      </c>
    </row>
    <row r="59" ht="23.1" customHeight="1" spans="1:22">
      <c r="A59" s="3">
        <v>53</v>
      </c>
      <c r="B59" s="7" t="s">
        <v>67</v>
      </c>
      <c r="C59" s="38" t="s">
        <v>70</v>
      </c>
      <c r="D59" s="7" t="s">
        <v>13</v>
      </c>
      <c r="E59" s="39">
        <v>520</v>
      </c>
      <c r="F59" s="40">
        <v>7249</v>
      </c>
      <c r="G59" s="40">
        <v>5327</v>
      </c>
      <c r="H59" s="10">
        <f t="shared" si="9"/>
        <v>4143.22222222222</v>
      </c>
      <c r="I59" s="39">
        <v>200</v>
      </c>
      <c r="J59" s="40">
        <v>2534</v>
      </c>
      <c r="K59" s="39">
        <v>200</v>
      </c>
      <c r="L59" s="40">
        <v>2534</v>
      </c>
      <c r="M59" s="40">
        <v>2400</v>
      </c>
    </row>
    <row r="60" ht="23.1" customHeight="1" spans="1:22">
      <c r="A60" s="3">
        <v>54</v>
      </c>
      <c r="B60" s="7" t="s">
        <v>67</v>
      </c>
      <c r="C60" s="38" t="s">
        <v>71</v>
      </c>
      <c r="D60" s="7" t="s">
        <v>13</v>
      </c>
      <c r="E60" s="39">
        <v>700</v>
      </c>
      <c r="F60" s="40">
        <v>10281</v>
      </c>
      <c r="G60" s="40">
        <v>7687</v>
      </c>
      <c r="H60" s="10">
        <f t="shared" si="9"/>
        <v>5978.77777777778</v>
      </c>
      <c r="I60" s="39">
        <v>320</v>
      </c>
      <c r="J60" s="40">
        <v>3650</v>
      </c>
      <c r="K60" s="39">
        <v>320</v>
      </c>
      <c r="L60" s="40">
        <v>3650</v>
      </c>
      <c r="M60" s="40">
        <v>3613</v>
      </c>
    </row>
    <row r="61" ht="23.1" customHeight="1" spans="1:22">
      <c r="A61" s="3">
        <v>55</v>
      </c>
      <c r="B61" s="7" t="s">
        <v>67</v>
      </c>
      <c r="C61" s="38" t="s">
        <v>72</v>
      </c>
      <c r="D61" s="7" t="s">
        <v>22</v>
      </c>
      <c r="E61" s="39">
        <v>120</v>
      </c>
      <c r="F61" s="40">
        <v>1670</v>
      </c>
      <c r="G61" s="40">
        <v>1227</v>
      </c>
      <c r="H61" s="10">
        <f t="shared" si="9"/>
        <v>954.333333333333</v>
      </c>
      <c r="I61" s="39">
        <v>40</v>
      </c>
      <c r="J61" s="39">
        <v>480</v>
      </c>
      <c r="K61" s="39">
        <v>40</v>
      </c>
      <c r="L61" s="39">
        <v>480</v>
      </c>
      <c r="M61" s="39">
        <v>456</v>
      </c>
    </row>
    <row r="62" ht="23.1" customHeight="1" spans="1:22">
      <c r="A62" s="3">
        <v>56</v>
      </c>
      <c r="B62" s="7" t="s">
        <v>67</v>
      </c>
      <c r="C62" s="38" t="s">
        <v>73</v>
      </c>
      <c r="D62" s="7" t="s">
        <v>22</v>
      </c>
      <c r="E62" s="39">
        <v>72</v>
      </c>
      <c r="F62" s="40">
        <v>1000</v>
      </c>
      <c r="G62" s="39">
        <v>735</v>
      </c>
      <c r="H62" s="10">
        <f t="shared" si="9"/>
        <v>571.666666666667</v>
      </c>
      <c r="I62" s="39">
        <v>40</v>
      </c>
      <c r="J62" s="39">
        <v>400</v>
      </c>
      <c r="K62" s="39">
        <v>40</v>
      </c>
      <c r="L62" s="39">
        <v>400</v>
      </c>
      <c r="M62" s="39">
        <v>380</v>
      </c>
    </row>
    <row r="63" ht="23.1" customHeight="1" spans="1:22">
      <c r="A63" s="3">
        <v>57</v>
      </c>
      <c r="B63" s="7" t="s">
        <v>67</v>
      </c>
      <c r="C63" s="38" t="s">
        <v>74</v>
      </c>
      <c r="D63" s="7" t="s">
        <v>22</v>
      </c>
      <c r="E63" s="39">
        <v>100</v>
      </c>
      <c r="F63" s="40">
        <v>1390</v>
      </c>
      <c r="G63" s="40">
        <v>1022</v>
      </c>
      <c r="H63" s="10">
        <f t="shared" si="9"/>
        <v>794.888888888889</v>
      </c>
      <c r="I63" s="39">
        <v>35</v>
      </c>
      <c r="J63" s="39">
        <v>410</v>
      </c>
      <c r="K63" s="39">
        <v>35</v>
      </c>
      <c r="L63" s="39">
        <v>410</v>
      </c>
      <c r="M63" s="39">
        <v>390</v>
      </c>
    </row>
    <row r="64" ht="23.1" customHeight="1" spans="1:22">
      <c r="A64" s="3">
        <v>58</v>
      </c>
      <c r="B64" s="7" t="s">
        <v>67</v>
      </c>
      <c r="C64" s="38" t="s">
        <v>75</v>
      </c>
      <c r="D64" s="7" t="s">
        <v>30</v>
      </c>
      <c r="E64" s="39">
        <v>50</v>
      </c>
      <c r="F64" s="39">
        <v>700</v>
      </c>
      <c r="G64" s="39">
        <v>515</v>
      </c>
      <c r="H64" s="10">
        <f t="shared" si="9"/>
        <v>400.555555555556</v>
      </c>
      <c r="I64" s="39">
        <v>30</v>
      </c>
      <c r="J64" s="39">
        <v>300</v>
      </c>
      <c r="K64" s="39">
        <v>30</v>
      </c>
      <c r="L64" s="39">
        <v>300</v>
      </c>
      <c r="M64" s="39">
        <v>285</v>
      </c>
    </row>
    <row r="65" ht="23.1" customHeight="1" spans="1:22">
      <c r="A65" s="3">
        <v>59</v>
      </c>
      <c r="B65" s="7" t="s">
        <v>67</v>
      </c>
      <c r="C65" s="38" t="s">
        <v>126</v>
      </c>
      <c r="D65" s="7" t="s">
        <v>30</v>
      </c>
      <c r="E65" s="39">
        <v>60</v>
      </c>
      <c r="F65" s="39">
        <v>840</v>
      </c>
      <c r="G65" s="39">
        <v>617</v>
      </c>
      <c r="H65" s="10">
        <f t="shared" ref="H65:H91" si="10">G65*14/18</f>
        <v>479.888888888889</v>
      </c>
      <c r="I65" s="39">
        <v>20</v>
      </c>
      <c r="J65" s="39">
        <v>200</v>
      </c>
      <c r="K65" s="39">
        <v>20</v>
      </c>
      <c r="L65" s="39">
        <v>200</v>
      </c>
      <c r="M65" s="39">
        <v>190</v>
      </c>
    </row>
    <row r="66" s="2" customFormat="1" ht="23.1" customHeight="1" spans="1:22">
      <c r="A66" s="21">
        <v>60</v>
      </c>
      <c r="B66" s="24" t="s">
        <v>67</v>
      </c>
      <c r="C66" s="41" t="s">
        <v>127</v>
      </c>
      <c r="D66" s="24" t="s">
        <v>30</v>
      </c>
      <c r="E66" s="42">
        <v>40</v>
      </c>
      <c r="F66" s="42">
        <v>320</v>
      </c>
      <c r="G66" s="42">
        <v>200</v>
      </c>
      <c r="H66" s="26">
        <f t="shared" si="10"/>
        <v>155.555555555556</v>
      </c>
      <c r="I66" s="42">
        <v>20</v>
      </c>
      <c r="J66" s="42">
        <v>350</v>
      </c>
      <c r="K66" s="42">
        <v>20</v>
      </c>
      <c r="L66" s="42">
        <v>350</v>
      </c>
      <c r="M66" s="42">
        <v>280</v>
      </c>
      <c r="N66" s="2" t="s">
        <v>128</v>
      </c>
      <c r="R66" s="5"/>
      <c r="S66" s="5"/>
      <c r="T66" s="5"/>
      <c r="U66" s="5"/>
      <c r="V66" s="6"/>
    </row>
    <row r="67" s="2" customFormat="1" ht="23.1" customHeight="1" spans="1:22">
      <c r="A67" s="21">
        <v>61</v>
      </c>
      <c r="B67" s="24" t="s">
        <v>67</v>
      </c>
      <c r="C67" s="41" t="s">
        <v>129</v>
      </c>
      <c r="D67" s="24" t="s">
        <v>30</v>
      </c>
      <c r="E67" s="42">
        <v>50</v>
      </c>
      <c r="F67" s="42">
        <v>400</v>
      </c>
      <c r="G67" s="42">
        <v>200</v>
      </c>
      <c r="H67" s="26">
        <f t="shared" si="10"/>
        <v>155.555555555556</v>
      </c>
      <c r="I67" s="42">
        <v>14</v>
      </c>
      <c r="J67" s="42">
        <v>350</v>
      </c>
      <c r="K67" s="42">
        <v>14</v>
      </c>
      <c r="L67" s="42">
        <v>350</v>
      </c>
      <c r="M67" s="42">
        <v>280</v>
      </c>
      <c r="N67" s="2" t="s">
        <v>128</v>
      </c>
      <c r="R67" s="5"/>
      <c r="S67" s="5"/>
      <c r="T67" s="5"/>
      <c r="U67" s="5"/>
      <c r="V67" s="6"/>
    </row>
    <row r="68" s="2" customFormat="1" ht="23.1" customHeight="1" spans="1:22">
      <c r="A68" s="21">
        <v>62</v>
      </c>
      <c r="B68" s="24" t="s">
        <v>67</v>
      </c>
      <c r="C68" s="41" t="s">
        <v>130</v>
      </c>
      <c r="D68" s="24" t="s">
        <v>30</v>
      </c>
      <c r="E68" s="42">
        <v>10</v>
      </c>
      <c r="F68" s="42">
        <v>150</v>
      </c>
      <c r="G68" s="42">
        <v>110</v>
      </c>
      <c r="H68" s="26">
        <f t="shared" si="10"/>
        <v>85.5555555555556</v>
      </c>
      <c r="I68" s="42">
        <v>6</v>
      </c>
      <c r="J68" s="42">
        <v>100</v>
      </c>
      <c r="K68" s="42">
        <v>6</v>
      </c>
      <c r="L68" s="42">
        <v>100</v>
      </c>
      <c r="M68" s="42">
        <v>60</v>
      </c>
      <c r="N68" s="2" t="s">
        <v>128</v>
      </c>
      <c r="R68" s="5"/>
      <c r="S68" s="5"/>
      <c r="T68" s="5"/>
      <c r="U68" s="5"/>
      <c r="V68" s="6"/>
    </row>
    <row r="69" ht="23.1" customHeight="1" spans="1:22">
      <c r="B69" s="12"/>
      <c r="C69" s="13"/>
      <c r="D69" s="12"/>
      <c r="E69" s="14">
        <v>2622</v>
      </c>
      <c r="F69" s="14">
        <v>36540</v>
      </c>
      <c r="G69" s="14">
        <v>26856</v>
      </c>
      <c r="H69" s="10">
        <f t="shared" si="10"/>
        <v>20888</v>
      </c>
      <c r="I69" s="14">
        <f t="shared" ref="I69:M69" si="11">SUM(I57:I68)</f>
        <v>1145</v>
      </c>
      <c r="J69" s="14">
        <f t="shared" si="11"/>
        <v>14874</v>
      </c>
      <c r="K69" s="14">
        <f t="shared" si="11"/>
        <v>1145</v>
      </c>
      <c r="L69" s="14">
        <f t="shared" si="11"/>
        <v>14874</v>
      </c>
      <c r="M69" s="14">
        <f t="shared" si="11"/>
        <v>14130</v>
      </c>
    </row>
    <row r="70" s="1" customFormat="1" ht="23.1" customHeight="1" spans="1:22">
      <c r="A70" s="15">
        <v>63</v>
      </c>
      <c r="B70" s="16" t="s">
        <v>77</v>
      </c>
      <c r="C70" s="17" t="s">
        <v>78</v>
      </c>
      <c r="D70" s="16" t="s">
        <v>13</v>
      </c>
      <c r="E70" s="18">
        <v>900</v>
      </c>
      <c r="F70" s="19">
        <v>6000</v>
      </c>
      <c r="G70" s="19">
        <v>4565</v>
      </c>
      <c r="H70" s="19">
        <f t="shared" si="10"/>
        <v>3550.55555555556</v>
      </c>
      <c r="I70" s="18">
        <v>400</v>
      </c>
      <c r="J70" s="19">
        <v>2200</v>
      </c>
      <c r="K70" s="18">
        <v>400</v>
      </c>
      <c r="L70" s="19">
        <v>2200</v>
      </c>
      <c r="M70" s="19">
        <v>2070</v>
      </c>
      <c r="N70" s="1" t="s">
        <v>131</v>
      </c>
      <c r="O70" s="1">
        <v>-400</v>
      </c>
      <c r="P70" s="1">
        <v>-400</v>
      </c>
      <c r="Q70" s="1">
        <f>L70/K70</f>
        <v>5.5</v>
      </c>
      <c r="R70" s="5">
        <v>-30</v>
      </c>
      <c r="S70" s="5"/>
      <c r="T70" s="5">
        <f>J70/I70</f>
        <v>5.5</v>
      </c>
      <c r="U70" s="5">
        <v>-60</v>
      </c>
      <c r="V70" s="6">
        <v>-800</v>
      </c>
    </row>
    <row r="71" ht="23.1" customHeight="1" spans="1:22">
      <c r="A71" s="3">
        <v>64</v>
      </c>
      <c r="B71" s="7" t="s">
        <v>77</v>
      </c>
      <c r="C71" s="8" t="s">
        <v>79</v>
      </c>
      <c r="D71" s="7" t="s">
        <v>30</v>
      </c>
      <c r="E71" s="11">
        <v>100</v>
      </c>
      <c r="F71" s="11">
        <v>800</v>
      </c>
      <c r="G71" s="11">
        <v>550</v>
      </c>
      <c r="H71" s="10">
        <f t="shared" si="10"/>
        <v>427.777777777778</v>
      </c>
      <c r="I71" s="11">
        <v>30</v>
      </c>
      <c r="J71" s="11">
        <v>300</v>
      </c>
      <c r="K71" s="11">
        <v>30</v>
      </c>
      <c r="L71" s="11">
        <v>300</v>
      </c>
      <c r="M71" s="11">
        <v>285</v>
      </c>
    </row>
    <row r="72" ht="23.1" customHeight="1" spans="1:22">
      <c r="A72" s="3">
        <v>65</v>
      </c>
      <c r="B72" s="7" t="s">
        <v>77</v>
      </c>
      <c r="C72" s="8" t="s">
        <v>80</v>
      </c>
      <c r="D72" s="7" t="s">
        <v>22</v>
      </c>
      <c r="E72" s="11">
        <v>101</v>
      </c>
      <c r="F72" s="11">
        <v>980</v>
      </c>
      <c r="G72" s="11">
        <v>700</v>
      </c>
      <c r="H72" s="10">
        <f t="shared" si="10"/>
        <v>544.444444444444</v>
      </c>
      <c r="I72" s="11">
        <v>33</v>
      </c>
      <c r="J72" s="11">
        <v>402</v>
      </c>
      <c r="K72" s="11">
        <v>33</v>
      </c>
      <c r="L72" s="11">
        <v>402</v>
      </c>
      <c r="M72" s="11">
        <v>382</v>
      </c>
    </row>
    <row r="73" ht="23.1" customHeight="1" spans="1:22">
      <c r="A73" s="3">
        <v>66</v>
      </c>
      <c r="B73" s="7" t="s">
        <v>77</v>
      </c>
      <c r="C73" s="34" t="s">
        <v>81</v>
      </c>
      <c r="D73" s="7" t="s">
        <v>22</v>
      </c>
      <c r="E73" s="11">
        <v>100</v>
      </c>
      <c r="F73" s="11">
        <v>980</v>
      </c>
      <c r="G73" s="11">
        <v>700</v>
      </c>
      <c r="H73" s="10">
        <f t="shared" si="10"/>
        <v>544.444444444444</v>
      </c>
      <c r="I73" s="11">
        <v>33</v>
      </c>
      <c r="J73" s="11">
        <v>402</v>
      </c>
      <c r="K73" s="11">
        <v>33</v>
      </c>
      <c r="L73" s="11">
        <v>402</v>
      </c>
      <c r="M73" s="11">
        <v>382</v>
      </c>
    </row>
    <row r="74" ht="23.1" customHeight="1" spans="1:22">
      <c r="A74" s="3">
        <v>67</v>
      </c>
      <c r="B74" s="7" t="s">
        <v>77</v>
      </c>
      <c r="C74" s="8" t="s">
        <v>82</v>
      </c>
      <c r="D74" s="7" t="s">
        <v>30</v>
      </c>
      <c r="E74" s="11">
        <v>90</v>
      </c>
      <c r="F74" s="11">
        <v>800</v>
      </c>
      <c r="G74" s="11">
        <v>550</v>
      </c>
      <c r="H74" s="10">
        <f t="shared" si="10"/>
        <v>427.777777777778</v>
      </c>
      <c r="I74" s="11">
        <v>30</v>
      </c>
      <c r="J74" s="11">
        <v>300</v>
      </c>
      <c r="K74" s="11">
        <v>30</v>
      </c>
      <c r="L74" s="11">
        <v>300</v>
      </c>
      <c r="M74" s="11">
        <v>285</v>
      </c>
    </row>
    <row r="75" ht="23.1" customHeight="1" spans="1:22">
      <c r="A75" s="3">
        <v>68</v>
      </c>
      <c r="B75" s="7" t="s">
        <v>77</v>
      </c>
      <c r="C75" s="8" t="s">
        <v>83</v>
      </c>
      <c r="D75" s="7" t="s">
        <v>30</v>
      </c>
      <c r="E75" s="11">
        <v>90</v>
      </c>
      <c r="F75" s="11">
        <v>800</v>
      </c>
      <c r="G75" s="11">
        <v>550</v>
      </c>
      <c r="H75" s="10">
        <f t="shared" si="10"/>
        <v>427.777777777778</v>
      </c>
      <c r="I75" s="11">
        <v>30</v>
      </c>
      <c r="J75" s="11">
        <v>300</v>
      </c>
      <c r="K75" s="11">
        <v>30</v>
      </c>
      <c r="L75" s="11">
        <v>300</v>
      </c>
      <c r="M75" s="11">
        <v>285</v>
      </c>
    </row>
    <row r="76" ht="23.1" customHeight="1" spans="1:22">
      <c r="B76" s="12"/>
      <c r="C76" s="13"/>
      <c r="D76" s="12"/>
      <c r="E76" s="14">
        <v>1381</v>
      </c>
      <c r="F76" s="14">
        <v>10360</v>
      </c>
      <c r="G76" s="14">
        <v>7615</v>
      </c>
      <c r="H76" s="10">
        <f t="shared" si="10"/>
        <v>5922.77777777778</v>
      </c>
      <c r="I76" s="14">
        <f t="shared" ref="I76:M76" si="12">SUM(I70:I75)</f>
        <v>556</v>
      </c>
      <c r="J76" s="14">
        <f t="shared" si="12"/>
        <v>3904</v>
      </c>
      <c r="K76" s="14">
        <f t="shared" si="12"/>
        <v>556</v>
      </c>
      <c r="L76" s="14">
        <f t="shared" si="12"/>
        <v>3904</v>
      </c>
      <c r="M76" s="14">
        <f t="shared" si="12"/>
        <v>3689</v>
      </c>
    </row>
    <row r="77" ht="23.1" customHeight="1" spans="1:22">
      <c r="A77" s="3">
        <v>69</v>
      </c>
      <c r="B77" s="7" t="s">
        <v>84</v>
      </c>
      <c r="C77" s="43" t="s">
        <v>85</v>
      </c>
      <c r="D77" s="44" t="s">
        <v>30</v>
      </c>
      <c r="E77" s="11">
        <v>34</v>
      </c>
      <c r="F77" s="11">
        <v>520</v>
      </c>
      <c r="G77" s="11">
        <v>370</v>
      </c>
      <c r="H77" s="10">
        <f t="shared" si="10"/>
        <v>287.777777777778</v>
      </c>
      <c r="I77" s="11">
        <v>15</v>
      </c>
      <c r="J77" s="11">
        <v>210</v>
      </c>
      <c r="K77" s="11">
        <v>15</v>
      </c>
      <c r="L77" s="11">
        <v>210</v>
      </c>
      <c r="M77" s="11">
        <v>200</v>
      </c>
    </row>
    <row r="78" ht="23.1" customHeight="1" spans="1:22">
      <c r="A78" s="3">
        <v>70</v>
      </c>
      <c r="B78" s="7" t="s">
        <v>84</v>
      </c>
      <c r="C78" s="43" t="s">
        <v>86</v>
      </c>
      <c r="D78" s="44" t="s">
        <v>30</v>
      </c>
      <c r="E78" s="11">
        <v>50</v>
      </c>
      <c r="F78" s="11">
        <v>500</v>
      </c>
      <c r="G78" s="11">
        <v>360</v>
      </c>
      <c r="H78" s="10">
        <f t="shared" si="10"/>
        <v>280</v>
      </c>
      <c r="I78" s="11">
        <v>15</v>
      </c>
      <c r="J78" s="11">
        <v>201</v>
      </c>
      <c r="K78" s="11">
        <v>15</v>
      </c>
      <c r="L78" s="11">
        <v>201</v>
      </c>
      <c r="M78" s="11">
        <v>190</v>
      </c>
    </row>
    <row r="79" ht="23.1" customHeight="1" spans="1:22">
      <c r="A79" s="3">
        <v>71</v>
      </c>
      <c r="B79" s="7" t="s">
        <v>84</v>
      </c>
      <c r="C79" s="43" t="s">
        <v>87</v>
      </c>
      <c r="D79" s="44" t="s">
        <v>30</v>
      </c>
      <c r="E79" s="11">
        <v>34</v>
      </c>
      <c r="F79" s="11">
        <v>520</v>
      </c>
      <c r="G79" s="11">
        <v>370</v>
      </c>
      <c r="H79" s="10">
        <f t="shared" si="10"/>
        <v>287.777777777778</v>
      </c>
      <c r="I79" s="11">
        <v>15</v>
      </c>
      <c r="J79" s="11">
        <v>210</v>
      </c>
      <c r="K79" s="11">
        <v>15</v>
      </c>
      <c r="L79" s="11">
        <v>210</v>
      </c>
      <c r="M79" s="11">
        <v>200</v>
      </c>
    </row>
    <row r="80" ht="23.1" customHeight="1" spans="1:22">
      <c r="B80" s="12"/>
      <c r="C80" s="13"/>
      <c r="D80" s="12"/>
      <c r="E80" s="29">
        <v>118</v>
      </c>
      <c r="F80" s="14">
        <v>1540</v>
      </c>
      <c r="G80" s="14">
        <v>1100</v>
      </c>
      <c r="H80" s="10">
        <f t="shared" si="10"/>
        <v>855.555555555556</v>
      </c>
      <c r="I80" s="29">
        <f t="shared" ref="I80:M80" si="13">SUM(I77:I79)</f>
        <v>45</v>
      </c>
      <c r="J80" s="29">
        <f t="shared" si="13"/>
        <v>621</v>
      </c>
      <c r="K80" s="29">
        <f t="shared" si="13"/>
        <v>45</v>
      </c>
      <c r="L80" s="29">
        <f t="shared" si="13"/>
        <v>621</v>
      </c>
      <c r="M80" s="29">
        <f t="shared" si="13"/>
        <v>590</v>
      </c>
    </row>
    <row r="81" ht="23.1" customHeight="1" spans="1:22">
      <c r="A81" s="3">
        <v>72</v>
      </c>
      <c r="B81" s="7" t="s">
        <v>88</v>
      </c>
      <c r="C81" s="43" t="s">
        <v>89</v>
      </c>
      <c r="D81" s="44"/>
      <c r="E81" s="11"/>
      <c r="F81" s="9">
        <v>1380</v>
      </c>
      <c r="G81" s="9">
        <v>1030</v>
      </c>
      <c r="H81" s="10">
        <f t="shared" si="10"/>
        <v>801.111111111111</v>
      </c>
      <c r="I81" s="11" t="s">
        <v>132</v>
      </c>
      <c r="J81" s="11">
        <v>600</v>
      </c>
      <c r="K81" s="11"/>
      <c r="L81" s="11">
        <v>600</v>
      </c>
      <c r="M81" s="11">
        <v>570</v>
      </c>
    </row>
    <row r="82" ht="23.1" customHeight="1" spans="1:22">
      <c r="A82" s="3">
        <v>73</v>
      </c>
      <c r="B82" s="7" t="s">
        <v>88</v>
      </c>
      <c r="C82" s="43" t="s">
        <v>91</v>
      </c>
      <c r="D82" s="44"/>
      <c r="E82" s="11"/>
      <c r="F82" s="45">
        <v>460</v>
      </c>
      <c r="G82" s="45">
        <v>343.333333333333</v>
      </c>
      <c r="H82" s="10">
        <f t="shared" si="10"/>
        <v>267.037037037037</v>
      </c>
      <c r="I82" s="11" t="s">
        <v>132</v>
      </c>
      <c r="J82" s="11">
        <v>200</v>
      </c>
      <c r="K82" s="11"/>
      <c r="L82" s="11">
        <v>200</v>
      </c>
      <c r="M82" s="11">
        <v>190</v>
      </c>
    </row>
    <row r="83" ht="23.1" customHeight="1" spans="1:22">
      <c r="A83" s="3">
        <v>74</v>
      </c>
      <c r="B83" s="7" t="s">
        <v>88</v>
      </c>
      <c r="C83" s="43" t="s">
        <v>92</v>
      </c>
      <c r="D83" s="44"/>
      <c r="E83" s="11"/>
      <c r="F83" s="45">
        <v>460</v>
      </c>
      <c r="G83" s="45">
        <v>343.333333333333</v>
      </c>
      <c r="H83" s="10">
        <f t="shared" si="10"/>
        <v>267.037037037037</v>
      </c>
      <c r="I83" s="11"/>
      <c r="J83" s="11">
        <v>200</v>
      </c>
      <c r="K83" s="11"/>
      <c r="L83" s="11">
        <v>200</v>
      </c>
      <c r="M83" s="11">
        <v>190</v>
      </c>
    </row>
    <row r="84" ht="23.1" customHeight="1" spans="1:22">
      <c r="A84" s="3">
        <v>75</v>
      </c>
      <c r="B84" s="7" t="s">
        <v>88</v>
      </c>
      <c r="C84" s="43" t="s">
        <v>93</v>
      </c>
      <c r="D84" s="44"/>
      <c r="E84" s="11"/>
      <c r="F84" s="9">
        <v>4600</v>
      </c>
      <c r="G84" s="9">
        <v>3433.33333333333</v>
      </c>
      <c r="H84" s="10">
        <f t="shared" si="10"/>
        <v>2670.37037037037</v>
      </c>
      <c r="I84" s="11" t="s">
        <v>132</v>
      </c>
      <c r="J84" s="9">
        <v>2000</v>
      </c>
      <c r="K84" s="11"/>
      <c r="L84" s="9">
        <v>2000</v>
      </c>
      <c r="M84" s="9">
        <v>1900</v>
      </c>
    </row>
    <row r="85" ht="23.1" customHeight="1" spans="1:22">
      <c r="A85" s="3">
        <v>76</v>
      </c>
      <c r="B85" s="7" t="s">
        <v>88</v>
      </c>
      <c r="C85" s="43" t="s">
        <v>94</v>
      </c>
      <c r="D85" s="44"/>
      <c r="E85" s="11"/>
      <c r="F85" s="9">
        <v>1840</v>
      </c>
      <c r="G85" s="9">
        <v>1373.33333333333</v>
      </c>
      <c r="H85" s="10">
        <f t="shared" si="10"/>
        <v>1068.14814814815</v>
      </c>
      <c r="I85" s="11" t="s">
        <v>132</v>
      </c>
      <c r="J85" s="9">
        <v>800</v>
      </c>
      <c r="K85" s="11"/>
      <c r="L85" s="9">
        <v>800</v>
      </c>
      <c r="M85" s="11">
        <v>760</v>
      </c>
    </row>
    <row r="86" ht="23.1" customHeight="1" spans="1:22">
      <c r="A86" s="3">
        <v>77</v>
      </c>
      <c r="B86" s="7" t="s">
        <v>88</v>
      </c>
      <c r="C86" s="43" t="s">
        <v>95</v>
      </c>
      <c r="D86" s="44"/>
      <c r="E86" s="11"/>
      <c r="F86" s="9">
        <v>1840</v>
      </c>
      <c r="G86" s="9">
        <v>1373.33333333333</v>
      </c>
      <c r="H86" s="10">
        <f t="shared" si="10"/>
        <v>1068.14814814815</v>
      </c>
      <c r="I86" s="11" t="s">
        <v>132</v>
      </c>
      <c r="J86" s="9">
        <v>800</v>
      </c>
      <c r="K86" s="11"/>
      <c r="L86" s="9">
        <v>800</v>
      </c>
      <c r="M86" s="11">
        <v>760</v>
      </c>
    </row>
    <row r="87" s="2" customFormat="1" ht="23.1" customHeight="1" spans="1:22">
      <c r="A87" s="21">
        <v>78</v>
      </c>
      <c r="B87" s="24" t="s">
        <v>88</v>
      </c>
      <c r="C87" s="23" t="s">
        <v>133</v>
      </c>
      <c r="D87" s="24"/>
      <c r="E87" s="25"/>
      <c r="F87" s="26">
        <v>474</v>
      </c>
      <c r="G87" s="26">
        <f>341-33</f>
        <v>308</v>
      </c>
      <c r="H87" s="26">
        <f t="shared" si="10"/>
        <v>239.555555555556</v>
      </c>
      <c r="I87" s="25"/>
      <c r="J87" s="26">
        <v>200</v>
      </c>
      <c r="K87" s="25"/>
      <c r="L87" s="26">
        <v>200</v>
      </c>
      <c r="M87" s="25">
        <v>190</v>
      </c>
      <c r="N87" s="2" t="s">
        <v>128</v>
      </c>
      <c r="R87" s="5"/>
      <c r="S87" s="5"/>
      <c r="T87" s="5"/>
      <c r="U87" s="5"/>
      <c r="V87" s="6"/>
    </row>
    <row r="88" s="2" customFormat="1" ht="23.1" customHeight="1" spans="1:22">
      <c r="A88" s="21">
        <v>79</v>
      </c>
      <c r="B88" s="24" t="s">
        <v>88</v>
      </c>
      <c r="C88" s="23" t="s">
        <v>134</v>
      </c>
      <c r="D88" s="24"/>
      <c r="E88" s="25"/>
      <c r="F88" s="26">
        <v>474</v>
      </c>
      <c r="G88" s="26">
        <v>308</v>
      </c>
      <c r="H88" s="26">
        <f t="shared" si="10"/>
        <v>239.555555555556</v>
      </c>
      <c r="I88" s="25"/>
      <c r="J88" s="26">
        <v>200</v>
      </c>
      <c r="K88" s="25"/>
      <c r="L88" s="26">
        <v>200</v>
      </c>
      <c r="M88" s="25">
        <v>190</v>
      </c>
      <c r="N88" s="2" t="s">
        <v>128</v>
      </c>
      <c r="R88" s="5"/>
      <c r="S88" s="5"/>
      <c r="T88" s="5"/>
      <c r="U88" s="5"/>
      <c r="V88" s="6"/>
    </row>
    <row r="89" s="2" customFormat="1" ht="23.1" customHeight="1" spans="1:22">
      <c r="A89" s="21">
        <v>80</v>
      </c>
      <c r="B89" s="24" t="s">
        <v>88</v>
      </c>
      <c r="C89" s="23" t="s">
        <v>135</v>
      </c>
      <c r="D89" s="24"/>
      <c r="E89" s="25"/>
      <c r="F89" s="26">
        <v>474</v>
      </c>
      <c r="G89" s="26">
        <v>308</v>
      </c>
      <c r="H89" s="26">
        <f t="shared" si="10"/>
        <v>239.555555555556</v>
      </c>
      <c r="I89" s="25"/>
      <c r="J89" s="26">
        <v>200</v>
      </c>
      <c r="K89" s="25"/>
      <c r="L89" s="26">
        <v>200</v>
      </c>
      <c r="M89" s="25">
        <v>190</v>
      </c>
      <c r="N89" s="2" t="s">
        <v>128</v>
      </c>
      <c r="R89" s="5"/>
      <c r="S89" s="5"/>
      <c r="T89" s="5"/>
      <c r="U89" s="5"/>
      <c r="V89" s="6"/>
    </row>
    <row r="90" ht="23.1" customHeight="1" spans="1:22">
      <c r="B90" s="12"/>
      <c r="C90" s="13"/>
      <c r="D90" s="12"/>
      <c r="E90" s="29" t="s">
        <v>132</v>
      </c>
      <c r="F90" s="14">
        <v>12002</v>
      </c>
      <c r="G90" s="14">
        <v>8821</v>
      </c>
      <c r="H90" s="10">
        <f t="shared" si="10"/>
        <v>6860.77777777778</v>
      </c>
      <c r="I90" s="14">
        <f t="shared" ref="I90:M90" si="14">SUM(I81:I89)</f>
        <v>0</v>
      </c>
      <c r="J90" s="14">
        <f t="shared" si="14"/>
        <v>5200</v>
      </c>
      <c r="K90" s="14">
        <f t="shared" si="14"/>
        <v>0</v>
      </c>
      <c r="L90" s="14">
        <f t="shared" si="14"/>
        <v>5200</v>
      </c>
      <c r="M90" s="14">
        <f t="shared" si="14"/>
        <v>4940</v>
      </c>
    </row>
    <row r="91" ht="23.1" customHeight="1" spans="1:22">
      <c r="B91" s="46" t="s">
        <v>96</v>
      </c>
      <c r="C91" s="46"/>
      <c r="D91" s="46"/>
      <c r="E91" s="47">
        <v>15930</v>
      </c>
      <c r="F91" s="47">
        <v>245000</v>
      </c>
      <c r="G91" s="47">
        <v>180000</v>
      </c>
      <c r="H91" s="10">
        <f t="shared" si="10"/>
        <v>140000</v>
      </c>
      <c r="I91" s="47">
        <f t="shared" ref="I91:M91" si="15">I90+I80+I76+I69+I56+I46+I35+I22+I12</f>
        <v>6567</v>
      </c>
      <c r="J91" s="47">
        <f t="shared" si="15"/>
        <v>100000</v>
      </c>
      <c r="K91" s="47">
        <f t="shared" si="15"/>
        <v>6567</v>
      </c>
      <c r="L91" s="47">
        <f t="shared" si="15"/>
        <v>100000</v>
      </c>
      <c r="M91" s="47">
        <f t="shared" si="15"/>
        <v>95000</v>
      </c>
    </row>
    <row r="93" spans="1:22">
      <c r="D93" s="5" t="s">
        <v>136</v>
      </c>
      <c r="E93" s="5" t="e">
        <f>E80+E76+E69+#REF!+E46+E35+E22+E12</f>
        <v>#REF!</v>
      </c>
      <c r="F93" s="5" t="e">
        <f>F90+F80+F76+F69+#REF!+F46+F35+F22+F12</f>
        <v>#REF!</v>
      </c>
      <c r="G93" s="5" t="e">
        <f>G90+G80+G76+G69+#REF!+G46+G35+G22+G12</f>
        <v>#REF!</v>
      </c>
      <c r="H93" s="5"/>
      <c r="I93" s="5" t="e">
        <f>I80+I76+I69+#REF!+I35+I46+I22+I12</f>
        <v>#REF!</v>
      </c>
      <c r="J93" s="5" t="e">
        <f>J90+J80+J69+J76+#REF!+J46+J35+J22+J12</f>
        <v>#REF!</v>
      </c>
      <c r="K93" s="5" t="e">
        <f>K80+K76+K69+#REF!+K46+K35+K22+K12</f>
        <v>#REF!</v>
      </c>
      <c r="L93" s="5" t="e">
        <f>L90+L80+L76+L69+#REF!+L46+L35+L22+L12</f>
        <v>#REF!</v>
      </c>
      <c r="M93" s="5" t="e">
        <f>M90+M80+M76+M69+#REF!++M46+M35+M22+M12</f>
        <v>#REF!</v>
      </c>
    </row>
    <row r="94" spans="1:22">
      <c r="D94" s="5" t="s">
        <v>125</v>
      </c>
      <c r="E94" s="5">
        <f>E80+E76+E69+E56+E46+E35+E22+E12</f>
        <v>16044</v>
      </c>
      <c r="F94" s="5">
        <f>F90+F80+F76+F69+F56+F46+F35+F22+F12</f>
        <v>245991</v>
      </c>
      <c r="G94" s="5">
        <f>G90+G80+G76+G69+G56+G46+G35+G22+G12</f>
        <v>180859</v>
      </c>
      <c r="H94" s="5"/>
      <c r="I94" s="5">
        <f>I80+I76+I69+I56+I46+I35+I22+I12</f>
        <v>6567</v>
      </c>
      <c r="J94" s="5">
        <f>J90+J80+J76+J69+J56+J46+J35+J22+J12</f>
        <v>100000</v>
      </c>
      <c r="K94" s="5">
        <f>K80+K76+K69+K56+K46+K35+K22+K12</f>
        <v>6567</v>
      </c>
      <c r="L94" s="5">
        <f>L90+L80+L76+L69+L56+L46+L35+L22+L12</f>
        <v>100000</v>
      </c>
      <c r="M94" s="5">
        <f>M90+M80+M76+M69+M56+M46+M35+M22+M12</f>
        <v>95000</v>
      </c>
    </row>
    <row r="105" spans="11:11">
      <c r="K105" s="4">
        <f>100000/6500</f>
        <v>15.3846153846154</v>
      </c>
    </row>
  </sheetData>
  <mergeCells count="1">
    <mergeCell ref="B91:C91"/>
  </mergeCells>
  <pageMargins left="0.7" right="0.7" top="0.75" bottom="0.75" header="0.3" footer="0.3"/>
  <pageSetup paperSize="9" scale="42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105"/>
  <sheetViews>
    <sheetView tabSelected="1" topLeftCell="B1" workbookViewId="0">
      <pane xSplit="3" ySplit="1" topLeftCell="E72" activePane="bottomRight" state="frozen"/>
      <selection/>
      <selection pane="topRight"/>
      <selection pane="bottomLeft"/>
      <selection pane="bottomRight" activeCell="L100" sqref="L100"/>
    </sheetView>
  </sheetViews>
  <sheetFormatPr defaultColWidth="9" defaultRowHeight="15"/>
  <cols>
    <col min="1" max="1" width="9" style="3"/>
    <col min="2" max="2" width="9" style="4"/>
    <col min="3" max="3" width="20.25" style="4" customWidth="1"/>
    <col min="4" max="13" width="11.875" style="4" customWidth="1"/>
    <col min="14" max="16" width="14.625" style="4" customWidth="1"/>
    <col min="17" max="17" width="9" style="4" customWidth="1"/>
    <col min="18" max="18" width="9" style="5" customWidth="1"/>
    <col min="19" max="20" width="9" style="5" hidden="1" customWidth="1"/>
    <col min="21" max="21" width="13.375" style="5" customWidth="1"/>
    <col min="22" max="22" width="11.25" style="6" customWidth="1"/>
    <col min="23" max="16384" width="9" style="4"/>
  </cols>
  <sheetData>
    <row r="1" ht="23.1" customHeight="1" spans="1:22">
      <c r="A1" s="7" t="s">
        <v>97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98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4" t="s">
        <v>99</v>
      </c>
      <c r="O1" s="4" t="s">
        <v>100</v>
      </c>
      <c r="P1" s="4" t="s">
        <v>101</v>
      </c>
      <c r="R1" s="5" t="s">
        <v>102</v>
      </c>
      <c r="S1" s="5" t="s">
        <v>103</v>
      </c>
      <c r="T1" s="5" t="s">
        <v>104</v>
      </c>
      <c r="U1" s="5" t="s">
        <v>105</v>
      </c>
      <c r="V1" s="6" t="s">
        <v>106</v>
      </c>
    </row>
    <row r="2" ht="23.1" customHeight="1" spans="1:22">
      <c r="A2" s="3">
        <v>1</v>
      </c>
      <c r="B2" s="7" t="s">
        <v>11</v>
      </c>
      <c r="C2" s="8" t="s">
        <v>12</v>
      </c>
      <c r="D2" s="7" t="s">
        <v>13</v>
      </c>
      <c r="E2" s="9">
        <v>1683</v>
      </c>
      <c r="F2" s="9">
        <v>35680</v>
      </c>
      <c r="G2" s="9">
        <v>26225</v>
      </c>
      <c r="H2" s="10">
        <f t="shared" ref="H2:H43" si="0">G2*14/18</f>
        <v>20397.2222222222</v>
      </c>
      <c r="I2" s="11">
        <v>750</v>
      </c>
      <c r="J2" s="9">
        <v>14500</v>
      </c>
      <c r="K2" s="11">
        <v>750</v>
      </c>
      <c r="L2" s="9">
        <v>14500</v>
      </c>
      <c r="M2" s="9">
        <v>13775</v>
      </c>
    </row>
    <row r="3" ht="23.1" customHeight="1" spans="1:22">
      <c r="A3" s="3">
        <v>2</v>
      </c>
      <c r="B3" s="7" t="s">
        <v>11</v>
      </c>
      <c r="C3" s="8" t="s">
        <v>14</v>
      </c>
      <c r="D3" s="7" t="s">
        <v>13</v>
      </c>
      <c r="E3" s="9">
        <v>1683</v>
      </c>
      <c r="F3" s="9">
        <v>35680</v>
      </c>
      <c r="G3" s="9">
        <v>26225</v>
      </c>
      <c r="H3" s="10">
        <f t="shared" si="0"/>
        <v>20397.2222222222</v>
      </c>
      <c r="I3" s="11">
        <v>750</v>
      </c>
      <c r="J3" s="9">
        <v>14500</v>
      </c>
      <c r="K3" s="11">
        <v>750</v>
      </c>
      <c r="L3" s="9">
        <v>14500</v>
      </c>
      <c r="M3" s="9">
        <v>13775</v>
      </c>
    </row>
    <row r="4" ht="23.1" customHeight="1" spans="1:22">
      <c r="A4" s="3">
        <v>3</v>
      </c>
      <c r="B4" s="7" t="s">
        <v>11</v>
      </c>
      <c r="C4" s="8" t="s">
        <v>15</v>
      </c>
      <c r="D4" s="7" t="s">
        <v>13</v>
      </c>
      <c r="E4" s="11">
        <v>400</v>
      </c>
      <c r="F4" s="9">
        <v>6544</v>
      </c>
      <c r="G4" s="9">
        <v>4810</v>
      </c>
      <c r="H4" s="10">
        <f t="shared" si="0"/>
        <v>3741.11111111111</v>
      </c>
      <c r="I4" s="11">
        <v>160</v>
      </c>
      <c r="J4" s="9">
        <v>2657</v>
      </c>
      <c r="K4" s="11">
        <v>160</v>
      </c>
      <c r="L4" s="9">
        <v>2657</v>
      </c>
      <c r="M4" s="9">
        <v>2524</v>
      </c>
    </row>
    <row r="5" ht="23.1" customHeight="1" spans="1:22">
      <c r="A5" s="3">
        <v>4</v>
      </c>
      <c r="B5" s="7" t="s">
        <v>11</v>
      </c>
      <c r="C5" s="8" t="s">
        <v>16</v>
      </c>
      <c r="D5" s="7" t="s">
        <v>17</v>
      </c>
      <c r="E5" s="11">
        <v>270</v>
      </c>
      <c r="F5" s="9">
        <v>4428</v>
      </c>
      <c r="G5" s="9">
        <v>3255</v>
      </c>
      <c r="H5" s="10">
        <f t="shared" si="0"/>
        <v>2531.66666666667</v>
      </c>
      <c r="I5" s="11">
        <v>120</v>
      </c>
      <c r="J5" s="9">
        <v>1800</v>
      </c>
      <c r="K5" s="11">
        <v>120</v>
      </c>
      <c r="L5" s="9">
        <v>1800</v>
      </c>
      <c r="M5" s="9">
        <v>1710</v>
      </c>
    </row>
    <row r="6" ht="23.1" customHeight="1" spans="1:22">
      <c r="A6" s="3">
        <v>5</v>
      </c>
      <c r="B6" s="7" t="s">
        <v>11</v>
      </c>
      <c r="C6" s="8" t="s">
        <v>18</v>
      </c>
      <c r="D6" s="7" t="s">
        <v>17</v>
      </c>
      <c r="E6" s="11">
        <v>270</v>
      </c>
      <c r="F6" s="9">
        <v>4428</v>
      </c>
      <c r="G6" s="9">
        <v>3255</v>
      </c>
      <c r="H6" s="10">
        <f t="shared" si="0"/>
        <v>2531.66666666667</v>
      </c>
      <c r="I6" s="11">
        <v>120</v>
      </c>
      <c r="J6" s="9">
        <v>1800</v>
      </c>
      <c r="K6" s="11">
        <v>120</v>
      </c>
      <c r="L6" s="9">
        <v>1800</v>
      </c>
      <c r="M6" s="9">
        <v>1710</v>
      </c>
    </row>
    <row r="7" ht="23.1" customHeight="1" spans="1:22">
      <c r="A7" s="3">
        <v>6</v>
      </c>
      <c r="B7" s="7" t="s">
        <v>11</v>
      </c>
      <c r="C7" s="8" t="s">
        <v>19</v>
      </c>
      <c r="D7" s="7" t="s">
        <v>17</v>
      </c>
      <c r="E7" s="11">
        <v>245</v>
      </c>
      <c r="F7" s="9">
        <v>4200</v>
      </c>
      <c r="G7" s="9">
        <v>3087</v>
      </c>
      <c r="H7" s="10">
        <f t="shared" si="0"/>
        <v>2401</v>
      </c>
      <c r="I7" s="11">
        <v>100</v>
      </c>
      <c r="J7" s="9">
        <v>1778</v>
      </c>
      <c r="K7" s="11">
        <v>100</v>
      </c>
      <c r="L7" s="9">
        <v>1778</v>
      </c>
      <c r="M7" s="9">
        <v>1689</v>
      </c>
    </row>
    <row r="8" ht="23.1" customHeight="1" spans="1:22">
      <c r="A8" s="3">
        <v>7</v>
      </c>
      <c r="B8" s="7" t="s">
        <v>11</v>
      </c>
      <c r="C8" s="8" t="s">
        <v>20</v>
      </c>
      <c r="D8" s="7" t="s">
        <v>17</v>
      </c>
      <c r="E8" s="11">
        <v>489</v>
      </c>
      <c r="F8" s="9">
        <v>7525</v>
      </c>
      <c r="G8" s="9">
        <v>5531</v>
      </c>
      <c r="H8" s="10">
        <f t="shared" si="0"/>
        <v>4301.88888888889</v>
      </c>
      <c r="I8" s="11">
        <v>210</v>
      </c>
      <c r="J8" s="9">
        <v>2972</v>
      </c>
      <c r="K8" s="11">
        <v>210</v>
      </c>
      <c r="L8" s="9">
        <v>2972</v>
      </c>
      <c r="M8" s="9">
        <v>2823</v>
      </c>
    </row>
    <row r="9" ht="23.1" customHeight="1" spans="1:22">
      <c r="A9" s="3">
        <v>8</v>
      </c>
      <c r="B9" s="7" t="s">
        <v>11</v>
      </c>
      <c r="C9" s="8" t="s">
        <v>21</v>
      </c>
      <c r="D9" s="7" t="s">
        <v>22</v>
      </c>
      <c r="E9" s="11">
        <v>72</v>
      </c>
      <c r="F9" s="9">
        <v>1085</v>
      </c>
      <c r="G9" s="11">
        <v>797</v>
      </c>
      <c r="H9" s="10">
        <f t="shared" si="0"/>
        <v>619.888888888889</v>
      </c>
      <c r="I9" s="11">
        <v>30</v>
      </c>
      <c r="J9" s="11">
        <v>450</v>
      </c>
      <c r="K9" s="11">
        <v>30</v>
      </c>
      <c r="L9" s="11">
        <v>450</v>
      </c>
      <c r="M9" s="11">
        <v>428</v>
      </c>
    </row>
    <row r="10" ht="23.1" customHeight="1" spans="1:22">
      <c r="A10" s="3">
        <v>9</v>
      </c>
      <c r="B10" s="7" t="s">
        <v>11</v>
      </c>
      <c r="C10" s="8" t="s">
        <v>23</v>
      </c>
      <c r="D10" s="7" t="s">
        <v>22</v>
      </c>
      <c r="E10" s="11">
        <v>72</v>
      </c>
      <c r="F10" s="9">
        <v>1085</v>
      </c>
      <c r="G10" s="11">
        <v>797</v>
      </c>
      <c r="H10" s="10">
        <f t="shared" si="0"/>
        <v>619.888888888889</v>
      </c>
      <c r="I10" s="11">
        <v>30</v>
      </c>
      <c r="J10" s="11">
        <v>450</v>
      </c>
      <c r="K10" s="11">
        <v>30</v>
      </c>
      <c r="L10" s="11">
        <v>450</v>
      </c>
      <c r="M10" s="11">
        <v>428</v>
      </c>
    </row>
    <row r="11" ht="23.1" customHeight="1" spans="1:22">
      <c r="A11" s="3">
        <v>10</v>
      </c>
      <c r="B11" s="7" t="s">
        <v>11</v>
      </c>
      <c r="C11" s="8" t="s">
        <v>24</v>
      </c>
      <c r="D11" s="7" t="s">
        <v>22</v>
      </c>
      <c r="E11" s="11">
        <v>72</v>
      </c>
      <c r="F11" s="9">
        <v>1085</v>
      </c>
      <c r="G11" s="11">
        <v>797</v>
      </c>
      <c r="H11" s="10">
        <f t="shared" si="0"/>
        <v>619.888888888889</v>
      </c>
      <c r="I11" s="11">
        <v>30</v>
      </c>
      <c r="J11" s="11">
        <v>450</v>
      </c>
      <c r="K11" s="11">
        <v>30</v>
      </c>
      <c r="L11" s="11">
        <v>450</v>
      </c>
      <c r="M11" s="11">
        <v>428</v>
      </c>
    </row>
    <row r="12" ht="23.1" customHeight="1" spans="1:22">
      <c r="B12" s="12"/>
      <c r="C12" s="13"/>
      <c r="D12" s="12"/>
      <c r="E12" s="14">
        <v>5256</v>
      </c>
      <c r="F12" s="14">
        <v>101740</v>
      </c>
      <c r="G12" s="14">
        <v>74779</v>
      </c>
      <c r="H12" s="10">
        <f t="shared" si="0"/>
        <v>58161.4444444444</v>
      </c>
      <c r="I12" s="14">
        <v>2300</v>
      </c>
      <c r="J12" s="14">
        <f t="shared" ref="J12:M12" si="1">SUM(J2:J11)</f>
        <v>41357</v>
      </c>
      <c r="K12" s="14">
        <f t="shared" si="1"/>
        <v>2300</v>
      </c>
      <c r="L12" s="14">
        <f t="shared" si="1"/>
        <v>41357</v>
      </c>
      <c r="M12" s="14">
        <f t="shared" si="1"/>
        <v>39290</v>
      </c>
    </row>
    <row r="13" ht="23.1" customHeight="1" spans="1:22">
      <c r="A13" s="3">
        <v>11</v>
      </c>
      <c r="B13" s="7" t="s">
        <v>25</v>
      </c>
      <c r="C13" s="8" t="s">
        <v>26</v>
      </c>
      <c r="D13" s="7" t="s">
        <v>13</v>
      </c>
      <c r="E13" s="11">
        <v>277</v>
      </c>
      <c r="F13" s="9">
        <v>6100</v>
      </c>
      <c r="G13" s="9">
        <v>4484</v>
      </c>
      <c r="H13" s="10">
        <f t="shared" si="0"/>
        <v>3487.55555555556</v>
      </c>
      <c r="I13" s="11">
        <v>101</v>
      </c>
      <c r="J13" s="9">
        <v>2153</v>
      </c>
      <c r="K13" s="11">
        <v>101</v>
      </c>
      <c r="L13" s="9">
        <v>2153</v>
      </c>
      <c r="M13" s="9">
        <v>2045</v>
      </c>
    </row>
    <row r="14" s="1" customFormat="1" ht="23.1" customHeight="1" spans="1:22">
      <c r="A14" s="15">
        <v>12</v>
      </c>
      <c r="B14" s="16" t="s">
        <v>25</v>
      </c>
      <c r="C14" s="17" t="s">
        <v>27</v>
      </c>
      <c r="D14" s="16" t="s">
        <v>13</v>
      </c>
      <c r="E14" s="18">
        <v>706</v>
      </c>
      <c r="F14" s="19">
        <v>22750</v>
      </c>
      <c r="G14" s="19">
        <v>17344</v>
      </c>
      <c r="H14" s="19">
        <f t="shared" si="0"/>
        <v>13489.7777777778</v>
      </c>
      <c r="I14" s="18">
        <v>317</v>
      </c>
      <c r="J14" s="19">
        <v>9700</v>
      </c>
      <c r="K14" s="18">
        <v>317</v>
      </c>
      <c r="L14" s="19">
        <v>9700</v>
      </c>
      <c r="M14" s="19">
        <v>9275</v>
      </c>
      <c r="N14" s="1" t="s">
        <v>107</v>
      </c>
      <c r="O14" s="1">
        <v>1200</v>
      </c>
      <c r="P14" s="1">
        <v>1200</v>
      </c>
      <c r="Q14" s="1">
        <f>L14/K14</f>
        <v>30.5993690851735</v>
      </c>
      <c r="R14" s="5">
        <v>57</v>
      </c>
      <c r="S14" s="5">
        <f>E14/I14</f>
        <v>2.22712933753943</v>
      </c>
      <c r="T14" s="5">
        <f>J14/I14</f>
        <v>30.5993690851735</v>
      </c>
      <c r="U14" s="5">
        <v>140</v>
      </c>
      <c r="V14" s="6">
        <v>2350</v>
      </c>
    </row>
    <row r="15" ht="23.1" customHeight="1" spans="1:22">
      <c r="A15" s="3">
        <v>13</v>
      </c>
      <c r="B15" s="7" t="s">
        <v>25</v>
      </c>
      <c r="C15" s="8" t="s">
        <v>28</v>
      </c>
      <c r="D15" s="7" t="s">
        <v>17</v>
      </c>
      <c r="E15" s="11">
        <v>109</v>
      </c>
      <c r="F15" s="11">
        <v>900</v>
      </c>
      <c r="G15" s="11">
        <v>662</v>
      </c>
      <c r="H15" s="10">
        <f t="shared" si="0"/>
        <v>514.888888888889</v>
      </c>
      <c r="I15" s="11">
        <v>61</v>
      </c>
      <c r="J15" s="11">
        <v>521</v>
      </c>
      <c r="K15" s="11">
        <v>61</v>
      </c>
      <c r="L15" s="11">
        <v>521</v>
      </c>
      <c r="M15" s="11">
        <v>495</v>
      </c>
    </row>
    <row r="16" ht="23.1" customHeight="1" spans="1:22">
      <c r="A16" s="3">
        <v>14</v>
      </c>
      <c r="B16" s="7" t="s">
        <v>25</v>
      </c>
      <c r="C16" s="8" t="s">
        <v>29</v>
      </c>
      <c r="D16" s="7" t="s">
        <v>30</v>
      </c>
      <c r="E16" s="11">
        <v>54</v>
      </c>
      <c r="F16" s="11">
        <v>540</v>
      </c>
      <c r="G16" s="11">
        <v>397</v>
      </c>
      <c r="H16" s="10">
        <f t="shared" si="0"/>
        <v>308.777777777778</v>
      </c>
      <c r="I16" s="11">
        <v>32</v>
      </c>
      <c r="J16" s="11">
        <v>264</v>
      </c>
      <c r="K16" s="11">
        <v>32</v>
      </c>
      <c r="L16" s="11">
        <v>264</v>
      </c>
      <c r="M16" s="11">
        <v>251</v>
      </c>
    </row>
    <row r="17" ht="23.1" customHeight="1" spans="1:22">
      <c r="A17" s="3">
        <v>15</v>
      </c>
      <c r="B17" s="7" t="s">
        <v>25</v>
      </c>
      <c r="C17" s="8" t="s">
        <v>31</v>
      </c>
      <c r="D17" s="7" t="s">
        <v>30</v>
      </c>
      <c r="E17" s="11">
        <v>90</v>
      </c>
      <c r="F17" s="11">
        <v>840</v>
      </c>
      <c r="G17" s="11">
        <v>617</v>
      </c>
      <c r="H17" s="10">
        <f t="shared" si="0"/>
        <v>479.888888888889</v>
      </c>
      <c r="I17" s="11">
        <v>25</v>
      </c>
      <c r="J17" s="11">
        <v>200</v>
      </c>
      <c r="K17" s="11">
        <v>25</v>
      </c>
      <c r="L17" s="11">
        <v>200</v>
      </c>
      <c r="M17" s="11">
        <v>190</v>
      </c>
    </row>
    <row r="18" ht="23.1" customHeight="1" spans="1:22">
      <c r="A18" s="3">
        <v>16</v>
      </c>
      <c r="B18" s="7" t="s">
        <v>25</v>
      </c>
      <c r="C18" s="8" t="s">
        <v>32</v>
      </c>
      <c r="D18" s="7" t="s">
        <v>30</v>
      </c>
      <c r="E18" s="11">
        <v>136</v>
      </c>
      <c r="F18" s="9">
        <v>1200</v>
      </c>
      <c r="G18" s="11">
        <v>882</v>
      </c>
      <c r="H18" s="10">
        <f t="shared" si="0"/>
        <v>686</v>
      </c>
      <c r="I18" s="11">
        <v>36</v>
      </c>
      <c r="J18" s="11">
        <v>300</v>
      </c>
      <c r="K18" s="11">
        <v>36</v>
      </c>
      <c r="L18" s="11">
        <v>300</v>
      </c>
      <c r="M18" s="11">
        <v>285</v>
      </c>
    </row>
    <row r="19" ht="23.1" customHeight="1" spans="1:22">
      <c r="A19" s="3">
        <v>17</v>
      </c>
      <c r="B19" s="7" t="s">
        <v>25</v>
      </c>
      <c r="C19" s="8" t="s">
        <v>108</v>
      </c>
      <c r="D19" s="7" t="s">
        <v>30</v>
      </c>
      <c r="E19" s="11">
        <v>40</v>
      </c>
      <c r="F19" s="11">
        <v>200</v>
      </c>
      <c r="G19" s="11">
        <v>147</v>
      </c>
      <c r="H19" s="10">
        <f t="shared" si="0"/>
        <v>114.333333333333</v>
      </c>
      <c r="I19" s="11">
        <v>36</v>
      </c>
      <c r="J19" s="11">
        <v>200</v>
      </c>
      <c r="K19" s="11">
        <v>36</v>
      </c>
      <c r="L19" s="11">
        <v>200</v>
      </c>
      <c r="M19" s="11">
        <v>190</v>
      </c>
      <c r="N19" s="4" t="s">
        <v>109</v>
      </c>
    </row>
    <row r="20" ht="23.1" customHeight="1" spans="1:22">
      <c r="A20" s="3">
        <v>18</v>
      </c>
      <c r="B20" s="7" t="s">
        <v>25</v>
      </c>
      <c r="C20" s="8" t="s">
        <v>34</v>
      </c>
      <c r="D20" s="7" t="s">
        <v>30</v>
      </c>
      <c r="E20" s="11">
        <v>36</v>
      </c>
      <c r="F20" s="11">
        <v>630</v>
      </c>
      <c r="G20" s="11">
        <v>463</v>
      </c>
      <c r="H20" s="10">
        <f t="shared" si="0"/>
        <v>360.111111111111</v>
      </c>
      <c r="I20" s="11">
        <v>17</v>
      </c>
      <c r="J20" s="11">
        <v>264</v>
      </c>
      <c r="K20" s="11">
        <v>17</v>
      </c>
      <c r="L20" s="11">
        <v>264</v>
      </c>
      <c r="M20" s="11">
        <v>251</v>
      </c>
    </row>
    <row r="21" ht="23.1" customHeight="1" spans="1:22">
      <c r="A21" s="3">
        <v>19</v>
      </c>
      <c r="B21" s="7" t="s">
        <v>25</v>
      </c>
      <c r="C21" s="8" t="s">
        <v>35</v>
      </c>
      <c r="D21" s="7" t="s">
        <v>30</v>
      </c>
      <c r="E21" s="11">
        <v>20</v>
      </c>
      <c r="F21" s="11">
        <v>200</v>
      </c>
      <c r="G21" s="11">
        <v>147</v>
      </c>
      <c r="H21" s="10">
        <f t="shared" si="0"/>
        <v>114.333333333333</v>
      </c>
      <c r="I21" s="11">
        <v>15</v>
      </c>
      <c r="J21" s="11">
        <v>200</v>
      </c>
      <c r="K21" s="11">
        <v>15</v>
      </c>
      <c r="L21" s="11">
        <v>200</v>
      </c>
      <c r="M21" s="11">
        <v>190</v>
      </c>
    </row>
    <row r="22" ht="23.1" customHeight="1" spans="1:22">
      <c r="B22" s="12"/>
      <c r="C22" s="13"/>
      <c r="D22" s="12"/>
      <c r="E22" s="14">
        <f>SUM(E13,E14,E15,E16,E17,E18,E19,E20,E21)</f>
        <v>1468</v>
      </c>
      <c r="F22" s="14">
        <f>SUM(F13,F14,F15,F16,F17,F18,F19,F21,F20)</f>
        <v>33360</v>
      </c>
      <c r="G22" s="14">
        <f>SUM(G13:G21)</f>
        <v>25143</v>
      </c>
      <c r="H22" s="10">
        <f t="shared" si="0"/>
        <v>19555.6666666667</v>
      </c>
      <c r="I22" s="14">
        <f>SUM(I13:I21)</f>
        <v>640</v>
      </c>
      <c r="J22" s="14">
        <f t="shared" ref="I22:M22" si="2">SUM(J13:J21)</f>
        <v>13802</v>
      </c>
      <c r="K22" s="14">
        <f t="shared" si="2"/>
        <v>640</v>
      </c>
      <c r="L22" s="14">
        <f t="shared" si="2"/>
        <v>13802</v>
      </c>
      <c r="M22" s="14">
        <f t="shared" si="2"/>
        <v>13172</v>
      </c>
    </row>
    <row r="23" s="1" customFormat="1" ht="23.1" customHeight="1" spans="1:22">
      <c r="A23" s="15">
        <v>20</v>
      </c>
      <c r="B23" s="20" t="s">
        <v>36</v>
      </c>
      <c r="C23" s="17" t="s">
        <v>37</v>
      </c>
      <c r="D23" s="16" t="s">
        <v>13</v>
      </c>
      <c r="E23" s="18">
        <v>181</v>
      </c>
      <c r="F23" s="19">
        <v>2064</v>
      </c>
      <c r="G23" s="19">
        <v>1466</v>
      </c>
      <c r="H23" s="19">
        <f t="shared" si="0"/>
        <v>1140.22222222222</v>
      </c>
      <c r="I23" s="18">
        <v>57</v>
      </c>
      <c r="J23" s="19">
        <v>1258</v>
      </c>
      <c r="K23" s="18">
        <v>57</v>
      </c>
      <c r="L23" s="19">
        <v>1258</v>
      </c>
      <c r="M23" s="19">
        <v>1185</v>
      </c>
      <c r="N23" s="1" t="s">
        <v>110</v>
      </c>
      <c r="O23" s="1">
        <v>-200</v>
      </c>
      <c r="P23" s="1">
        <v>-200</v>
      </c>
      <c r="Q23" s="1">
        <f t="shared" ref="Q23:Q27" si="3">L23/K23</f>
        <v>22.0701754385965</v>
      </c>
      <c r="R23" s="5">
        <v>-10</v>
      </c>
      <c r="S23" s="5">
        <f t="shared" ref="S23:S27" si="4">E23/I23</f>
        <v>3.17543859649123</v>
      </c>
      <c r="T23" s="5">
        <f t="shared" ref="T23:T27" si="5">J23/I23</f>
        <v>22.0701754385965</v>
      </c>
      <c r="U23" s="5">
        <v>-20</v>
      </c>
      <c r="V23" s="6">
        <v>-350</v>
      </c>
    </row>
    <row r="24" s="2" customFormat="1" ht="23.1" customHeight="1" spans="1:22">
      <c r="A24" s="21">
        <v>21</v>
      </c>
      <c r="B24" s="22" t="s">
        <v>36</v>
      </c>
      <c r="C24" s="23" t="s">
        <v>111</v>
      </c>
      <c r="D24" s="24" t="s">
        <v>30</v>
      </c>
      <c r="E24" s="25">
        <v>45</v>
      </c>
      <c r="F24" s="25">
        <v>520</v>
      </c>
      <c r="G24" s="25">
        <v>340</v>
      </c>
      <c r="H24" s="26">
        <f t="shared" si="0"/>
        <v>264.444444444444</v>
      </c>
      <c r="I24" s="25">
        <v>15</v>
      </c>
      <c r="J24" s="25">
        <v>202</v>
      </c>
      <c r="K24" s="25">
        <v>15</v>
      </c>
      <c r="L24" s="25">
        <v>202</v>
      </c>
      <c r="M24" s="25">
        <v>190</v>
      </c>
      <c r="N24" s="2" t="s">
        <v>112</v>
      </c>
      <c r="R24" s="5"/>
      <c r="S24" s="5"/>
      <c r="T24" s="5"/>
      <c r="U24" s="5"/>
      <c r="V24" s="6"/>
    </row>
    <row r="25" ht="23.1" customHeight="1" spans="1:22">
      <c r="A25" s="3">
        <v>22</v>
      </c>
      <c r="B25" s="27" t="s">
        <v>36</v>
      </c>
      <c r="C25" s="8" t="s">
        <v>38</v>
      </c>
      <c r="D25" s="7" t="s">
        <v>17</v>
      </c>
      <c r="E25" s="11">
        <v>66</v>
      </c>
      <c r="F25" s="11">
        <v>930</v>
      </c>
      <c r="G25" s="11">
        <v>684</v>
      </c>
      <c r="H25" s="10">
        <f t="shared" si="0"/>
        <v>532</v>
      </c>
      <c r="I25" s="11">
        <v>28</v>
      </c>
      <c r="J25" s="11">
        <v>436</v>
      </c>
      <c r="K25" s="11">
        <v>28</v>
      </c>
      <c r="L25" s="11">
        <v>436</v>
      </c>
      <c r="M25" s="11">
        <v>414</v>
      </c>
    </row>
    <row r="26" s="1" customFormat="1" ht="23.1" customHeight="1" spans="1:22">
      <c r="A26" s="15">
        <v>23</v>
      </c>
      <c r="B26" s="20" t="s">
        <v>36</v>
      </c>
      <c r="C26" s="17" t="s">
        <v>39</v>
      </c>
      <c r="D26" s="16" t="s">
        <v>17</v>
      </c>
      <c r="E26" s="18">
        <v>228</v>
      </c>
      <c r="F26" s="19">
        <v>1669</v>
      </c>
      <c r="G26" s="19">
        <v>1200</v>
      </c>
      <c r="H26" s="19">
        <f t="shared" si="0"/>
        <v>933.333333333333</v>
      </c>
      <c r="I26" s="18">
        <v>68</v>
      </c>
      <c r="J26" s="18">
        <v>672</v>
      </c>
      <c r="K26" s="18">
        <v>68</v>
      </c>
      <c r="L26" s="18">
        <v>672</v>
      </c>
      <c r="M26" s="18">
        <v>636</v>
      </c>
      <c r="N26" s="1" t="s">
        <v>113</v>
      </c>
      <c r="O26" s="1">
        <v>-50</v>
      </c>
      <c r="P26" s="1">
        <v>-50</v>
      </c>
      <c r="Q26" s="1">
        <f t="shared" si="3"/>
        <v>9.88235294117647</v>
      </c>
      <c r="R26" s="5">
        <v>-5</v>
      </c>
      <c r="S26" s="5">
        <f t="shared" si="4"/>
        <v>3.35294117647059</v>
      </c>
      <c r="T26" s="5">
        <f t="shared" si="5"/>
        <v>9.88235294117647</v>
      </c>
      <c r="U26" s="5">
        <v>-10</v>
      </c>
      <c r="V26" s="6">
        <v>-100</v>
      </c>
    </row>
    <row r="27" s="1" customFormat="1" ht="23.1" customHeight="1" spans="1:22">
      <c r="A27" s="15">
        <v>24</v>
      </c>
      <c r="B27" s="20" t="s">
        <v>36</v>
      </c>
      <c r="C27" s="17" t="s">
        <v>40</v>
      </c>
      <c r="D27" s="16" t="s">
        <v>17</v>
      </c>
      <c r="E27" s="18">
        <v>138</v>
      </c>
      <c r="F27" s="19">
        <v>1370</v>
      </c>
      <c r="G27" s="19">
        <v>980</v>
      </c>
      <c r="H27" s="19">
        <f t="shared" si="0"/>
        <v>762.222222222222</v>
      </c>
      <c r="I27" s="18">
        <v>51</v>
      </c>
      <c r="J27" s="18">
        <v>560</v>
      </c>
      <c r="K27" s="18">
        <v>51</v>
      </c>
      <c r="L27" s="18">
        <v>560</v>
      </c>
      <c r="M27" s="18">
        <v>530</v>
      </c>
      <c r="N27" s="1" t="s">
        <v>114</v>
      </c>
      <c r="O27" s="1">
        <v>-40</v>
      </c>
      <c r="P27" s="1">
        <v>-40</v>
      </c>
      <c r="Q27" s="1">
        <f t="shared" si="3"/>
        <v>10.9803921568627</v>
      </c>
      <c r="R27" s="5">
        <v>-4</v>
      </c>
      <c r="S27" s="5">
        <f t="shared" si="4"/>
        <v>2.70588235294118</v>
      </c>
      <c r="T27" s="5">
        <f t="shared" si="5"/>
        <v>10.9803921568627</v>
      </c>
      <c r="U27" s="5">
        <v>-10</v>
      </c>
      <c r="V27" s="6">
        <v>-100</v>
      </c>
    </row>
    <row r="28" ht="23.1" customHeight="1" spans="1:22">
      <c r="A28" s="3">
        <v>25</v>
      </c>
      <c r="B28" s="27" t="s">
        <v>36</v>
      </c>
      <c r="C28" s="8" t="s">
        <v>41</v>
      </c>
      <c r="D28" s="7" t="s">
        <v>22</v>
      </c>
      <c r="E28" s="11">
        <v>235</v>
      </c>
      <c r="F28" s="9">
        <v>1673</v>
      </c>
      <c r="G28" s="9">
        <v>1230</v>
      </c>
      <c r="H28" s="10">
        <f t="shared" si="0"/>
        <v>956.666666666667</v>
      </c>
      <c r="I28" s="11">
        <v>63</v>
      </c>
      <c r="J28" s="11">
        <v>683</v>
      </c>
      <c r="K28" s="11">
        <v>63</v>
      </c>
      <c r="L28" s="11">
        <v>683</v>
      </c>
      <c r="M28" s="11">
        <v>649</v>
      </c>
    </row>
    <row r="29" s="1" customFormat="1" ht="23.1" customHeight="1" spans="1:22">
      <c r="A29" s="15">
        <v>26</v>
      </c>
      <c r="B29" s="16" t="s">
        <v>36</v>
      </c>
      <c r="C29" s="17" t="s">
        <v>42</v>
      </c>
      <c r="D29" s="16" t="s">
        <v>22</v>
      </c>
      <c r="E29" s="18">
        <v>126</v>
      </c>
      <c r="F29" s="18">
        <v>864</v>
      </c>
      <c r="G29" s="18">
        <v>609</v>
      </c>
      <c r="H29" s="19">
        <f t="shared" si="0"/>
        <v>473.666666666667</v>
      </c>
      <c r="I29" s="18">
        <v>26</v>
      </c>
      <c r="J29" s="18">
        <v>320</v>
      </c>
      <c r="K29" s="18">
        <v>26</v>
      </c>
      <c r="L29" s="18">
        <v>320</v>
      </c>
      <c r="M29" s="18">
        <v>301</v>
      </c>
      <c r="N29" s="1" t="s">
        <v>115</v>
      </c>
      <c r="O29" s="1">
        <v>-60</v>
      </c>
      <c r="P29" s="1">
        <v>-60</v>
      </c>
      <c r="Q29" s="1">
        <f>L29/K29</f>
        <v>12.3076923076923</v>
      </c>
      <c r="R29" s="5">
        <v>-6</v>
      </c>
      <c r="S29" s="5">
        <f>E29/I29</f>
        <v>4.84615384615385</v>
      </c>
      <c r="T29" s="5">
        <f>J29/I29</f>
        <v>12.3076923076923</v>
      </c>
      <c r="U29" s="5">
        <v>-10</v>
      </c>
      <c r="V29" s="6">
        <v>-100</v>
      </c>
    </row>
    <row r="30" ht="23.1" customHeight="1" spans="1:22">
      <c r="A30" s="3">
        <v>27</v>
      </c>
      <c r="B30" s="7" t="s">
        <v>36</v>
      </c>
      <c r="C30" s="8" t="s">
        <v>43</v>
      </c>
      <c r="D30" s="7" t="s">
        <v>22</v>
      </c>
      <c r="E30" s="11">
        <v>69</v>
      </c>
      <c r="F30" s="11">
        <v>710</v>
      </c>
      <c r="G30" s="11">
        <v>522</v>
      </c>
      <c r="H30" s="10">
        <f t="shared" si="0"/>
        <v>406</v>
      </c>
      <c r="I30" s="11">
        <v>27</v>
      </c>
      <c r="J30" s="11">
        <v>350</v>
      </c>
      <c r="K30" s="11">
        <v>27</v>
      </c>
      <c r="L30" s="11">
        <v>350</v>
      </c>
      <c r="M30" s="11">
        <v>333</v>
      </c>
    </row>
    <row r="31" ht="23.1" customHeight="1" spans="1:22">
      <c r="A31" s="3">
        <v>28</v>
      </c>
      <c r="B31" s="7" t="s">
        <v>36</v>
      </c>
      <c r="C31" s="8" t="s">
        <v>44</v>
      </c>
      <c r="D31" s="7" t="s">
        <v>22</v>
      </c>
      <c r="E31" s="11">
        <v>85</v>
      </c>
      <c r="F31" s="11">
        <v>650</v>
      </c>
      <c r="G31" s="11">
        <v>478</v>
      </c>
      <c r="H31" s="10">
        <f t="shared" si="0"/>
        <v>371.777777777778</v>
      </c>
      <c r="I31" s="11">
        <v>27</v>
      </c>
      <c r="J31" s="11">
        <v>350</v>
      </c>
      <c r="K31" s="11">
        <v>27</v>
      </c>
      <c r="L31" s="11">
        <v>350</v>
      </c>
      <c r="M31" s="11">
        <v>333</v>
      </c>
    </row>
    <row r="32" s="1" customFormat="1" ht="23.1" customHeight="1" spans="1:22">
      <c r="A32" s="15">
        <v>29</v>
      </c>
      <c r="B32" s="16" t="s">
        <v>36</v>
      </c>
      <c r="C32" s="17" t="s">
        <v>45</v>
      </c>
      <c r="D32" s="16" t="s">
        <v>22</v>
      </c>
      <c r="E32" s="18">
        <v>253</v>
      </c>
      <c r="F32" s="19">
        <v>1540</v>
      </c>
      <c r="G32" s="19">
        <v>1105</v>
      </c>
      <c r="H32" s="19">
        <f t="shared" si="0"/>
        <v>859.444444444444</v>
      </c>
      <c r="I32" s="18">
        <v>36</v>
      </c>
      <c r="J32" s="18">
        <v>350</v>
      </c>
      <c r="K32" s="18">
        <v>36</v>
      </c>
      <c r="L32" s="18">
        <v>350</v>
      </c>
      <c r="M32" s="18">
        <v>330</v>
      </c>
      <c r="N32" s="1" t="s">
        <v>113</v>
      </c>
      <c r="O32" s="1">
        <v>-50</v>
      </c>
      <c r="P32" s="1">
        <v>-50</v>
      </c>
      <c r="Q32" s="1">
        <f t="shared" ref="Q32:Q38" si="6">L32/K32</f>
        <v>9.72222222222222</v>
      </c>
      <c r="R32" s="5">
        <v>-6</v>
      </c>
      <c r="S32" s="5">
        <f t="shared" ref="S32:S38" si="7">E32/I32</f>
        <v>7.02777777777778</v>
      </c>
      <c r="T32" s="5">
        <f t="shared" ref="T32:T38" si="8">J32/I32</f>
        <v>9.72222222222222</v>
      </c>
      <c r="U32" s="5">
        <v>-10</v>
      </c>
      <c r="V32" s="6">
        <v>-100</v>
      </c>
    </row>
    <row r="33" ht="23.1" customHeight="1" spans="1:22">
      <c r="A33" s="3">
        <v>30</v>
      </c>
      <c r="B33" s="7" t="s">
        <v>36</v>
      </c>
      <c r="C33" s="8" t="s">
        <v>46</v>
      </c>
      <c r="D33" s="7" t="s">
        <v>22</v>
      </c>
      <c r="E33" s="11">
        <v>250</v>
      </c>
      <c r="F33" s="9">
        <v>1700</v>
      </c>
      <c r="G33" s="9">
        <v>1250</v>
      </c>
      <c r="H33" s="10">
        <f t="shared" si="0"/>
        <v>972.222222222222</v>
      </c>
      <c r="I33" s="11">
        <v>42</v>
      </c>
      <c r="J33" s="11">
        <v>400</v>
      </c>
      <c r="K33" s="11">
        <v>42</v>
      </c>
      <c r="L33" s="11">
        <v>400</v>
      </c>
      <c r="M33" s="11">
        <v>380</v>
      </c>
    </row>
    <row r="34" ht="23.1" customHeight="1" spans="1:22">
      <c r="A34" s="3">
        <v>31</v>
      </c>
      <c r="B34" s="7" t="s">
        <v>36</v>
      </c>
      <c r="C34" s="8" t="s">
        <v>47</v>
      </c>
      <c r="D34" s="7" t="s">
        <v>30</v>
      </c>
      <c r="E34" s="11">
        <v>87</v>
      </c>
      <c r="F34" s="11">
        <v>688</v>
      </c>
      <c r="G34" s="11">
        <v>506</v>
      </c>
      <c r="H34" s="10">
        <f t="shared" si="0"/>
        <v>393.555555555556</v>
      </c>
      <c r="I34" s="11">
        <v>32</v>
      </c>
      <c r="J34" s="11">
        <v>265</v>
      </c>
      <c r="K34" s="11">
        <v>32</v>
      </c>
      <c r="L34" s="11">
        <v>265</v>
      </c>
      <c r="M34" s="11">
        <v>252</v>
      </c>
    </row>
    <row r="35" ht="23.1" customHeight="1" spans="1:22">
      <c r="B35" s="28"/>
      <c r="C35" s="28"/>
      <c r="D35" s="28"/>
      <c r="E35" s="14">
        <f>SUM(E23:E34)</f>
        <v>1763</v>
      </c>
      <c r="F35" s="14">
        <f>SUM(F23:F34)</f>
        <v>14378</v>
      </c>
      <c r="G35" s="14">
        <f>SUM(G23:G34)</f>
        <v>10370</v>
      </c>
      <c r="H35" s="10">
        <f t="shared" si="0"/>
        <v>8065.55555555556</v>
      </c>
      <c r="I35" s="29">
        <f>SUM(I23:I34)</f>
        <v>472</v>
      </c>
      <c r="J35" s="14">
        <f t="shared" ref="J35:M35" si="9">SUM(J23:J34)</f>
        <v>5846</v>
      </c>
      <c r="K35" s="14">
        <f t="shared" si="9"/>
        <v>472</v>
      </c>
      <c r="L35" s="14">
        <f t="shared" si="9"/>
        <v>5846</v>
      </c>
      <c r="M35" s="14">
        <f t="shared" si="9"/>
        <v>5533</v>
      </c>
    </row>
    <row r="36" s="1" customFormat="1" ht="23.1" customHeight="1" spans="1:22">
      <c r="A36" s="15">
        <v>32</v>
      </c>
      <c r="B36" s="16" t="s">
        <v>48</v>
      </c>
      <c r="C36" s="17" t="s">
        <v>49</v>
      </c>
      <c r="D36" s="16" t="s">
        <v>13</v>
      </c>
      <c r="E36" s="18">
        <v>673</v>
      </c>
      <c r="F36" s="19">
        <v>6260</v>
      </c>
      <c r="G36" s="19">
        <v>4400</v>
      </c>
      <c r="H36" s="19">
        <f t="shared" si="0"/>
        <v>3422.22222222222</v>
      </c>
      <c r="I36" s="18">
        <v>180</v>
      </c>
      <c r="J36" s="19">
        <v>2060</v>
      </c>
      <c r="K36" s="18">
        <v>180</v>
      </c>
      <c r="L36" s="19">
        <v>2060</v>
      </c>
      <c r="M36" s="19">
        <v>1942</v>
      </c>
      <c r="N36" s="1" t="s">
        <v>116</v>
      </c>
      <c r="O36" s="1">
        <v>-300</v>
      </c>
      <c r="P36" s="1">
        <v>-300</v>
      </c>
      <c r="Q36" s="1">
        <f t="shared" si="6"/>
        <v>11.4444444444444</v>
      </c>
      <c r="R36" s="5">
        <v>-20</v>
      </c>
      <c r="S36" s="5">
        <f t="shared" si="7"/>
        <v>3.73888888888889</v>
      </c>
      <c r="T36" s="5">
        <f t="shared" si="8"/>
        <v>11.4444444444444</v>
      </c>
      <c r="U36" s="5">
        <v>-60</v>
      </c>
      <c r="V36" s="6">
        <v>-600</v>
      </c>
    </row>
    <row r="37" s="1" customFormat="1" ht="23.1" customHeight="1" spans="1:22">
      <c r="A37" s="15">
        <v>33</v>
      </c>
      <c r="B37" s="16" t="s">
        <v>48</v>
      </c>
      <c r="C37" s="17" t="s">
        <v>50</v>
      </c>
      <c r="D37" s="16" t="s">
        <v>13</v>
      </c>
      <c r="E37" s="18">
        <v>240</v>
      </c>
      <c r="F37" s="19">
        <v>2710</v>
      </c>
      <c r="G37" s="19">
        <v>1727</v>
      </c>
      <c r="H37" s="19">
        <f t="shared" si="0"/>
        <v>1343.22222222222</v>
      </c>
      <c r="I37" s="18">
        <v>120</v>
      </c>
      <c r="J37" s="19">
        <v>1000</v>
      </c>
      <c r="K37" s="18">
        <v>120</v>
      </c>
      <c r="L37" s="19">
        <v>1000</v>
      </c>
      <c r="M37" s="19">
        <v>925</v>
      </c>
      <c r="N37" s="1" t="s">
        <v>117</v>
      </c>
      <c r="O37" s="1">
        <v>-500</v>
      </c>
      <c r="P37" s="1">
        <v>-500</v>
      </c>
      <c r="Q37" s="1">
        <f t="shared" si="6"/>
        <v>8.33333333333333</v>
      </c>
      <c r="R37" s="5">
        <v>-30</v>
      </c>
      <c r="S37" s="5">
        <f t="shared" si="7"/>
        <v>2</v>
      </c>
      <c r="T37" s="5">
        <f t="shared" si="8"/>
        <v>8.33333333333333</v>
      </c>
      <c r="U37" s="5">
        <v>-59</v>
      </c>
      <c r="V37" s="6">
        <v>-1000</v>
      </c>
    </row>
    <row r="38" s="1" customFormat="1" ht="23.1" customHeight="1" spans="1:22">
      <c r="A38" s="15">
        <v>34</v>
      </c>
      <c r="B38" s="16" t="s">
        <v>48</v>
      </c>
      <c r="C38" s="17" t="s">
        <v>51</v>
      </c>
      <c r="D38" s="16" t="s">
        <v>13</v>
      </c>
      <c r="E38" s="18">
        <v>389</v>
      </c>
      <c r="F38" s="19">
        <v>3410</v>
      </c>
      <c r="G38" s="19">
        <v>2427</v>
      </c>
      <c r="H38" s="19">
        <f t="shared" si="0"/>
        <v>1887.66666666667</v>
      </c>
      <c r="I38" s="18">
        <v>140</v>
      </c>
      <c r="J38" s="19">
        <v>1350</v>
      </c>
      <c r="K38" s="18">
        <v>140</v>
      </c>
      <c r="L38" s="19">
        <v>1350</v>
      </c>
      <c r="M38" s="19">
        <v>1275</v>
      </c>
      <c r="N38" s="1" t="s">
        <v>118</v>
      </c>
      <c r="O38" s="1">
        <v>-150</v>
      </c>
      <c r="P38" s="1">
        <v>-150</v>
      </c>
      <c r="Q38" s="1">
        <f t="shared" si="6"/>
        <v>9.64285714285714</v>
      </c>
      <c r="R38" s="5">
        <v>-10</v>
      </c>
      <c r="S38" s="5">
        <f t="shared" si="7"/>
        <v>2.77857142857143</v>
      </c>
      <c r="T38" s="5">
        <f t="shared" si="8"/>
        <v>9.64285714285714</v>
      </c>
      <c r="U38" s="5">
        <v>-27</v>
      </c>
      <c r="V38" s="6">
        <v>-300</v>
      </c>
    </row>
    <row r="39" ht="23.1" customHeight="1" spans="1:22">
      <c r="A39" s="3">
        <v>35</v>
      </c>
      <c r="B39" s="7" t="s">
        <v>48</v>
      </c>
      <c r="C39" s="8" t="s">
        <v>52</v>
      </c>
      <c r="D39" s="7" t="s">
        <v>17</v>
      </c>
      <c r="E39" s="11">
        <v>122</v>
      </c>
      <c r="F39" s="9">
        <v>3360</v>
      </c>
      <c r="G39" s="9">
        <v>2470</v>
      </c>
      <c r="H39" s="10">
        <f t="shared" si="0"/>
        <v>1921.11111111111</v>
      </c>
      <c r="I39" s="11">
        <v>62</v>
      </c>
      <c r="J39" s="9">
        <v>1400</v>
      </c>
      <c r="K39" s="11">
        <v>62</v>
      </c>
      <c r="L39" s="9">
        <v>1400</v>
      </c>
      <c r="M39" s="9">
        <v>1330</v>
      </c>
    </row>
    <row r="40" s="1" customFormat="1" ht="23.1" customHeight="1" spans="1:22">
      <c r="A40" s="15">
        <v>36</v>
      </c>
      <c r="B40" s="16" t="s">
        <v>48</v>
      </c>
      <c r="C40" s="17" t="s">
        <v>53</v>
      </c>
      <c r="D40" s="16" t="s">
        <v>22</v>
      </c>
      <c r="E40" s="18">
        <v>128</v>
      </c>
      <c r="F40" s="19">
        <v>1720</v>
      </c>
      <c r="G40" s="19">
        <v>1238</v>
      </c>
      <c r="H40" s="19">
        <f t="shared" si="0"/>
        <v>962.888888888889</v>
      </c>
      <c r="I40" s="18">
        <v>60</v>
      </c>
      <c r="J40" s="18">
        <v>682</v>
      </c>
      <c r="K40" s="18">
        <v>60</v>
      </c>
      <c r="L40" s="18">
        <v>682</v>
      </c>
      <c r="M40" s="18">
        <v>645</v>
      </c>
      <c r="N40" s="1" t="s">
        <v>113</v>
      </c>
      <c r="O40" s="1">
        <v>-50</v>
      </c>
      <c r="P40" s="1">
        <v>-50</v>
      </c>
      <c r="Q40" s="1">
        <f>L40/K40</f>
        <v>11.3666666666667</v>
      </c>
      <c r="R40" s="5">
        <v>-4</v>
      </c>
      <c r="S40" s="5">
        <f>E40/I40</f>
        <v>2.13333333333333</v>
      </c>
      <c r="T40" s="5">
        <f>J40/I40</f>
        <v>11.3666666666667</v>
      </c>
      <c r="U40" s="5">
        <v>-8</v>
      </c>
      <c r="V40" s="6">
        <v>-100</v>
      </c>
    </row>
    <row r="41" ht="23.1" customHeight="1" spans="1:22">
      <c r="A41" s="3">
        <v>37</v>
      </c>
      <c r="B41" s="7" t="s">
        <v>48</v>
      </c>
      <c r="C41" s="8" t="s">
        <v>54</v>
      </c>
      <c r="D41" s="7" t="s">
        <v>22</v>
      </c>
      <c r="E41" s="11">
        <v>50</v>
      </c>
      <c r="F41" s="11">
        <v>700</v>
      </c>
      <c r="G41" s="11">
        <v>515</v>
      </c>
      <c r="H41" s="10">
        <f t="shared" si="0"/>
        <v>400.555555555556</v>
      </c>
      <c r="I41" s="11">
        <v>42</v>
      </c>
      <c r="J41" s="11">
        <v>500</v>
      </c>
      <c r="K41" s="11">
        <v>42</v>
      </c>
      <c r="L41" s="11">
        <v>500</v>
      </c>
      <c r="M41" s="11">
        <v>475</v>
      </c>
    </row>
    <row r="42" ht="23.1" customHeight="1" spans="1:22">
      <c r="A42" s="3">
        <v>38</v>
      </c>
      <c r="B42" s="7" t="s">
        <v>48</v>
      </c>
      <c r="C42" s="8" t="s">
        <v>55</v>
      </c>
      <c r="D42" s="7" t="s">
        <v>22</v>
      </c>
      <c r="E42" s="11">
        <v>181</v>
      </c>
      <c r="F42" s="9">
        <v>1680</v>
      </c>
      <c r="G42" s="9">
        <v>1235</v>
      </c>
      <c r="H42" s="10">
        <f t="shared" si="0"/>
        <v>960.555555555556</v>
      </c>
      <c r="I42" s="11">
        <v>80</v>
      </c>
      <c r="J42" s="11">
        <v>700</v>
      </c>
      <c r="K42" s="11">
        <v>80</v>
      </c>
      <c r="L42" s="11">
        <v>700</v>
      </c>
      <c r="M42" s="11">
        <v>665</v>
      </c>
    </row>
    <row r="43" ht="23.1" customHeight="1" spans="1:22">
      <c r="A43" s="3">
        <v>39</v>
      </c>
      <c r="B43" s="7" t="s">
        <v>48</v>
      </c>
      <c r="C43" s="8" t="s">
        <v>56</v>
      </c>
      <c r="D43" s="7" t="s">
        <v>30</v>
      </c>
      <c r="E43" s="11">
        <v>81</v>
      </c>
      <c r="F43" s="11">
        <v>700</v>
      </c>
      <c r="G43" s="11">
        <v>515</v>
      </c>
      <c r="H43" s="10">
        <f t="shared" si="0"/>
        <v>400.555555555556</v>
      </c>
      <c r="I43" s="11">
        <v>42</v>
      </c>
      <c r="J43" s="11">
        <v>300</v>
      </c>
      <c r="K43" s="11">
        <v>42</v>
      </c>
      <c r="L43" s="11">
        <v>300</v>
      </c>
      <c r="M43" s="11">
        <v>285</v>
      </c>
    </row>
    <row r="44" ht="23.1" customHeight="1" spans="1:22">
      <c r="A44" s="3">
        <v>40</v>
      </c>
      <c r="B44" s="7" t="s">
        <v>48</v>
      </c>
      <c r="C44" s="8" t="s">
        <v>119</v>
      </c>
      <c r="D44" s="7" t="s">
        <v>30</v>
      </c>
      <c r="E44" s="30">
        <v>19.2857142857143</v>
      </c>
      <c r="F44" s="30">
        <v>300</v>
      </c>
      <c r="G44" s="30">
        <v>220.714285714286</v>
      </c>
      <c r="H44" s="10">
        <v>171.666666666667</v>
      </c>
      <c r="I44" s="31">
        <v>10.7142857142857</v>
      </c>
      <c r="J44" s="31">
        <v>128.571428571429</v>
      </c>
      <c r="K44" s="31">
        <v>10.7142857142857</v>
      </c>
      <c r="L44" s="31">
        <v>128.571428571429</v>
      </c>
      <c r="M44" s="31">
        <v>122.142857142857</v>
      </c>
    </row>
    <row r="45" ht="23.1" customHeight="1" spans="1:22">
      <c r="A45" s="3">
        <v>41</v>
      </c>
      <c r="B45" s="7" t="s">
        <v>48</v>
      </c>
      <c r="C45" s="8" t="s">
        <v>120</v>
      </c>
      <c r="D45" s="7" t="s">
        <v>30</v>
      </c>
      <c r="E45" s="30">
        <v>25.7142857142857</v>
      </c>
      <c r="F45" s="30">
        <v>400</v>
      </c>
      <c r="G45" s="30">
        <v>294.285714285714</v>
      </c>
      <c r="H45" s="10">
        <v>228.888888888889</v>
      </c>
      <c r="I45" s="31">
        <v>14.2857142857143</v>
      </c>
      <c r="J45" s="31">
        <v>171.428571428571</v>
      </c>
      <c r="K45" s="31">
        <v>14.2857142857143</v>
      </c>
      <c r="L45" s="31">
        <v>171.428571428571</v>
      </c>
      <c r="M45" s="31">
        <v>162.857142857143</v>
      </c>
    </row>
    <row r="46" ht="23.1" customHeight="1" spans="1:22">
      <c r="B46" s="12"/>
      <c r="C46" s="12"/>
      <c r="D46" s="12"/>
      <c r="E46" s="14">
        <f>SUM(E36:E45)</f>
        <v>1909</v>
      </c>
      <c r="F46" s="14">
        <f>SUM(F36:F45)</f>
        <v>21240</v>
      </c>
      <c r="G46" s="14">
        <f>SUM(G36:G45)</f>
        <v>15042</v>
      </c>
      <c r="H46" s="10">
        <f t="shared" ref="H46:H91" si="10">G46*14/18</f>
        <v>11699.3333333333</v>
      </c>
      <c r="I46" s="29">
        <f>SUM(I36:I45)</f>
        <v>751</v>
      </c>
      <c r="J46" s="14">
        <f t="shared" ref="J46:M46" si="11">SUM(J36:J45)</f>
        <v>8292</v>
      </c>
      <c r="K46" s="14">
        <f t="shared" si="11"/>
        <v>751</v>
      </c>
      <c r="L46" s="14">
        <f t="shared" si="11"/>
        <v>8292</v>
      </c>
      <c r="M46" s="14">
        <f t="shared" si="11"/>
        <v>7827</v>
      </c>
    </row>
    <row r="47" ht="23.1" customHeight="1" spans="1:22">
      <c r="A47" s="3">
        <v>42</v>
      </c>
      <c r="B47" s="7" t="s">
        <v>58</v>
      </c>
      <c r="C47" s="8" t="s">
        <v>59</v>
      </c>
      <c r="D47" s="7" t="s">
        <v>13</v>
      </c>
      <c r="E47" s="32">
        <v>581</v>
      </c>
      <c r="F47" s="33">
        <v>5576</v>
      </c>
      <c r="G47" s="33">
        <v>4098</v>
      </c>
      <c r="H47" s="10">
        <f t="shared" si="10"/>
        <v>3187.33333333333</v>
      </c>
      <c r="I47" s="32">
        <v>239</v>
      </c>
      <c r="J47" s="33">
        <v>2304</v>
      </c>
      <c r="K47" s="32">
        <v>239</v>
      </c>
      <c r="L47" s="33">
        <v>2304</v>
      </c>
      <c r="M47" s="33">
        <v>2189</v>
      </c>
    </row>
    <row r="48" ht="23.1" customHeight="1" spans="1:22">
      <c r="A48" s="3">
        <v>43</v>
      </c>
      <c r="B48" s="7" t="s">
        <v>58</v>
      </c>
      <c r="C48" s="34" t="s">
        <v>60</v>
      </c>
      <c r="D48" s="7" t="s">
        <v>17</v>
      </c>
      <c r="E48" s="32">
        <v>207</v>
      </c>
      <c r="F48" s="33">
        <v>2083</v>
      </c>
      <c r="G48" s="33">
        <v>1531</v>
      </c>
      <c r="H48" s="10">
        <f t="shared" si="10"/>
        <v>1190.77777777778</v>
      </c>
      <c r="I48" s="32">
        <v>85</v>
      </c>
      <c r="J48" s="32">
        <v>850</v>
      </c>
      <c r="K48" s="32">
        <v>85</v>
      </c>
      <c r="L48" s="32">
        <v>850</v>
      </c>
      <c r="M48" s="32">
        <v>808</v>
      </c>
    </row>
    <row r="49" s="2" customFormat="1" ht="23.1" customHeight="1" spans="1:22">
      <c r="A49" s="21">
        <v>44</v>
      </c>
      <c r="B49" s="24" t="s">
        <v>58</v>
      </c>
      <c r="C49" s="23" t="s">
        <v>61</v>
      </c>
      <c r="D49" s="24" t="s">
        <v>22</v>
      </c>
      <c r="E49" s="25">
        <v>120</v>
      </c>
      <c r="F49" s="26">
        <v>1225</v>
      </c>
      <c r="G49" s="26">
        <v>1103</v>
      </c>
      <c r="H49" s="26">
        <f t="shared" si="10"/>
        <v>857.888888888889</v>
      </c>
      <c r="I49" s="25">
        <v>50</v>
      </c>
      <c r="J49" s="25">
        <v>500</v>
      </c>
      <c r="K49" s="25">
        <v>50</v>
      </c>
      <c r="L49" s="25">
        <v>500</v>
      </c>
      <c r="M49" s="25">
        <v>470</v>
      </c>
      <c r="N49" s="2" t="s">
        <v>121</v>
      </c>
      <c r="O49" s="2">
        <v>-100</v>
      </c>
      <c r="P49" s="2">
        <v>-100</v>
      </c>
      <c r="Q49" s="1">
        <f t="shared" ref="Q49:Q53" si="12">L49/K49</f>
        <v>10</v>
      </c>
      <c r="R49" s="5">
        <f>P49/Q49</f>
        <v>-10</v>
      </c>
      <c r="S49" s="5">
        <f t="shared" ref="S49:S53" si="13">E49/I49</f>
        <v>2.4</v>
      </c>
      <c r="T49" s="5">
        <f t="shared" ref="T49:T53" si="14">J49/I49</f>
        <v>10</v>
      </c>
      <c r="U49" s="5">
        <f>V49/Q49</f>
        <v>-20</v>
      </c>
      <c r="V49" s="6">
        <v>-200</v>
      </c>
    </row>
    <row r="50" ht="23.1" customHeight="1" spans="1:22">
      <c r="A50" s="3">
        <v>45</v>
      </c>
      <c r="B50" s="7" t="s">
        <v>58</v>
      </c>
      <c r="C50" s="8" t="s">
        <v>62</v>
      </c>
      <c r="D50" s="7" t="s">
        <v>22</v>
      </c>
      <c r="E50" s="32">
        <v>81</v>
      </c>
      <c r="F50" s="33">
        <v>1260</v>
      </c>
      <c r="G50" s="32">
        <v>926</v>
      </c>
      <c r="H50" s="10">
        <f t="shared" si="10"/>
        <v>720.222222222222</v>
      </c>
      <c r="I50" s="32">
        <v>32</v>
      </c>
      <c r="J50" s="32">
        <v>500</v>
      </c>
      <c r="K50" s="32">
        <v>32</v>
      </c>
      <c r="L50" s="32">
        <v>500</v>
      </c>
      <c r="M50" s="32">
        <v>475</v>
      </c>
    </row>
    <row r="51" ht="23.1" customHeight="1" spans="1:22">
      <c r="A51" s="3">
        <v>46</v>
      </c>
      <c r="B51" s="7" t="s">
        <v>58</v>
      </c>
      <c r="C51" s="8" t="s">
        <v>63</v>
      </c>
      <c r="D51" s="7" t="s">
        <v>22</v>
      </c>
      <c r="E51" s="32">
        <v>73</v>
      </c>
      <c r="F51" s="32">
        <v>817</v>
      </c>
      <c r="G51" s="32">
        <v>600</v>
      </c>
      <c r="H51" s="10">
        <f t="shared" si="10"/>
        <v>466.666666666667</v>
      </c>
      <c r="I51" s="32">
        <v>32</v>
      </c>
      <c r="J51" s="32">
        <v>350</v>
      </c>
      <c r="K51" s="32">
        <v>32</v>
      </c>
      <c r="L51" s="32">
        <v>350</v>
      </c>
      <c r="M51" s="32">
        <v>333</v>
      </c>
    </row>
    <row r="52" s="2" customFormat="1" ht="23.1" customHeight="1" spans="1:22">
      <c r="A52" s="21">
        <v>47</v>
      </c>
      <c r="B52" s="24" t="s">
        <v>58</v>
      </c>
      <c r="C52" s="23" t="s">
        <v>122</v>
      </c>
      <c r="D52" s="24" t="s">
        <v>22</v>
      </c>
      <c r="E52" s="25">
        <v>110</v>
      </c>
      <c r="F52" s="25">
        <v>1000</v>
      </c>
      <c r="G52" s="25">
        <v>700</v>
      </c>
      <c r="H52" s="26">
        <f t="shared" si="10"/>
        <v>544.444444444444</v>
      </c>
      <c r="I52" s="25">
        <v>55</v>
      </c>
      <c r="J52" s="25">
        <v>500</v>
      </c>
      <c r="K52" s="25">
        <v>55</v>
      </c>
      <c r="L52" s="25">
        <v>500</v>
      </c>
      <c r="M52" s="25">
        <v>490</v>
      </c>
      <c r="N52" s="2" t="s">
        <v>123</v>
      </c>
      <c r="O52" s="2">
        <v>200</v>
      </c>
      <c r="P52" s="2">
        <v>205</v>
      </c>
      <c r="Q52" s="1">
        <f t="shared" si="12"/>
        <v>9.09090909090909</v>
      </c>
      <c r="R52" s="5">
        <v>23</v>
      </c>
      <c r="S52" s="5">
        <f t="shared" si="13"/>
        <v>2</v>
      </c>
      <c r="T52" s="5">
        <f t="shared" si="14"/>
        <v>9.09090909090909</v>
      </c>
      <c r="U52" s="5">
        <v>44</v>
      </c>
      <c r="V52" s="6">
        <v>400</v>
      </c>
    </row>
    <row r="53" s="2" customFormat="1" ht="23.1" customHeight="1" spans="1:22">
      <c r="A53" s="21">
        <v>48</v>
      </c>
      <c r="B53" s="24" t="s">
        <v>58</v>
      </c>
      <c r="C53" s="23" t="s">
        <v>124</v>
      </c>
      <c r="D53" s="24" t="s">
        <v>22</v>
      </c>
      <c r="E53" s="25">
        <v>110</v>
      </c>
      <c r="F53" s="25">
        <v>1000</v>
      </c>
      <c r="G53" s="25">
        <v>700</v>
      </c>
      <c r="H53" s="26">
        <f t="shared" si="10"/>
        <v>544.444444444444</v>
      </c>
      <c r="I53" s="25">
        <v>55</v>
      </c>
      <c r="J53" s="25">
        <v>500</v>
      </c>
      <c r="K53" s="25">
        <v>55</v>
      </c>
      <c r="L53" s="25">
        <v>500</v>
      </c>
      <c r="M53" s="25">
        <v>494</v>
      </c>
      <c r="N53" s="2">
        <v>500</v>
      </c>
      <c r="O53" s="2">
        <v>500</v>
      </c>
      <c r="P53" s="2">
        <v>495</v>
      </c>
      <c r="Q53" s="1">
        <f t="shared" si="12"/>
        <v>9.09090909090909</v>
      </c>
      <c r="R53" s="5">
        <v>55</v>
      </c>
      <c r="S53" s="5">
        <f t="shared" si="13"/>
        <v>2</v>
      </c>
      <c r="T53" s="5">
        <f t="shared" si="14"/>
        <v>9.09090909090909</v>
      </c>
      <c r="U53" s="5">
        <v>110</v>
      </c>
      <c r="V53" s="6">
        <v>1000</v>
      </c>
    </row>
    <row r="54" ht="23.1" customHeight="1" spans="1:22">
      <c r="A54" s="3">
        <v>49</v>
      </c>
      <c r="B54" s="7" t="s">
        <v>58</v>
      </c>
      <c r="C54" s="8" t="s">
        <v>65</v>
      </c>
      <c r="D54" s="7" t="s">
        <v>30</v>
      </c>
      <c r="E54" s="32">
        <v>127</v>
      </c>
      <c r="F54" s="32">
        <v>980</v>
      </c>
      <c r="G54" s="32">
        <v>720</v>
      </c>
      <c r="H54" s="10">
        <f t="shared" si="10"/>
        <v>560</v>
      </c>
      <c r="I54" s="32">
        <v>52</v>
      </c>
      <c r="J54" s="32">
        <v>400</v>
      </c>
      <c r="K54" s="32">
        <v>52</v>
      </c>
      <c r="L54" s="32">
        <v>400</v>
      </c>
      <c r="M54" s="32">
        <v>380</v>
      </c>
    </row>
    <row r="55" ht="23.1" customHeight="1" spans="1:22">
      <c r="A55" s="3">
        <v>50</v>
      </c>
      <c r="B55" s="7" t="s">
        <v>58</v>
      </c>
      <c r="C55" s="8" t="s">
        <v>66</v>
      </c>
      <c r="D55" s="7" t="s">
        <v>30</v>
      </c>
      <c r="E55" s="32">
        <v>44</v>
      </c>
      <c r="F55" s="32">
        <v>490</v>
      </c>
      <c r="G55" s="32">
        <v>360</v>
      </c>
      <c r="H55" s="10">
        <f t="shared" si="10"/>
        <v>280</v>
      </c>
      <c r="I55" s="32">
        <v>20</v>
      </c>
      <c r="J55" s="32">
        <v>200</v>
      </c>
      <c r="K55" s="32">
        <v>20</v>
      </c>
      <c r="L55" s="32">
        <v>200</v>
      </c>
      <c r="M55" s="32">
        <v>190</v>
      </c>
    </row>
    <row r="56" ht="23.1" customHeight="1" spans="1:22">
      <c r="B56" s="12"/>
      <c r="C56" s="12"/>
      <c r="D56" s="35" t="s">
        <v>125</v>
      </c>
      <c r="E56" s="14">
        <f>SUM(E47:E55)</f>
        <v>1453</v>
      </c>
      <c r="F56" s="14">
        <f>SUM(F47:F55)</f>
        <v>14431</v>
      </c>
      <c r="G56" s="14">
        <f>SUM(G47:G55)</f>
        <v>10738</v>
      </c>
      <c r="H56" s="10">
        <f t="shared" si="10"/>
        <v>8351.77777777778</v>
      </c>
      <c r="I56" s="29">
        <f>SUM(I47:I55)</f>
        <v>620</v>
      </c>
      <c r="J56" s="14">
        <f t="shared" ref="I56:M56" si="15">SUM(J47:J55)</f>
        <v>6104</v>
      </c>
      <c r="K56" s="14">
        <f t="shared" si="15"/>
        <v>620</v>
      </c>
      <c r="L56" s="14">
        <f t="shared" si="15"/>
        <v>6104</v>
      </c>
      <c r="M56" s="14">
        <f t="shared" si="15"/>
        <v>5829</v>
      </c>
      <c r="O56" s="36"/>
      <c r="R56" s="37"/>
      <c r="S56" s="37"/>
      <c r="T56" s="37"/>
      <c r="U56" s="37"/>
    </row>
    <row r="57" ht="23.1" customHeight="1" spans="1:22">
      <c r="A57" s="3">
        <v>51</v>
      </c>
      <c r="B57" s="7" t="s">
        <v>67</v>
      </c>
      <c r="C57" s="38" t="s">
        <v>68</v>
      </c>
      <c r="D57" s="7" t="s">
        <v>13</v>
      </c>
      <c r="E57" s="39">
        <v>450</v>
      </c>
      <c r="F57" s="40">
        <v>6270</v>
      </c>
      <c r="G57" s="40">
        <v>4608</v>
      </c>
      <c r="H57" s="10">
        <f t="shared" si="10"/>
        <v>3584</v>
      </c>
      <c r="I57" s="39">
        <v>210</v>
      </c>
      <c r="J57" s="40">
        <v>3050</v>
      </c>
      <c r="K57" s="39">
        <v>210</v>
      </c>
      <c r="L57" s="40">
        <v>3050</v>
      </c>
      <c r="M57" s="40">
        <v>2898</v>
      </c>
    </row>
    <row r="58" ht="23.1" customHeight="1" spans="1:22">
      <c r="A58" s="3">
        <v>52</v>
      </c>
      <c r="B58" s="7" t="s">
        <v>67</v>
      </c>
      <c r="C58" s="38" t="s">
        <v>69</v>
      </c>
      <c r="D58" s="7" t="s">
        <v>13</v>
      </c>
      <c r="E58" s="39">
        <v>450</v>
      </c>
      <c r="F58" s="40">
        <v>6270</v>
      </c>
      <c r="G58" s="40">
        <v>4608</v>
      </c>
      <c r="H58" s="10">
        <f t="shared" si="10"/>
        <v>3584</v>
      </c>
      <c r="I58" s="39">
        <v>210</v>
      </c>
      <c r="J58" s="40">
        <v>3050</v>
      </c>
      <c r="K58" s="39">
        <v>210</v>
      </c>
      <c r="L58" s="40">
        <v>3050</v>
      </c>
      <c r="M58" s="40">
        <v>2898</v>
      </c>
    </row>
    <row r="59" ht="23.1" customHeight="1" spans="1:22">
      <c r="A59" s="3">
        <v>53</v>
      </c>
      <c r="B59" s="7" t="s">
        <v>67</v>
      </c>
      <c r="C59" s="38" t="s">
        <v>70</v>
      </c>
      <c r="D59" s="7" t="s">
        <v>13</v>
      </c>
      <c r="E59" s="39">
        <v>520</v>
      </c>
      <c r="F59" s="40">
        <v>7249</v>
      </c>
      <c r="G59" s="40">
        <v>5327</v>
      </c>
      <c r="H59" s="10">
        <f t="shared" si="10"/>
        <v>4143.22222222222</v>
      </c>
      <c r="I59" s="39">
        <v>200</v>
      </c>
      <c r="J59" s="40">
        <v>2534</v>
      </c>
      <c r="K59" s="39">
        <v>200</v>
      </c>
      <c r="L59" s="40">
        <v>2534</v>
      </c>
      <c r="M59" s="40">
        <v>2400</v>
      </c>
    </row>
    <row r="60" ht="23.1" customHeight="1" spans="1:22">
      <c r="A60" s="3">
        <v>54</v>
      </c>
      <c r="B60" s="7" t="s">
        <v>67</v>
      </c>
      <c r="C60" s="38" t="s">
        <v>71</v>
      </c>
      <c r="D60" s="7" t="s">
        <v>13</v>
      </c>
      <c r="E60" s="39">
        <v>700</v>
      </c>
      <c r="F60" s="40">
        <v>10281</v>
      </c>
      <c r="G60" s="40">
        <v>7687</v>
      </c>
      <c r="H60" s="10">
        <f t="shared" si="10"/>
        <v>5978.77777777778</v>
      </c>
      <c r="I60" s="39">
        <v>320</v>
      </c>
      <c r="J60" s="40">
        <v>3650</v>
      </c>
      <c r="K60" s="39">
        <v>320</v>
      </c>
      <c r="L60" s="40">
        <v>3650</v>
      </c>
      <c r="M60" s="40">
        <v>3613</v>
      </c>
    </row>
    <row r="61" ht="23.1" customHeight="1" spans="1:22">
      <c r="A61" s="3">
        <v>55</v>
      </c>
      <c r="B61" s="7" t="s">
        <v>67</v>
      </c>
      <c r="C61" s="38" t="s">
        <v>72</v>
      </c>
      <c r="D61" s="7" t="s">
        <v>22</v>
      </c>
      <c r="E61" s="39">
        <v>120</v>
      </c>
      <c r="F61" s="40">
        <v>1670</v>
      </c>
      <c r="G61" s="40">
        <v>1227</v>
      </c>
      <c r="H61" s="10">
        <f t="shared" si="10"/>
        <v>954.333333333333</v>
      </c>
      <c r="I61" s="39">
        <v>40</v>
      </c>
      <c r="J61" s="39">
        <v>480</v>
      </c>
      <c r="K61" s="39">
        <v>40</v>
      </c>
      <c r="L61" s="39">
        <v>480</v>
      </c>
      <c r="M61" s="39">
        <v>456</v>
      </c>
    </row>
    <row r="62" ht="23.1" customHeight="1" spans="1:22">
      <c r="A62" s="3">
        <v>56</v>
      </c>
      <c r="B62" s="7" t="s">
        <v>67</v>
      </c>
      <c r="C62" s="38" t="s">
        <v>73</v>
      </c>
      <c r="D62" s="7" t="s">
        <v>22</v>
      </c>
      <c r="E62" s="39">
        <v>72</v>
      </c>
      <c r="F62" s="40">
        <v>1000</v>
      </c>
      <c r="G62" s="39">
        <v>735</v>
      </c>
      <c r="H62" s="10">
        <f t="shared" si="10"/>
        <v>571.666666666667</v>
      </c>
      <c r="I62" s="39">
        <v>40</v>
      </c>
      <c r="J62" s="39">
        <v>400</v>
      </c>
      <c r="K62" s="39">
        <v>40</v>
      </c>
      <c r="L62" s="39">
        <v>400</v>
      </c>
      <c r="M62" s="39">
        <v>380</v>
      </c>
    </row>
    <row r="63" ht="23.1" customHeight="1" spans="1:22">
      <c r="A63" s="3">
        <v>57</v>
      </c>
      <c r="B63" s="7" t="s">
        <v>67</v>
      </c>
      <c r="C63" s="38" t="s">
        <v>74</v>
      </c>
      <c r="D63" s="7" t="s">
        <v>22</v>
      </c>
      <c r="E63" s="39">
        <v>100</v>
      </c>
      <c r="F63" s="40">
        <v>1390</v>
      </c>
      <c r="G63" s="40">
        <v>1022</v>
      </c>
      <c r="H63" s="10">
        <f t="shared" si="10"/>
        <v>794.888888888889</v>
      </c>
      <c r="I63" s="39">
        <v>35</v>
      </c>
      <c r="J63" s="39">
        <v>410</v>
      </c>
      <c r="K63" s="39">
        <v>35</v>
      </c>
      <c r="L63" s="39">
        <v>410</v>
      </c>
      <c r="M63" s="39">
        <v>390</v>
      </c>
    </row>
    <row r="64" ht="23.1" customHeight="1" spans="1:22">
      <c r="A64" s="3">
        <v>58</v>
      </c>
      <c r="B64" s="7" t="s">
        <v>67</v>
      </c>
      <c r="C64" s="38" t="s">
        <v>75</v>
      </c>
      <c r="D64" s="7" t="s">
        <v>30</v>
      </c>
      <c r="E64" s="39">
        <v>50</v>
      </c>
      <c r="F64" s="39">
        <v>700</v>
      </c>
      <c r="G64" s="39">
        <v>515</v>
      </c>
      <c r="H64" s="10">
        <f t="shared" si="10"/>
        <v>400.555555555556</v>
      </c>
      <c r="I64" s="39">
        <v>30</v>
      </c>
      <c r="J64" s="39">
        <v>300</v>
      </c>
      <c r="K64" s="39">
        <v>30</v>
      </c>
      <c r="L64" s="39">
        <v>300</v>
      </c>
      <c r="M64" s="39">
        <v>285</v>
      </c>
    </row>
    <row r="65" ht="23.1" customHeight="1" spans="1:22">
      <c r="A65" s="3">
        <v>59</v>
      </c>
      <c r="B65" s="7" t="s">
        <v>67</v>
      </c>
      <c r="C65" s="38" t="s">
        <v>126</v>
      </c>
      <c r="D65" s="7" t="s">
        <v>30</v>
      </c>
      <c r="E65" s="39">
        <v>60</v>
      </c>
      <c r="F65" s="39">
        <v>840</v>
      </c>
      <c r="G65" s="39">
        <v>617</v>
      </c>
      <c r="H65" s="10">
        <f t="shared" si="10"/>
        <v>479.888888888889</v>
      </c>
      <c r="I65" s="39">
        <v>20</v>
      </c>
      <c r="J65" s="39">
        <v>200</v>
      </c>
      <c r="K65" s="39">
        <v>20</v>
      </c>
      <c r="L65" s="39">
        <v>200</v>
      </c>
      <c r="M65" s="39">
        <v>190</v>
      </c>
    </row>
    <row r="66" s="2" customFormat="1" ht="23.1" customHeight="1" spans="1:22">
      <c r="A66" s="21">
        <v>60</v>
      </c>
      <c r="B66" s="24" t="s">
        <v>67</v>
      </c>
      <c r="C66" s="41" t="s">
        <v>127</v>
      </c>
      <c r="D66" s="24" t="s">
        <v>30</v>
      </c>
      <c r="E66" s="42">
        <v>40</v>
      </c>
      <c r="F66" s="42">
        <v>320</v>
      </c>
      <c r="G66" s="42">
        <v>200</v>
      </c>
      <c r="H66" s="26">
        <f t="shared" si="10"/>
        <v>155.555555555556</v>
      </c>
      <c r="I66" s="42">
        <v>20</v>
      </c>
      <c r="J66" s="42">
        <v>350</v>
      </c>
      <c r="K66" s="42">
        <v>20</v>
      </c>
      <c r="L66" s="42">
        <v>350</v>
      </c>
      <c r="M66" s="42">
        <v>280</v>
      </c>
      <c r="N66" s="2" t="s">
        <v>128</v>
      </c>
      <c r="R66" s="5"/>
      <c r="S66" s="5"/>
      <c r="T66" s="5"/>
      <c r="U66" s="5"/>
      <c r="V66" s="6"/>
    </row>
    <row r="67" s="2" customFormat="1" ht="23.1" customHeight="1" spans="1:22">
      <c r="A67" s="21">
        <v>61</v>
      </c>
      <c r="B67" s="24" t="s">
        <v>67</v>
      </c>
      <c r="C67" s="41" t="s">
        <v>129</v>
      </c>
      <c r="D67" s="24" t="s">
        <v>30</v>
      </c>
      <c r="E67" s="42">
        <v>50</v>
      </c>
      <c r="F67" s="42">
        <v>400</v>
      </c>
      <c r="G67" s="42">
        <v>200</v>
      </c>
      <c r="H67" s="26">
        <f t="shared" si="10"/>
        <v>155.555555555556</v>
      </c>
      <c r="I67" s="42">
        <v>14</v>
      </c>
      <c r="J67" s="42">
        <v>350</v>
      </c>
      <c r="K67" s="42">
        <v>14</v>
      </c>
      <c r="L67" s="42">
        <v>350</v>
      </c>
      <c r="M67" s="42">
        <v>280</v>
      </c>
      <c r="N67" s="2" t="s">
        <v>128</v>
      </c>
      <c r="R67" s="5"/>
      <c r="S67" s="5"/>
      <c r="T67" s="5"/>
      <c r="U67" s="5"/>
      <c r="V67" s="6"/>
    </row>
    <row r="68" s="2" customFormat="1" ht="23.1" customHeight="1" spans="1:22">
      <c r="A68" s="21">
        <v>62</v>
      </c>
      <c r="B68" s="24" t="s">
        <v>67</v>
      </c>
      <c r="C68" s="41" t="s">
        <v>130</v>
      </c>
      <c r="D68" s="24" t="s">
        <v>30</v>
      </c>
      <c r="E68" s="42">
        <v>10</v>
      </c>
      <c r="F68" s="42">
        <v>150</v>
      </c>
      <c r="G68" s="42">
        <v>110</v>
      </c>
      <c r="H68" s="26">
        <f t="shared" si="10"/>
        <v>85.5555555555556</v>
      </c>
      <c r="I68" s="42">
        <v>6</v>
      </c>
      <c r="J68" s="42">
        <v>100</v>
      </c>
      <c r="K68" s="42">
        <v>6</v>
      </c>
      <c r="L68" s="42">
        <v>100</v>
      </c>
      <c r="M68" s="42">
        <v>60</v>
      </c>
      <c r="N68" s="2" t="s">
        <v>128</v>
      </c>
      <c r="R68" s="5"/>
      <c r="S68" s="5"/>
      <c r="T68" s="5"/>
      <c r="U68" s="5"/>
      <c r="V68" s="6"/>
    </row>
    <row r="69" ht="23.1" customHeight="1" spans="1:22">
      <c r="B69" s="12"/>
      <c r="C69" s="13"/>
      <c r="D69" s="12"/>
      <c r="E69" s="14">
        <v>2622</v>
      </c>
      <c r="F69" s="14">
        <v>36540</v>
      </c>
      <c r="G69" s="14">
        <v>26856</v>
      </c>
      <c r="H69" s="10">
        <f t="shared" si="10"/>
        <v>20888</v>
      </c>
      <c r="I69" s="14">
        <f t="shared" ref="I69:M69" si="16">SUM(I57:I68)</f>
        <v>1145</v>
      </c>
      <c r="J69" s="14">
        <f t="shared" si="16"/>
        <v>14874</v>
      </c>
      <c r="K69" s="14">
        <f t="shared" si="16"/>
        <v>1145</v>
      </c>
      <c r="L69" s="14">
        <f t="shared" si="16"/>
        <v>14874</v>
      </c>
      <c r="M69" s="14">
        <f t="shared" si="16"/>
        <v>14130</v>
      </c>
    </row>
    <row r="70" s="1" customFormat="1" ht="23.1" customHeight="1" spans="1:22">
      <c r="A70" s="15">
        <v>63</v>
      </c>
      <c r="B70" s="16" t="s">
        <v>77</v>
      </c>
      <c r="C70" s="17" t="s">
        <v>78</v>
      </c>
      <c r="D70" s="16" t="s">
        <v>13</v>
      </c>
      <c r="E70" s="18">
        <v>840</v>
      </c>
      <c r="F70" s="19">
        <v>5200</v>
      </c>
      <c r="G70" s="19">
        <v>3765</v>
      </c>
      <c r="H70" s="19">
        <f t="shared" si="10"/>
        <v>2928.33333333333</v>
      </c>
      <c r="I70" s="18">
        <v>370</v>
      </c>
      <c r="J70" s="19">
        <v>2200</v>
      </c>
      <c r="K70" s="18">
        <v>370</v>
      </c>
      <c r="L70" s="19">
        <v>2200</v>
      </c>
      <c r="M70" s="19">
        <v>2070</v>
      </c>
      <c r="N70" s="1" t="s">
        <v>131</v>
      </c>
      <c r="O70" s="1">
        <v>-400</v>
      </c>
      <c r="P70" s="1">
        <v>-400</v>
      </c>
      <c r="Q70" s="1">
        <f>L70/K70</f>
        <v>5.94594594594595</v>
      </c>
      <c r="R70" s="5">
        <v>-30</v>
      </c>
      <c r="S70" s="5"/>
      <c r="T70" s="5">
        <f>J70/I70</f>
        <v>5.94594594594595</v>
      </c>
      <c r="U70" s="5">
        <v>-60</v>
      </c>
      <c r="V70" s="6">
        <v>-800</v>
      </c>
    </row>
    <row r="71" ht="23.1" customHeight="1" spans="1:22">
      <c r="A71" s="3">
        <v>64</v>
      </c>
      <c r="B71" s="7" t="s">
        <v>77</v>
      </c>
      <c r="C71" s="8" t="s">
        <v>79</v>
      </c>
      <c r="D71" s="7" t="s">
        <v>30</v>
      </c>
      <c r="E71" s="11">
        <v>100</v>
      </c>
      <c r="F71" s="11">
        <v>800</v>
      </c>
      <c r="G71" s="11">
        <v>550</v>
      </c>
      <c r="H71" s="10">
        <f t="shared" si="10"/>
        <v>427.777777777778</v>
      </c>
      <c r="I71" s="11">
        <v>30</v>
      </c>
      <c r="J71" s="11">
        <v>300</v>
      </c>
      <c r="K71" s="11">
        <v>30</v>
      </c>
      <c r="L71" s="11">
        <v>300</v>
      </c>
      <c r="M71" s="11">
        <v>285</v>
      </c>
    </row>
    <row r="72" ht="23.1" customHeight="1" spans="1:22">
      <c r="A72" s="3">
        <v>65</v>
      </c>
      <c r="B72" s="7" t="s">
        <v>77</v>
      </c>
      <c r="C72" s="8" t="s">
        <v>80</v>
      </c>
      <c r="D72" s="7" t="s">
        <v>22</v>
      </c>
      <c r="E72" s="11">
        <v>101</v>
      </c>
      <c r="F72" s="11">
        <v>980</v>
      </c>
      <c r="G72" s="11">
        <v>700</v>
      </c>
      <c r="H72" s="10">
        <f t="shared" si="10"/>
        <v>544.444444444444</v>
      </c>
      <c r="I72" s="11">
        <v>33</v>
      </c>
      <c r="J72" s="11">
        <v>402</v>
      </c>
      <c r="K72" s="11">
        <v>33</v>
      </c>
      <c r="L72" s="11">
        <v>402</v>
      </c>
      <c r="M72" s="11">
        <v>382</v>
      </c>
    </row>
    <row r="73" ht="23.1" customHeight="1" spans="1:22">
      <c r="A73" s="3">
        <v>66</v>
      </c>
      <c r="B73" s="7" t="s">
        <v>77</v>
      </c>
      <c r="C73" s="34" t="s">
        <v>81</v>
      </c>
      <c r="D73" s="7" t="s">
        <v>22</v>
      </c>
      <c r="E73" s="11">
        <v>100</v>
      </c>
      <c r="F73" s="11">
        <v>980</v>
      </c>
      <c r="G73" s="11">
        <v>700</v>
      </c>
      <c r="H73" s="10">
        <f t="shared" si="10"/>
        <v>544.444444444444</v>
      </c>
      <c r="I73" s="11">
        <v>33</v>
      </c>
      <c r="J73" s="11">
        <v>402</v>
      </c>
      <c r="K73" s="11">
        <v>33</v>
      </c>
      <c r="L73" s="11">
        <v>402</v>
      </c>
      <c r="M73" s="11">
        <v>382</v>
      </c>
    </row>
    <row r="74" ht="23.1" customHeight="1" spans="1:22">
      <c r="A74" s="3">
        <v>67</v>
      </c>
      <c r="B74" s="7" t="s">
        <v>77</v>
      </c>
      <c r="C74" s="8" t="s">
        <v>82</v>
      </c>
      <c r="D74" s="7" t="s">
        <v>30</v>
      </c>
      <c r="E74" s="11">
        <v>90</v>
      </c>
      <c r="F74" s="11">
        <v>800</v>
      </c>
      <c r="G74" s="11">
        <v>550</v>
      </c>
      <c r="H74" s="10">
        <f t="shared" si="10"/>
        <v>427.777777777778</v>
      </c>
      <c r="I74" s="11">
        <v>30</v>
      </c>
      <c r="J74" s="11">
        <v>300</v>
      </c>
      <c r="K74" s="11">
        <v>30</v>
      </c>
      <c r="L74" s="11">
        <v>300</v>
      </c>
      <c r="M74" s="11">
        <v>285</v>
      </c>
    </row>
    <row r="75" ht="23.1" customHeight="1" spans="1:22">
      <c r="A75" s="3">
        <v>68</v>
      </c>
      <c r="B75" s="7" t="s">
        <v>77</v>
      </c>
      <c r="C75" s="8" t="s">
        <v>83</v>
      </c>
      <c r="D75" s="7" t="s">
        <v>30</v>
      </c>
      <c r="E75" s="11">
        <v>90</v>
      </c>
      <c r="F75" s="11">
        <v>800</v>
      </c>
      <c r="G75" s="11">
        <v>550</v>
      </c>
      <c r="H75" s="10">
        <f t="shared" si="10"/>
        <v>427.777777777778</v>
      </c>
      <c r="I75" s="11">
        <v>30</v>
      </c>
      <c r="J75" s="11">
        <v>300</v>
      </c>
      <c r="K75" s="11">
        <v>30</v>
      </c>
      <c r="L75" s="11">
        <v>300</v>
      </c>
      <c r="M75" s="11">
        <v>285</v>
      </c>
    </row>
    <row r="76" ht="23.1" customHeight="1" spans="1:22">
      <c r="B76" s="12"/>
      <c r="C76" s="13"/>
      <c r="D76" s="12"/>
      <c r="E76" s="14">
        <f>SUM(E70:E75)</f>
        <v>1321</v>
      </c>
      <c r="F76" s="14">
        <f>SUM(F70:F75)</f>
        <v>9560</v>
      </c>
      <c r="G76" s="14">
        <f>SUM(G70:G75)</f>
        <v>6815</v>
      </c>
      <c r="H76" s="10">
        <f t="shared" si="10"/>
        <v>5300.55555555556</v>
      </c>
      <c r="I76" s="14">
        <f>SUM(I70:I75)</f>
        <v>526</v>
      </c>
      <c r="J76" s="14">
        <f t="shared" ref="I76:M76" si="17">SUM(J70:J75)</f>
        <v>3904</v>
      </c>
      <c r="K76" s="14">
        <f t="shared" si="17"/>
        <v>526</v>
      </c>
      <c r="L76" s="14">
        <f t="shared" si="17"/>
        <v>3904</v>
      </c>
      <c r="M76" s="14">
        <f t="shared" si="17"/>
        <v>3689</v>
      </c>
    </row>
    <row r="77" ht="23.1" customHeight="1" spans="1:22">
      <c r="A77" s="3">
        <v>69</v>
      </c>
      <c r="B77" s="7" t="s">
        <v>84</v>
      </c>
      <c r="C77" s="43" t="s">
        <v>85</v>
      </c>
      <c r="D77" s="44" t="s">
        <v>30</v>
      </c>
      <c r="E77" s="11">
        <v>34</v>
      </c>
      <c r="F77" s="11">
        <v>520</v>
      </c>
      <c r="G77" s="11">
        <v>370</v>
      </c>
      <c r="H77" s="10">
        <f t="shared" si="10"/>
        <v>287.777777777778</v>
      </c>
      <c r="I77" s="11">
        <v>15</v>
      </c>
      <c r="J77" s="11">
        <v>210</v>
      </c>
      <c r="K77" s="11">
        <v>15</v>
      </c>
      <c r="L77" s="11">
        <v>210</v>
      </c>
      <c r="M77" s="11">
        <v>200</v>
      </c>
    </row>
    <row r="78" ht="23.1" customHeight="1" spans="1:22">
      <c r="A78" s="3">
        <v>70</v>
      </c>
      <c r="B78" s="7" t="s">
        <v>84</v>
      </c>
      <c r="C78" s="43" t="s">
        <v>86</v>
      </c>
      <c r="D78" s="44" t="s">
        <v>30</v>
      </c>
      <c r="E78" s="11">
        <v>50</v>
      </c>
      <c r="F78" s="11">
        <v>500</v>
      </c>
      <c r="G78" s="11">
        <v>360</v>
      </c>
      <c r="H78" s="10">
        <f t="shared" si="10"/>
        <v>280</v>
      </c>
      <c r="I78" s="11">
        <v>15</v>
      </c>
      <c r="J78" s="11">
        <v>201</v>
      </c>
      <c r="K78" s="11">
        <v>15</v>
      </c>
      <c r="L78" s="11">
        <v>201</v>
      </c>
      <c r="M78" s="11">
        <v>190</v>
      </c>
    </row>
    <row r="79" ht="23.1" customHeight="1" spans="1:22">
      <c r="A79" s="3">
        <v>71</v>
      </c>
      <c r="B79" s="7" t="s">
        <v>84</v>
      </c>
      <c r="C79" s="43" t="s">
        <v>87</v>
      </c>
      <c r="D79" s="44" t="s">
        <v>30</v>
      </c>
      <c r="E79" s="11">
        <v>34</v>
      </c>
      <c r="F79" s="11">
        <v>520</v>
      </c>
      <c r="G79" s="11">
        <v>370</v>
      </c>
      <c r="H79" s="10">
        <f t="shared" si="10"/>
        <v>287.777777777778</v>
      </c>
      <c r="I79" s="11">
        <v>15</v>
      </c>
      <c r="J79" s="11">
        <v>210</v>
      </c>
      <c r="K79" s="11">
        <v>15</v>
      </c>
      <c r="L79" s="11">
        <v>210</v>
      </c>
      <c r="M79" s="11">
        <v>200</v>
      </c>
    </row>
    <row r="80" ht="23.1" customHeight="1" spans="1:22">
      <c r="B80" s="12"/>
      <c r="C80" s="13"/>
      <c r="D80" s="12"/>
      <c r="E80" s="29">
        <v>118</v>
      </c>
      <c r="F80" s="14">
        <v>1540</v>
      </c>
      <c r="G80" s="14">
        <v>1100</v>
      </c>
      <c r="H80" s="10">
        <f t="shared" si="10"/>
        <v>855.555555555556</v>
      </c>
      <c r="I80" s="29">
        <f t="shared" ref="I80:M80" si="18">SUM(I77:I79)</f>
        <v>45</v>
      </c>
      <c r="J80" s="29">
        <f t="shared" si="18"/>
        <v>621</v>
      </c>
      <c r="K80" s="29">
        <f t="shared" si="18"/>
        <v>45</v>
      </c>
      <c r="L80" s="29">
        <f t="shared" si="18"/>
        <v>621</v>
      </c>
      <c r="M80" s="29">
        <f t="shared" si="18"/>
        <v>590</v>
      </c>
    </row>
    <row r="81" ht="23.1" customHeight="1" spans="1:22">
      <c r="A81" s="3">
        <v>72</v>
      </c>
      <c r="B81" s="7" t="s">
        <v>88</v>
      </c>
      <c r="C81" s="43" t="s">
        <v>89</v>
      </c>
      <c r="D81" s="44"/>
      <c r="E81" s="11"/>
      <c r="F81" s="9">
        <v>1380</v>
      </c>
      <c r="G81" s="9">
        <v>1030</v>
      </c>
      <c r="H81" s="10">
        <f t="shared" si="10"/>
        <v>801.111111111111</v>
      </c>
      <c r="I81" s="11" t="s">
        <v>132</v>
      </c>
      <c r="J81" s="11">
        <v>600</v>
      </c>
      <c r="K81" s="11"/>
      <c r="L81" s="11">
        <v>600</v>
      </c>
      <c r="M81" s="11">
        <v>570</v>
      </c>
    </row>
    <row r="82" ht="23.1" customHeight="1" spans="1:22">
      <c r="A82" s="3">
        <v>73</v>
      </c>
      <c r="B82" s="7" t="s">
        <v>88</v>
      </c>
      <c r="C82" s="43" t="s">
        <v>91</v>
      </c>
      <c r="D82" s="44"/>
      <c r="E82" s="11"/>
      <c r="F82" s="45">
        <v>460</v>
      </c>
      <c r="G82" s="45">
        <v>343.333333333333</v>
      </c>
      <c r="H82" s="10">
        <f t="shared" si="10"/>
        <v>267.037037037037</v>
      </c>
      <c r="I82" s="11" t="s">
        <v>132</v>
      </c>
      <c r="J82" s="11">
        <v>200</v>
      </c>
      <c r="K82" s="11"/>
      <c r="L82" s="11">
        <v>200</v>
      </c>
      <c r="M82" s="11">
        <v>190</v>
      </c>
    </row>
    <row r="83" ht="23.1" customHeight="1" spans="1:22">
      <c r="A83" s="3">
        <v>74</v>
      </c>
      <c r="B83" s="7" t="s">
        <v>88</v>
      </c>
      <c r="C83" s="43" t="s">
        <v>92</v>
      </c>
      <c r="D83" s="44"/>
      <c r="E83" s="11"/>
      <c r="F83" s="45">
        <v>460</v>
      </c>
      <c r="G83" s="45">
        <v>343.333333333333</v>
      </c>
      <c r="H83" s="10">
        <f t="shared" si="10"/>
        <v>267.037037037037</v>
      </c>
      <c r="I83" s="11"/>
      <c r="J83" s="11">
        <v>200</v>
      </c>
      <c r="K83" s="11"/>
      <c r="L83" s="11">
        <v>200</v>
      </c>
      <c r="M83" s="11">
        <v>190</v>
      </c>
    </row>
    <row r="84" ht="23.1" customHeight="1" spans="1:22">
      <c r="A84" s="3">
        <v>75</v>
      </c>
      <c r="B84" s="7" t="s">
        <v>88</v>
      </c>
      <c r="C84" s="43" t="s">
        <v>93</v>
      </c>
      <c r="D84" s="44"/>
      <c r="E84" s="11"/>
      <c r="F84" s="9">
        <v>4600</v>
      </c>
      <c r="G84" s="9">
        <v>3433.33333333333</v>
      </c>
      <c r="H84" s="10">
        <f t="shared" si="10"/>
        <v>2670.37037037037</v>
      </c>
      <c r="I84" s="11" t="s">
        <v>132</v>
      </c>
      <c r="J84" s="9">
        <v>2000</v>
      </c>
      <c r="K84" s="11"/>
      <c r="L84" s="9">
        <v>2000</v>
      </c>
      <c r="M84" s="9">
        <v>1900</v>
      </c>
    </row>
    <row r="85" ht="23.1" customHeight="1" spans="1:22">
      <c r="A85" s="3">
        <v>76</v>
      </c>
      <c r="B85" s="7" t="s">
        <v>88</v>
      </c>
      <c r="C85" s="43" t="s">
        <v>94</v>
      </c>
      <c r="D85" s="44"/>
      <c r="E85" s="11"/>
      <c r="F85" s="9">
        <v>1840</v>
      </c>
      <c r="G85" s="9">
        <v>1373.33333333333</v>
      </c>
      <c r="H85" s="10">
        <f t="shared" si="10"/>
        <v>1068.14814814815</v>
      </c>
      <c r="I85" s="11" t="s">
        <v>132</v>
      </c>
      <c r="J85" s="9">
        <v>800</v>
      </c>
      <c r="K85" s="11"/>
      <c r="L85" s="9">
        <v>800</v>
      </c>
      <c r="M85" s="11">
        <v>760</v>
      </c>
    </row>
    <row r="86" ht="23.1" customHeight="1" spans="1:22">
      <c r="A86" s="3">
        <v>77</v>
      </c>
      <c r="B86" s="7" t="s">
        <v>88</v>
      </c>
      <c r="C86" s="43" t="s">
        <v>95</v>
      </c>
      <c r="D86" s="44"/>
      <c r="E86" s="11"/>
      <c r="F86" s="9">
        <v>1840</v>
      </c>
      <c r="G86" s="9">
        <v>1373.33333333333</v>
      </c>
      <c r="H86" s="10">
        <f t="shared" si="10"/>
        <v>1068.14814814815</v>
      </c>
      <c r="I86" s="11" t="s">
        <v>132</v>
      </c>
      <c r="J86" s="9">
        <v>800</v>
      </c>
      <c r="K86" s="11"/>
      <c r="L86" s="9">
        <v>800</v>
      </c>
      <c r="M86" s="11">
        <v>760</v>
      </c>
    </row>
    <row r="87" s="2" customFormat="1" ht="23.1" customHeight="1" spans="1:22">
      <c r="A87" s="21">
        <v>78</v>
      </c>
      <c r="B87" s="24" t="s">
        <v>88</v>
      </c>
      <c r="C87" s="23" t="s">
        <v>133</v>
      </c>
      <c r="D87" s="24"/>
      <c r="E87" s="25"/>
      <c r="F87" s="26">
        <v>474</v>
      </c>
      <c r="G87" s="26">
        <f>341-33</f>
        <v>308</v>
      </c>
      <c r="H87" s="26">
        <f t="shared" si="10"/>
        <v>239.555555555556</v>
      </c>
      <c r="I87" s="25"/>
      <c r="J87" s="26">
        <v>200</v>
      </c>
      <c r="K87" s="25"/>
      <c r="L87" s="26">
        <v>200</v>
      </c>
      <c r="M87" s="25">
        <v>190</v>
      </c>
      <c r="N87" s="2" t="s">
        <v>128</v>
      </c>
      <c r="R87" s="5"/>
      <c r="S87" s="5"/>
      <c r="T87" s="5"/>
      <c r="U87" s="5"/>
      <c r="V87" s="6"/>
    </row>
    <row r="88" s="2" customFormat="1" ht="23.1" customHeight="1" spans="1:22">
      <c r="A88" s="21">
        <v>79</v>
      </c>
      <c r="B88" s="24" t="s">
        <v>88</v>
      </c>
      <c r="C88" s="23" t="s">
        <v>134</v>
      </c>
      <c r="D88" s="24"/>
      <c r="E88" s="25"/>
      <c r="F88" s="26">
        <v>474</v>
      </c>
      <c r="G88" s="26">
        <v>308</v>
      </c>
      <c r="H88" s="26">
        <f t="shared" si="10"/>
        <v>239.555555555556</v>
      </c>
      <c r="I88" s="25"/>
      <c r="J88" s="26">
        <v>200</v>
      </c>
      <c r="K88" s="25"/>
      <c r="L88" s="26">
        <v>200</v>
      </c>
      <c r="M88" s="25">
        <v>190</v>
      </c>
      <c r="N88" s="2" t="s">
        <v>128</v>
      </c>
      <c r="R88" s="5"/>
      <c r="S88" s="5"/>
      <c r="T88" s="5"/>
      <c r="U88" s="5"/>
      <c r="V88" s="6"/>
    </row>
    <row r="89" s="2" customFormat="1" ht="23.1" customHeight="1" spans="1:22">
      <c r="A89" s="21">
        <v>80</v>
      </c>
      <c r="B89" s="24" t="s">
        <v>88</v>
      </c>
      <c r="C89" s="23" t="s">
        <v>135</v>
      </c>
      <c r="D89" s="24"/>
      <c r="E89" s="25"/>
      <c r="F89" s="26">
        <v>474</v>
      </c>
      <c r="G89" s="26">
        <v>308</v>
      </c>
      <c r="H89" s="26">
        <f t="shared" si="10"/>
        <v>239.555555555556</v>
      </c>
      <c r="I89" s="25"/>
      <c r="J89" s="26">
        <v>200</v>
      </c>
      <c r="K89" s="25"/>
      <c r="L89" s="26">
        <v>200</v>
      </c>
      <c r="M89" s="25">
        <v>190</v>
      </c>
      <c r="N89" s="2" t="s">
        <v>128</v>
      </c>
      <c r="R89" s="5"/>
      <c r="S89" s="5"/>
      <c r="T89" s="5"/>
      <c r="U89" s="5"/>
      <c r="V89" s="6"/>
    </row>
    <row r="90" ht="23.1" customHeight="1" spans="1:22">
      <c r="B90" s="12"/>
      <c r="C90" s="13"/>
      <c r="D90" s="12"/>
      <c r="E90" s="29" t="s">
        <v>132</v>
      </c>
      <c r="F90" s="14">
        <v>12002</v>
      </c>
      <c r="G90" s="14">
        <v>8821</v>
      </c>
      <c r="H90" s="10">
        <f t="shared" si="10"/>
        <v>6860.77777777778</v>
      </c>
      <c r="I90" s="14">
        <f t="shared" ref="I90:M90" si="19">SUM(I81:I89)</f>
        <v>0</v>
      </c>
      <c r="J90" s="14">
        <f t="shared" si="19"/>
        <v>5200</v>
      </c>
      <c r="K90" s="14">
        <f t="shared" si="19"/>
        <v>0</v>
      </c>
      <c r="L90" s="14">
        <f t="shared" si="19"/>
        <v>5200</v>
      </c>
      <c r="M90" s="14">
        <f t="shared" si="19"/>
        <v>4940</v>
      </c>
    </row>
    <row r="91" ht="23.1" customHeight="1" spans="1:22">
      <c r="B91" s="46" t="s">
        <v>96</v>
      </c>
      <c r="C91" s="46"/>
      <c r="D91" s="46"/>
      <c r="E91" s="47">
        <v>15930</v>
      </c>
      <c r="F91" s="47">
        <v>245000</v>
      </c>
      <c r="G91" s="47">
        <v>180000</v>
      </c>
      <c r="H91" s="10">
        <f t="shared" si="10"/>
        <v>140000</v>
      </c>
      <c r="I91" s="47">
        <f t="shared" ref="I91:M91" si="20">I90+I80+I76+I69+I56+I46+I35+I22+I12</f>
        <v>6499</v>
      </c>
      <c r="J91" s="47">
        <f t="shared" si="20"/>
        <v>100000</v>
      </c>
      <c r="K91" s="47">
        <f t="shared" si="20"/>
        <v>6499</v>
      </c>
      <c r="L91" s="47">
        <f t="shared" si="20"/>
        <v>100000</v>
      </c>
      <c r="M91" s="47">
        <f t="shared" si="20"/>
        <v>95000</v>
      </c>
    </row>
    <row r="93" spans="1:22">
      <c r="D93" s="5" t="s">
        <v>136</v>
      </c>
      <c r="E93" s="5" t="e">
        <f>E80+E76+E69+#REF!+E46+E35+E22+E12</f>
        <v>#REF!</v>
      </c>
      <c r="F93" s="5" t="e">
        <f>F90+F80+F76+F69+#REF!+F46+F35+F22+F12</f>
        <v>#REF!</v>
      </c>
      <c r="G93" s="5" t="e">
        <f>G90+G80+G76+G69+#REF!+G46+G35+G22+G12</f>
        <v>#REF!</v>
      </c>
      <c r="H93" s="5"/>
      <c r="I93" s="5" t="e">
        <f>I80+I76+I69+#REF!+I35+I46+I22+I12</f>
        <v>#REF!</v>
      </c>
      <c r="J93" s="5" t="e">
        <f>J90+J80+J69+J76+#REF!+J46+J35+J22+J12</f>
        <v>#REF!</v>
      </c>
      <c r="K93" s="5" t="e">
        <f>K80+K76+K69+#REF!+K46+K35+K22+K12</f>
        <v>#REF!</v>
      </c>
      <c r="L93" s="5" t="e">
        <f>L90+L80+L76+L69+#REF!+L46+L35+L22+L12</f>
        <v>#REF!</v>
      </c>
      <c r="M93" s="5" t="e">
        <f>M90+M80+M76+M69+#REF!++M46+M35+M22+M12</f>
        <v>#REF!</v>
      </c>
    </row>
    <row r="94" spans="1:22">
      <c r="D94" s="5" t="s">
        <v>125</v>
      </c>
      <c r="E94" s="5">
        <f>E80+E76+E69+E56+E46+E35+E22+E12</f>
        <v>15910</v>
      </c>
      <c r="F94" s="5">
        <f t="shared" ref="F94:J94" si="21">F90+F80+F76+F69+F56+F46+F35+F22+F12</f>
        <v>244791</v>
      </c>
      <c r="G94" s="5">
        <f t="shared" si="21"/>
        <v>179664</v>
      </c>
      <c r="H94" s="5"/>
      <c r="I94" s="5">
        <f>I80+I76+I69+I56+I46+I35+I22+I12</f>
        <v>6499</v>
      </c>
      <c r="J94" s="5">
        <f t="shared" si="21"/>
        <v>100000</v>
      </c>
      <c r="K94" s="5">
        <f>K80+K76+K69+K56+K46+K35+K22+K12</f>
        <v>6499</v>
      </c>
      <c r="L94" s="5">
        <f>L90+L80+L76+L69+L56+L46+L35+L22+L12</f>
        <v>100000</v>
      </c>
      <c r="M94" s="5">
        <f>M90+M80+M76+M69+M56+M46+M35+M22+M12</f>
        <v>95000</v>
      </c>
    </row>
    <row r="105" spans="11:11">
      <c r="K105" s="4">
        <f>100000/6500</f>
        <v>15.3846153846154</v>
      </c>
    </row>
  </sheetData>
  <mergeCells count="1">
    <mergeCell ref="B91:C91"/>
  </mergeCells>
  <pageMargins left="0.7" right="0.7" top="0.75" bottom="0.75" header="0.3" footer="0.3"/>
  <pageSetup paperSize="9" scale="42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改</vt:lpstr>
      <vt:lpstr>改 (2)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 Fu</dc:creator>
  <cp:lastModifiedBy>Ｉ āｍ ā $ｈīτ</cp:lastModifiedBy>
  <dcterms:created xsi:type="dcterms:W3CDTF">2023-05-12T11:15:00Z</dcterms:created>
  <dcterms:modified xsi:type="dcterms:W3CDTF">2026-07-17T03:43:10Z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C0F6F752BB6F49FABA29916D2F171672_13</vt:lpwstr>
  </property>
  <property fmtid="{D5CDD505-2E9C-101B-9397-08002B2CF9AE}" pid="4" name="CalculationRule">
    <vt:i4>0</vt:i4>
  </property>
</Properties>
</file>