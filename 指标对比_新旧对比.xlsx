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指标对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<sst xmlns="http://schemas.openxmlformats.org/spreadsheetml/2006/main" count="40" uniqueCount="40">
  <si>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2026年 各大区指标对比表（新 vs 原）</t>
  </si>
  <si>
    <t>签订台数</t>
  </si>
  <si>
    <t>签订额</t>
  </si>
  <si>
    <t>排产台数</t>
  </si>
  <si>
    <t>排产额</t>
  </si>
  <si>
    <t>发货台数</t>
  </si>
  <si>
    <t>发货额</t>
  </si>
  <si>
    <t>回款额</t>
  </si>
  <si>
    <t>大区</t>
  </si>
  <si>
    <t>现在签订台数指标</t>
  </si>
  <si>
    <t>原来签订台数指标</t>
  </si>
  <si>
    <t>签订台数差额</t>
  </si>
  <si>
    <t>现在签订额指标</t>
  </si>
  <si>
    <t>原来签订额指标</t>
  </si>
  <si>
    <t>签订额差额</t>
  </si>
  <si>
    <t>现在排产台数指标</t>
  </si>
  <si>
    <t>原来排产台数指标</t>
  </si>
  <si>
    <t>排产台数差额</t>
  </si>
  <si>
    <t>现在排产额指标</t>
  </si>
  <si>
    <t>原来排产额指标</t>
  </si>
  <si>
    <t>排产额差额</t>
  </si>
  <si>
    <t>现在发货台数指标</t>
  </si>
  <si>
    <t>原来发货台数指标</t>
  </si>
  <si>
    <t>发货台数差额</t>
  </si>
  <si>
    <t>现在发货额指标</t>
  </si>
  <si>
    <t>原来发货额指标</t>
  </si>
  <si>
    <t>发货额差额</t>
  </si>
  <si>
    <t>现在回款指标</t>
  </si>
  <si>
    <t>原来回款指标</t>
  </si>
  <si>
    <t>回款差额</t>
  </si>
  <si>
    <t>俄罗斯</t>
  </si>
  <si>
    <t>亚洲1</t>
  </si>
  <si>
    <t>亚洲2</t>
  </si>
  <si>
    <t>中东</t>
  </si>
  <si>
    <t>中亚</t>
  </si>
  <si>
    <t>美洲</t>
  </si>
  <si>
    <t>非洲</t>
  </si>
  <si>
    <t>欧洲</t>
  </si>
  <si>
    <t>商贸</t>
  </si>
  <si>
    <t>国贸总计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</si>
</sst>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0"/>
      <color rgb="FF008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Q18" sqref="Q18"/>
    </sheetView>
  </sheetViews>
  <sheetFormatPr defaultColWidth="9" defaultRowHeight="13.5"/>
  <cols>
    <col min="1" max="1" width="10" customWidth="1"/>
    <col min="2" max="2" width="12" customWidth="1"/>
    <col min="3" max="3" width="11" customWidth="1"/>
    <col min="4" max="4" width="11.5" customWidth="1"/>
    <col min="5" max="5" width="11" customWidth="1"/>
    <col min="6" max="6" width="12.875" customWidth="1"/>
    <col min="7" max="7" width="10.875" customWidth="1"/>
    <col min="8" max="8" width="11.5" customWidth="1"/>
    <col min="9" max="9" width="10.125" customWidth="1"/>
    <col min="10" max="10" width="9.5" customWidth="1"/>
    <col min="11" max="11" width="12.25" customWidth="1"/>
    <col min="12" max="12" width="12.125" customWidth="1"/>
    <col min="13" max="13" width="12.625" customWidth="1"/>
    <col min="14" max="15" width="12" customWidth="1"/>
    <col min="16" max="16" width="10.25" customWidth="1"/>
    <col min="17" max="17" width="13.75" customWidth="1"/>
    <col min="18" max="18" width="12.5" customWidth="1"/>
    <col min="19" max="19" width="13.625" customWidth="1"/>
    <col min="20" max="20" width="14" customWidth="1"/>
    <col min="21" max="21" width="14.125" customWidth="1"/>
    <col min="22" max="22" width="14.375" customWidth="1"/>
  </cols>
  <sheetData>
    <row r="1" ht="32" customHeight="1" spans="1:22">
      <c r="A1" s="1" t="s">
        <v>0</v>
      </c>
    </row>
    <row r="2" ht="36" customHeight="1" spans="1:22">
      <c r="A2" s="2"/>
      <c r="B2" s="3" t="s">
        <v>1</v>
      </c>
      <c r="C2" s="3"/>
      <c r="D2" s="3"/>
      <c r="E2" s="3" t="s">
        <v>2</v>
      </c>
      <c r="F2" s="3"/>
      <c r="G2" s="3"/>
      <c r="H2" s="3" t="s">
        <v>3</v>
      </c>
      <c r="I2" s="3"/>
      <c r="J2" s="3"/>
      <c r="K2" s="3" t="s">
        <v>4</v>
      </c>
      <c r="L2" s="3"/>
      <c r="M2" s="3"/>
      <c r="N2" s="3" t="s">
        <v>5</v>
      </c>
      <c r="O2" s="3"/>
      <c r="P2" s="3"/>
      <c r="Q2" s="3" t="s">
        <v>6</v>
      </c>
      <c r="R2" s="3"/>
      <c r="S2" s="3"/>
      <c r="T2" s="2" t="s">
        <v>7</v>
      </c>
      <c r="U2" s="2"/>
      <c r="V2" s="2"/>
    </row>
    <row r="3" ht="36" customHeight="1" spans="1:22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16</v>
      </c>
      <c r="J3" s="4" t="s">
        <v>17</v>
      </c>
      <c r="K3" s="4" t="s">
        <v>18</v>
      </c>
      <c r="L3" s="4" t="s">
        <v>19</v>
      </c>
      <c r="M3" s="4" t="s">
        <v>20</v>
      </c>
      <c r="N3" s="4" t="s">
        <v>21</v>
      </c>
      <c r="O3" s="4" t="s">
        <v>22</v>
      </c>
      <c r="P3" s="4" t="s">
        <v>23</v>
      </c>
      <c r="Q3" s="4" t="s">
        <v>24</v>
      </c>
      <c r="R3" s="4" t="s">
        <v>25</v>
      </c>
      <c r="S3" s="4" t="s">
        <v>26</v>
      </c>
      <c r="T3" s="4" t="s">
        <v>27</v>
      </c>
      <c r="U3" s="4" t="s">
        <v>28</v>
      </c>
      <c r="V3" s="4" t="s">
        <v>29</v>
      </c>
    </row>
    <row r="4" ht="22" customHeight="1" spans="1:22">
      <c r="A4" s="5" t="s">
        <v>30</v>
      </c>
      <c r="B4" s="6">
        <v>5256</v>
      </c>
      <c r="C4" s="6">
        <v>5256</v>
      </c>
      <c r="D4" s="6">
        <v>0</v>
      </c>
      <c r="E4" s="6">
        <v>101740</v>
      </c>
      <c r="F4" s="6">
        <v>101740.12</v>
      </c>
      <c r="G4" s="7">
        <v>-0.12</v>
      </c>
      <c r="H4" s="6">
        <v>2300</v>
      </c>
      <c r="I4" s="6">
        <v>2300</v>
      </c>
      <c r="J4" s="6">
        <v>0</v>
      </c>
      <c r="K4" s="6">
        <v>41357</v>
      </c>
      <c r="L4" s="6">
        <v>41357</v>
      </c>
      <c r="M4" s="6">
        <v>0</v>
      </c>
      <c r="N4" s="6">
        <v>2300</v>
      </c>
      <c r="O4" s="6">
        <v>2300</v>
      </c>
      <c r="P4" s="6">
        <v>0</v>
      </c>
      <c r="Q4" s="6">
        <v>41357</v>
      </c>
      <c r="R4" s="6">
        <v>41357</v>
      </c>
      <c r="S4" s="6">
        <v>0</v>
      </c>
      <c r="T4" s="6">
        <v>39290</v>
      </c>
      <c r="U4" s="6">
        <v>39289.15</v>
      </c>
      <c r="V4" s="8">
        <v>0.85</v>
      </c>
    </row>
    <row r="5" ht="22" customHeight="1" spans="1:22">
      <c r="A5" s="5" t="s">
        <v>31</v>
      </c>
      <c r="B5" s="6">
        <v>1468</v>
      </c>
      <c r="C5" s="6">
        <v>1328</v>
      </c>
      <c r="D5" s="8">
        <v>140</v>
      </c>
      <c r="E5" s="6">
        <v>33360</v>
      </c>
      <c r="F5" s="6">
        <v>31010</v>
      </c>
      <c r="G5" s="8">
        <v>2350</v>
      </c>
      <c r="H5" s="6">
        <v>640</v>
      </c>
      <c r="I5" s="6">
        <v>583</v>
      </c>
      <c r="J5" s="8">
        <v>57</v>
      </c>
      <c r="K5" s="6">
        <v>13802</v>
      </c>
      <c r="L5" s="6">
        <v>12602.33</v>
      </c>
      <c r="M5" s="8">
        <v>1199.67</v>
      </c>
      <c r="N5" s="6">
        <v>640</v>
      </c>
      <c r="O5" s="6">
        <v>583</v>
      </c>
      <c r="P5" s="8">
        <v>57</v>
      </c>
      <c r="Q5" s="6">
        <v>13802</v>
      </c>
      <c r="R5" s="6">
        <v>12602.33</v>
      </c>
      <c r="S5" s="8">
        <v>1199.67</v>
      </c>
      <c r="T5" s="6">
        <v>13172</v>
      </c>
      <c r="U5" s="6">
        <v>11972.21</v>
      </c>
      <c r="V5" s="8">
        <v>1199.79</v>
      </c>
    </row>
    <row r="6" ht="22" customHeight="1" spans="1:22">
      <c r="A6" s="5" t="s">
        <v>32</v>
      </c>
      <c r="B6" s="6">
        <v>1763</v>
      </c>
      <c r="C6" s="6">
        <v>1823</v>
      </c>
      <c r="D6" s="7">
        <v>-60</v>
      </c>
      <c r="E6" s="6">
        <v>14378</v>
      </c>
      <c r="F6" s="6">
        <v>15128.25</v>
      </c>
      <c r="G6" s="7">
        <v>-750.25</v>
      </c>
      <c r="H6" s="6">
        <v>472</v>
      </c>
      <c r="I6" s="6">
        <v>503</v>
      </c>
      <c r="J6" s="7">
        <v>-31</v>
      </c>
      <c r="K6" s="6">
        <v>5846</v>
      </c>
      <c r="L6" s="6">
        <v>6246.25</v>
      </c>
      <c r="M6" s="7">
        <v>-400.25</v>
      </c>
      <c r="N6" s="6">
        <v>472</v>
      </c>
      <c r="O6" s="6">
        <v>503</v>
      </c>
      <c r="P6" s="7">
        <v>-31</v>
      </c>
      <c r="Q6" s="6">
        <v>5846</v>
      </c>
      <c r="R6" s="6">
        <v>6246.25</v>
      </c>
      <c r="S6" s="7">
        <v>-400.25</v>
      </c>
      <c r="T6" s="6">
        <v>5533</v>
      </c>
      <c r="U6" s="6">
        <v>5933.93</v>
      </c>
      <c r="V6" s="7">
        <v>-400.93</v>
      </c>
    </row>
    <row r="7" ht="22" customHeight="1" spans="1:22">
      <c r="A7" s="5" t="s">
        <v>33</v>
      </c>
      <c r="B7" s="6">
        <v>1909</v>
      </c>
      <c r="C7" s="6">
        <v>2063</v>
      </c>
      <c r="D7" s="7">
        <v>-154</v>
      </c>
      <c r="E7" s="6">
        <v>21240</v>
      </c>
      <c r="F7" s="6">
        <v>23240</v>
      </c>
      <c r="G7" s="7">
        <v>-2000</v>
      </c>
      <c r="H7" s="6">
        <v>751</v>
      </c>
      <c r="I7" s="6">
        <v>815</v>
      </c>
      <c r="J7" s="7">
        <v>-64</v>
      </c>
      <c r="K7" s="6">
        <v>8292</v>
      </c>
      <c r="L7" s="6">
        <v>9292</v>
      </c>
      <c r="M7" s="7">
        <v>-1000</v>
      </c>
      <c r="N7" s="6">
        <v>751</v>
      </c>
      <c r="O7" s="6">
        <v>815</v>
      </c>
      <c r="P7" s="7">
        <v>-64</v>
      </c>
      <c r="Q7" s="6">
        <v>8292</v>
      </c>
      <c r="R7" s="6">
        <v>9292</v>
      </c>
      <c r="S7" s="7">
        <v>-1000</v>
      </c>
      <c r="T7" s="6">
        <v>7827</v>
      </c>
      <c r="U7" s="6">
        <v>8827.4</v>
      </c>
      <c r="V7" s="7">
        <v>-1000.4</v>
      </c>
    </row>
    <row r="8" ht="22" customHeight="1" spans="1:22">
      <c r="A8" s="5" t="s">
        <v>34</v>
      </c>
      <c r="B8" s="6">
        <v>1473</v>
      </c>
      <c r="C8" s="6">
        <v>1339</v>
      </c>
      <c r="D8" s="8">
        <v>134</v>
      </c>
      <c r="E8" s="6">
        <v>14640</v>
      </c>
      <c r="F8" s="6">
        <v>13439.85</v>
      </c>
      <c r="G8" s="8">
        <v>1200</v>
      </c>
      <c r="H8" s="6">
        <v>621</v>
      </c>
      <c r="I8" s="6">
        <v>553</v>
      </c>
      <c r="J8" s="8">
        <v>68</v>
      </c>
      <c r="K8" s="6">
        <v>6104</v>
      </c>
      <c r="L8" s="6">
        <v>5504</v>
      </c>
      <c r="M8" s="8">
        <v>600</v>
      </c>
      <c r="N8" s="6">
        <v>621</v>
      </c>
      <c r="O8" s="6">
        <v>553</v>
      </c>
      <c r="P8" s="8">
        <v>68</v>
      </c>
      <c r="Q8" s="6">
        <v>6104</v>
      </c>
      <c r="R8" s="6">
        <v>5504</v>
      </c>
      <c r="S8" s="8">
        <v>600</v>
      </c>
      <c r="T8" s="6">
        <v>5829</v>
      </c>
      <c r="U8" s="6">
        <v>5228.8</v>
      </c>
      <c r="V8" s="8">
        <v>600.2</v>
      </c>
    </row>
    <row r="9" ht="22" customHeight="1" spans="1:22">
      <c r="A9" s="5" t="s">
        <v>35</v>
      </c>
      <c r="B9" s="6">
        <v>2622</v>
      </c>
      <c r="C9" s="6">
        <v>2622</v>
      </c>
      <c r="D9" s="6">
        <v>0</v>
      </c>
      <c r="E9" s="6">
        <v>36540</v>
      </c>
      <c r="F9" s="6">
        <v>36539.8</v>
      </c>
      <c r="G9" s="8">
        <v>0.2</v>
      </c>
      <c r="H9" s="6">
        <v>1145</v>
      </c>
      <c r="I9" s="6">
        <v>1145</v>
      </c>
      <c r="J9" s="6">
        <v>0</v>
      </c>
      <c r="K9" s="6">
        <v>14874</v>
      </c>
      <c r="L9" s="6">
        <v>14874</v>
      </c>
      <c r="M9" s="6">
        <v>0</v>
      </c>
      <c r="N9" s="6">
        <v>1145</v>
      </c>
      <c r="O9" s="6">
        <v>1145</v>
      </c>
      <c r="P9" s="6">
        <v>0</v>
      </c>
      <c r="Q9" s="6">
        <v>14874</v>
      </c>
      <c r="R9" s="6">
        <v>14874</v>
      </c>
      <c r="S9" s="6">
        <v>0</v>
      </c>
      <c r="T9" s="6">
        <v>14130</v>
      </c>
      <c r="U9" s="6">
        <v>14130.3</v>
      </c>
      <c r="V9" s="7">
        <v>-0.3</v>
      </c>
    </row>
    <row r="10" ht="22" customHeight="1" spans="1:22">
      <c r="A10" s="5" t="s">
        <v>36</v>
      </c>
      <c r="B10" s="6">
        <v>1321</v>
      </c>
      <c r="C10" s="6">
        <v>1381</v>
      </c>
      <c r="D10" s="7">
        <v>-60</v>
      </c>
      <c r="E10" s="6">
        <v>9560</v>
      </c>
      <c r="F10" s="6">
        <v>10360</v>
      </c>
      <c r="G10" s="7">
        <v>-800</v>
      </c>
      <c r="H10" s="6">
        <v>526</v>
      </c>
      <c r="I10" s="6">
        <v>556</v>
      </c>
      <c r="J10" s="7">
        <v>-30</v>
      </c>
      <c r="K10" s="6">
        <v>3904</v>
      </c>
      <c r="L10" s="6">
        <v>4303.84</v>
      </c>
      <c r="M10" s="7">
        <v>-399.84</v>
      </c>
      <c r="N10" s="6">
        <v>526</v>
      </c>
      <c r="O10" s="6">
        <v>556</v>
      </c>
      <c r="P10" s="7">
        <v>-30</v>
      </c>
      <c r="Q10" s="6">
        <v>3904</v>
      </c>
      <c r="R10" s="6">
        <v>4303.84</v>
      </c>
      <c r="S10" s="7">
        <v>-399.84</v>
      </c>
      <c r="T10" s="6">
        <v>3689</v>
      </c>
      <c r="U10" s="6">
        <v>4088.65</v>
      </c>
      <c r="V10" s="7">
        <v>-399.65</v>
      </c>
    </row>
    <row r="11" ht="22" customHeight="1" spans="1:22">
      <c r="A11" s="5" t="s">
        <v>37</v>
      </c>
      <c r="B11" s="6">
        <v>118</v>
      </c>
      <c r="C11" s="6">
        <v>118</v>
      </c>
      <c r="D11" s="6">
        <v>0</v>
      </c>
      <c r="E11" s="6">
        <v>1540</v>
      </c>
      <c r="F11" s="6">
        <v>1540</v>
      </c>
      <c r="G11" s="6">
        <v>0</v>
      </c>
      <c r="H11" s="6">
        <v>45</v>
      </c>
      <c r="I11" s="6">
        <v>45</v>
      </c>
      <c r="J11" s="6">
        <v>0</v>
      </c>
      <c r="K11" s="6">
        <v>621</v>
      </c>
      <c r="L11" s="6">
        <v>621</v>
      </c>
      <c r="M11" s="6">
        <v>0</v>
      </c>
      <c r="N11" s="6">
        <v>45</v>
      </c>
      <c r="O11" s="6">
        <v>45</v>
      </c>
      <c r="P11" s="6">
        <v>0</v>
      </c>
      <c r="Q11" s="6">
        <v>621</v>
      </c>
      <c r="R11" s="6">
        <v>621</v>
      </c>
      <c r="S11" s="6">
        <v>0</v>
      </c>
      <c r="T11" s="6">
        <v>590</v>
      </c>
      <c r="U11" s="6">
        <v>589.95</v>
      </c>
      <c r="V11" s="8">
        <v>0.05</v>
      </c>
    </row>
    <row r="12" ht="22" customHeight="1" spans="1:22">
      <c r="A12" s="5" t="s">
        <v>38</v>
      </c>
      <c r="B12" s="6"/>
      <c r="C12" s="6"/>
      <c r="D12" s="6"/>
      <c r="E12" s="6">
        <v>12002</v>
      </c>
      <c r="F12" s="6">
        <v>12002</v>
      </c>
      <c r="G12" s="6">
        <v>0</v>
      </c>
      <c r="H12" s="6"/>
      <c r="I12" s="6"/>
      <c r="J12" s="6"/>
      <c r="K12" s="6">
        <v>5200</v>
      </c>
      <c r="L12" s="6">
        <v>5200</v>
      </c>
      <c r="M12" s="6">
        <v>0</v>
      </c>
      <c r="N12" s="6"/>
      <c r="O12" s="6"/>
      <c r="P12" s="6"/>
      <c r="Q12" s="6">
        <v>5200</v>
      </c>
      <c r="R12" s="6">
        <v>5200</v>
      </c>
      <c r="S12" s="6">
        <v>0</v>
      </c>
      <c r="T12" s="6">
        <v>4940</v>
      </c>
      <c r="U12" s="6">
        <v>4940</v>
      </c>
      <c r="V12" s="8">
        <v>0</v>
      </c>
    </row>
    <row r="13" ht="24" customHeight="1" spans="1:22">
      <c r="A13" s="9" t="s">
        <v>39</v>
      </c>
      <c r="B13" s="10">
        <f>SUM(B4:B12)</f>
        <v>15930</v>
      </c>
      <c r="C13" s="10">
        <v>15930</v>
      </c>
      <c r="D13" s="10">
        <v>0</v>
      </c>
      <c r="E13" s="10">
        <f>SUM(E4:E12)</f>
        <v>245000</v>
      </c>
      <c r="F13" s="10">
        <f>SUM(F4:F12)</f>
        <v>245000.02</v>
      </c>
      <c r="G13" s="10">
        <v>0</v>
      </c>
      <c r="H13" s="10">
        <v>6500</v>
      </c>
      <c r="I13" s="10">
        <v>6500</v>
      </c>
      <c r="J13" s="10">
        <v>0</v>
      </c>
      <c r="K13" s="10">
        <f>SUM(K4:K12)</f>
        <v>100000</v>
      </c>
      <c r="L13" s="10">
        <f>SUM(L4:L12)</f>
        <v>100000.42</v>
      </c>
      <c r="M13" s="10">
        <v>-0.41</v>
      </c>
      <c r="N13" s="10">
        <v>6500</v>
      </c>
      <c r="O13" s="10">
        <v>6500</v>
      </c>
      <c r="P13" s="10">
        <v>0</v>
      </c>
      <c r="Q13" s="10">
        <f>SUM(Q4:Q12)</f>
        <v>100000</v>
      </c>
      <c r="R13" s="10">
        <f>SUM(R4:R12)</f>
        <v>100000.42</v>
      </c>
      <c r="S13" s="10">
        <v>-0.41</v>
      </c>
      <c r="T13" s="10">
        <f>SUM(T4:T12)</f>
        <v>95000</v>
      </c>
      <c r="U13" s="10">
        <f>SUM(U4:U12)</f>
        <v>95000.39</v>
      </c>
      <c r="V13" s="10">
        <v>-0.39</v>
      </c>
    </row>
  </sheetData>
  <mergeCells count="8">
    <mergeCell ref="A1:V1"/>
    <mergeCell ref="B2:D2"/>
    <mergeCell ref="E2:G2"/>
    <mergeCell ref="H2:J2"/>
    <mergeCell ref="K2:M2"/>
    <mergeCell ref="N2:P2"/>
    <mergeCell ref="Q2:S2"/>
    <mergeCell ref="T2:V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Ｉ āｍ ā $ｈīτ</cp:lastModifiedBy>
  <dcterms:created xsi:type="dcterms:W3CDTF">2026-07-17T05:37:00Z</dcterms:created>
  <dcterms:modified xsi:type="dcterms:W3CDTF">2026-07-17T06:09:52Z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307B8518816745A08451263B7CEAD7EE_12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